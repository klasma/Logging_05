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45710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45710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45710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45710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45710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45710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45710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45710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45710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45710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45710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45710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45710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45710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45710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45710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45710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45710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45710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45710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45710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45710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45710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45710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45710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45710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45710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45710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45710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45710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45710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45710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45710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45710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45710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45710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45710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45710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45710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45710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45710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45710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45710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45710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45710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45710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45710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45710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45710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45710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45710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45710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45710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45710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45710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45710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45710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45710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45710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45710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45710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45710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45710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45710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45710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45710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45710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45710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45710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45710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45710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45710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45710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45710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45710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45710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45710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45710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45710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45710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45710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45710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45710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45710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45710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45710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45710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45710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45710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45710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45710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45710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45710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45710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45710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45710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45710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45710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45710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45710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45710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45710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45710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31821-2021</t>
        </is>
      </c>
      <c r="B106" s="1" t="n">
        <v>44369</v>
      </c>
      <c r="C106" s="1" t="n">
        <v>45710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Dvärgbägarlav
Tallticka
Blåmossa
Vedticka</t>
        </is>
      </c>
      <c r="S106">
        <f>HYPERLINK("https://klasma.github.io/Logging_0562/artfynd/A 31821-2021 artfynd.xlsx", "A 31821-2021")</f>
        <v/>
      </c>
      <c r="T106">
        <f>HYPERLINK("https://klasma.github.io/Logging_0562/kartor/A 31821-2021 karta.png", "A 31821-2021")</f>
        <v/>
      </c>
      <c r="V106">
        <f>HYPERLINK("https://klasma.github.io/Logging_0562/klagomål/A 31821-2021 FSC-klagomål.docx", "A 31821-2021")</f>
        <v/>
      </c>
      <c r="W106">
        <f>HYPERLINK("https://klasma.github.io/Logging_0562/klagomålsmail/A 31821-2021 FSC-klagomål mail.docx", "A 31821-2021")</f>
        <v/>
      </c>
      <c r="X106">
        <f>HYPERLINK("https://klasma.github.io/Logging_0562/tillsyn/A 31821-2021 tillsynsbegäran.docx", "A 31821-2021")</f>
        <v/>
      </c>
      <c r="Y106">
        <f>HYPERLINK("https://klasma.github.io/Logging_0562/tillsynsmail/A 31821-2021 tillsynsbegäran mail.docx", "A 31821-2021")</f>
        <v/>
      </c>
    </row>
    <row r="107" ht="15" customHeight="1">
      <c r="A107" t="inlineStr">
        <is>
          <t>A 39136-2021</t>
        </is>
      </c>
      <c r="B107" s="1" t="n">
        <v>44412</v>
      </c>
      <c r="C107" s="1" t="n">
        <v>45710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6.4</v>
      </c>
      <c r="H107" t="n">
        <v>1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Flagellkvastmossa
Mindre märgborre
Skarp dropptaggsvamp</t>
        </is>
      </c>
      <c r="S107">
        <f>HYPERLINK("https://klasma.github.io/Logging_0581/artfynd/A 39136-2021 artfynd.xlsx", "A 39136-2021")</f>
        <v/>
      </c>
      <c r="T107">
        <f>HYPERLINK("https://klasma.github.io/Logging_0581/kartor/A 39136-2021 karta.png", "A 39136-2021")</f>
        <v/>
      </c>
      <c r="V107">
        <f>HYPERLINK("https://klasma.github.io/Logging_0581/klagomål/A 39136-2021 FSC-klagomål.docx", "A 39136-2021")</f>
        <v/>
      </c>
      <c r="W107">
        <f>HYPERLINK("https://klasma.github.io/Logging_0581/klagomålsmail/A 39136-2021 FSC-klagomål mail.docx", "A 39136-2021")</f>
        <v/>
      </c>
      <c r="X107">
        <f>HYPERLINK("https://klasma.github.io/Logging_0581/tillsyn/A 39136-2021 tillsynsbegäran.docx", "A 39136-2021")</f>
        <v/>
      </c>
      <c r="Y107">
        <f>HYPERLINK("https://klasma.github.io/Logging_0581/tillsynsmail/A 39136-2021 tillsynsbegäran mail.docx", "A 39136-2021")</f>
        <v/>
      </c>
      <c r="Z107">
        <f>HYPERLINK("https://klasma.github.io/Logging_0581/fåglar/A 39136-2021 prioriterade fågelarter.docx", "A 39136-2021")</f>
        <v/>
      </c>
    </row>
    <row r="108" ht="15" customHeight="1">
      <c r="A108" t="inlineStr">
        <is>
          <t>A 40970-2021</t>
        </is>
      </c>
      <c r="B108" s="1" t="n">
        <v>44421</v>
      </c>
      <c r="C108" s="1" t="n">
        <v>45710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2.2</v>
      </c>
      <c r="H108" t="n">
        <v>2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Bombmurkla
Fjällig taggsvamp s.str.
Kryddspindling
Blåsippa</t>
        </is>
      </c>
      <c r="S108">
        <f>HYPERLINK("https://klasma.github.io/Logging_0580/artfynd/A 40970-2021 artfynd.xlsx", "A 40970-2021")</f>
        <v/>
      </c>
      <c r="T108">
        <f>HYPERLINK("https://klasma.github.io/Logging_0580/kartor/A 40970-2021 karta.png", "A 40970-2021")</f>
        <v/>
      </c>
      <c r="U108">
        <f>HYPERLINK("https://klasma.github.io/Logging_0580/knärot/A 40970-2021 karta knärot.png", "A 40970-2021")</f>
        <v/>
      </c>
      <c r="V108">
        <f>HYPERLINK("https://klasma.github.io/Logging_0580/klagomål/A 40970-2021 FSC-klagomål.docx", "A 40970-2021")</f>
        <v/>
      </c>
      <c r="W108">
        <f>HYPERLINK("https://klasma.github.io/Logging_0580/klagomålsmail/A 40970-2021 FSC-klagomål mail.docx", "A 40970-2021")</f>
        <v/>
      </c>
      <c r="X108">
        <f>HYPERLINK("https://klasma.github.io/Logging_0580/tillsyn/A 40970-2021 tillsynsbegäran.docx", "A 40970-2021")</f>
        <v/>
      </c>
      <c r="Y108">
        <f>HYPERLINK("https://klasma.github.io/Logging_0580/tillsynsmail/A 40970-2021 tillsynsbegäran mail.docx", "A 40970-2021")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45710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4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Sandödla
Kopparödla
Skogsödla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56271-2021</t>
        </is>
      </c>
      <c r="B110" s="1" t="n">
        <v>44479</v>
      </c>
      <c r="C110" s="1" t="n">
        <v>45710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1.8</v>
      </c>
      <c r="H110" t="n">
        <v>2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Dårgräsfjäril
Ekticka
Fällmossa
Blåsippa</t>
        </is>
      </c>
      <c r="S110">
        <f>HYPERLINK("https://klasma.github.io/Logging_0580/artfynd/A 56271-2021 artfynd.xlsx", "A 56271-2021")</f>
        <v/>
      </c>
      <c r="T110">
        <f>HYPERLINK("https://klasma.github.io/Logging_0580/kartor/A 56271-2021 karta.png", "A 56271-2021")</f>
        <v/>
      </c>
      <c r="V110">
        <f>HYPERLINK("https://klasma.github.io/Logging_0580/klagomål/A 56271-2021 FSC-klagomål.docx", "A 56271-2021")</f>
        <v/>
      </c>
      <c r="W110">
        <f>HYPERLINK("https://klasma.github.io/Logging_0580/klagomålsmail/A 56271-2021 FSC-klagomål mail.docx", "A 56271-2021")</f>
        <v/>
      </c>
      <c r="X110">
        <f>HYPERLINK("https://klasma.github.io/Logging_0580/tillsyn/A 56271-2021 tillsynsbegäran.docx", "A 56271-2021")</f>
        <v/>
      </c>
      <c r="Y110">
        <f>HYPERLINK("https://klasma.github.io/Logging_0580/tillsynsmail/A 56271-2021 tillsynsbegäran mail.docx", "A 56271-2021")</f>
        <v/>
      </c>
    </row>
    <row r="111" ht="15" customHeight="1">
      <c r="A111" t="inlineStr">
        <is>
          <t>A 62483-2021</t>
        </is>
      </c>
      <c r="B111" s="1" t="n">
        <v>44503</v>
      </c>
      <c r="C111" s="1" t="n">
        <v>45710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1.4</v>
      </c>
      <c r="H111" t="n">
        <v>4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Spillkråka
Järnsparv
Sparvuggla
Trana</t>
        </is>
      </c>
      <c r="S111">
        <f>HYPERLINK("https://klasma.github.io/Logging_0512/artfynd/A 62483-2021 artfynd.xlsx", "A 62483-2021")</f>
        <v/>
      </c>
      <c r="T111">
        <f>HYPERLINK("https://klasma.github.io/Logging_0512/kartor/A 62483-2021 karta.png", "A 62483-2021")</f>
        <v/>
      </c>
      <c r="V111">
        <f>HYPERLINK("https://klasma.github.io/Logging_0512/klagomål/A 62483-2021 FSC-klagomål.docx", "A 62483-2021")</f>
        <v/>
      </c>
      <c r="W111">
        <f>HYPERLINK("https://klasma.github.io/Logging_0512/klagomålsmail/A 62483-2021 FSC-klagomål mail.docx", "A 62483-2021")</f>
        <v/>
      </c>
      <c r="X111">
        <f>HYPERLINK("https://klasma.github.io/Logging_0512/tillsyn/A 62483-2021 tillsynsbegäran.docx", "A 62483-2021")</f>
        <v/>
      </c>
      <c r="Y111">
        <f>HYPERLINK("https://klasma.github.io/Logging_0512/tillsynsmail/A 62483-2021 tillsynsbegäran mail.docx", "A 62483-2021")</f>
        <v/>
      </c>
      <c r="Z111">
        <f>HYPERLINK("https://klasma.github.io/Logging_0512/fåglar/A 62483-2021 prioriterade fågelarter.docx", "A 62483-2021")</f>
        <v/>
      </c>
    </row>
    <row r="112" ht="15" customHeight="1">
      <c r="A112" t="inlineStr">
        <is>
          <t>A 65599-2021</t>
        </is>
      </c>
      <c r="B112" s="1" t="n">
        <v>44516</v>
      </c>
      <c r="C112" s="1" t="n">
        <v>45710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Blekticka
Ekticka
Korskovall
Oxtungssvamp</t>
        </is>
      </c>
      <c r="S112">
        <f>HYPERLINK("https://klasma.github.io/Logging_0561/artfynd/A 65599-2021 artfynd.xlsx", "A 65599-2021")</f>
        <v/>
      </c>
      <c r="T112">
        <f>HYPERLINK("https://klasma.github.io/Logging_0561/kartor/A 65599-2021 karta.png", "A 65599-2021")</f>
        <v/>
      </c>
      <c r="V112">
        <f>HYPERLINK("https://klasma.github.io/Logging_0561/klagomål/A 65599-2021 FSC-klagomål.docx", "A 65599-2021")</f>
        <v/>
      </c>
      <c r="W112">
        <f>HYPERLINK("https://klasma.github.io/Logging_0561/klagomålsmail/A 65599-2021 FSC-klagomål mail.docx", "A 65599-2021")</f>
        <v/>
      </c>
      <c r="X112">
        <f>HYPERLINK("https://klasma.github.io/Logging_0561/tillsyn/A 65599-2021 tillsynsbegäran.docx", "A 65599-2021")</f>
        <v/>
      </c>
      <c r="Y112">
        <f>HYPERLINK("https://klasma.github.io/Logging_0561/tillsynsmail/A 65599-2021 tillsynsbegäran mail.docx", "A 65599-2021")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45710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Långfotad murkla
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32058-2022</t>
        </is>
      </c>
      <c r="B114" s="1" t="n">
        <v>44778</v>
      </c>
      <c r="C114" s="1" t="n">
        <v>45710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Talltita
Ullticka
Blomkålssvamp</t>
        </is>
      </c>
      <c r="S114">
        <f>HYPERLINK("https://klasma.github.io/Logging_0561/artfynd/A 32058-2022 artfynd.xlsx", "A 32058-2022")</f>
        <v/>
      </c>
      <c r="T114">
        <f>HYPERLINK("https://klasma.github.io/Logging_0561/kartor/A 32058-2022 karta.png", "A 32058-2022")</f>
        <v/>
      </c>
      <c r="U114">
        <f>HYPERLINK("https://klasma.github.io/Logging_0561/knärot/A 32058-2022 karta knärot.png", "A 32058-2022")</f>
        <v/>
      </c>
      <c r="V114">
        <f>HYPERLINK("https://klasma.github.io/Logging_0561/klagomål/A 32058-2022 FSC-klagomål.docx", "A 32058-2022")</f>
        <v/>
      </c>
      <c r="W114">
        <f>HYPERLINK("https://klasma.github.io/Logging_0561/klagomålsmail/A 32058-2022 FSC-klagomål mail.docx", "A 32058-2022")</f>
        <v/>
      </c>
      <c r="X114">
        <f>HYPERLINK("https://klasma.github.io/Logging_0561/tillsyn/A 32058-2022 tillsynsbegäran.docx", "A 32058-2022")</f>
        <v/>
      </c>
      <c r="Y114">
        <f>HYPERLINK("https://klasma.github.io/Logging_0561/tillsynsmail/A 32058-2022 tillsynsbegäran mail.docx", "A 32058-2022")</f>
        <v/>
      </c>
      <c r="Z114">
        <f>HYPERLINK("https://klasma.github.io/Logging_0561/fåglar/A 32058-2022 prioriterade fågelarter.docx", "A 32058-2022")</f>
        <v/>
      </c>
    </row>
    <row r="115" ht="15" customHeight="1">
      <c r="A115" t="inlineStr">
        <is>
          <t>A 40422-2022</t>
        </is>
      </c>
      <c r="B115" s="1" t="n">
        <v>44823</v>
      </c>
      <c r="C115" s="1" t="n">
        <v>45710</v>
      </c>
      <c r="D115" t="inlineStr">
        <is>
          <t>ÖSTERGÖTLANDS LÄN</t>
        </is>
      </c>
      <c r="E115" t="inlineStr">
        <is>
          <t>ÅTVIDABERG</t>
        </is>
      </c>
      <c r="G115" t="n">
        <v>11.3</v>
      </c>
      <c r="H115" t="n">
        <v>2</v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Grön sköldmossa
Korallrot
Stubbspretmossa
Tibast</t>
        </is>
      </c>
      <c r="S115">
        <f>HYPERLINK("https://klasma.github.io/Logging_0561/artfynd/A 40422-2022 artfynd.xlsx", "A 40422-2022")</f>
        <v/>
      </c>
      <c r="T115">
        <f>HYPERLINK("https://klasma.github.io/Logging_0561/kartor/A 40422-2022 karta.png", "A 40422-2022")</f>
        <v/>
      </c>
      <c r="V115">
        <f>HYPERLINK("https://klasma.github.io/Logging_0561/klagomål/A 40422-2022 FSC-klagomål.docx", "A 40422-2022")</f>
        <v/>
      </c>
      <c r="W115">
        <f>HYPERLINK("https://klasma.github.io/Logging_0561/klagomålsmail/A 40422-2022 FSC-klagomål mail.docx", "A 40422-2022")</f>
        <v/>
      </c>
      <c r="X115">
        <f>HYPERLINK("https://klasma.github.io/Logging_0561/tillsyn/A 40422-2022 tillsynsbegäran.docx", "A 40422-2022")</f>
        <v/>
      </c>
      <c r="Y115">
        <f>HYPERLINK("https://klasma.github.io/Logging_0561/tillsynsmail/A 40422-2022 tillsynsbegäran mail.docx", "A 40422-2022")</f>
        <v/>
      </c>
    </row>
    <row r="116" ht="15" customHeight="1">
      <c r="A116" t="inlineStr">
        <is>
          <t>A 6352-2023</t>
        </is>
      </c>
      <c r="B116" s="1" t="n">
        <v>44965</v>
      </c>
      <c r="C116" s="1" t="n">
        <v>45710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3</v>
      </c>
      <c r="I116" t="n">
        <v>0</v>
      </c>
      <c r="J116" t="n">
        <v>2</v>
      </c>
      <c r="K116" t="n">
        <v>1</v>
      </c>
      <c r="L116" t="n">
        <v>1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Grönfink
Stare
Blekticka
Gulsparv</t>
        </is>
      </c>
      <c r="S116">
        <f>HYPERLINK("https://klasma.github.io/Logging_0580/artfynd/A 6352-2023 artfynd.xlsx", "A 6352-2023")</f>
        <v/>
      </c>
      <c r="T116">
        <f>HYPERLINK("https://klasma.github.io/Logging_0580/kartor/A 6352-2023 karta.png", "A 6352-2023")</f>
        <v/>
      </c>
      <c r="V116">
        <f>HYPERLINK("https://klasma.github.io/Logging_0580/klagomål/A 6352-2023 FSC-klagomål.docx", "A 6352-2023")</f>
        <v/>
      </c>
      <c r="W116">
        <f>HYPERLINK("https://klasma.github.io/Logging_0580/klagomålsmail/A 6352-2023 FSC-klagomål mail.docx", "A 6352-2023")</f>
        <v/>
      </c>
      <c r="X116">
        <f>HYPERLINK("https://klasma.github.io/Logging_0580/tillsyn/A 6352-2023 tillsynsbegäran.docx", "A 6352-2023")</f>
        <v/>
      </c>
      <c r="Y116">
        <f>HYPERLINK("https://klasma.github.io/Logging_0580/tillsynsmail/A 6352-2023 tillsynsbegäran mail.docx", "A 6352-2023")</f>
        <v/>
      </c>
      <c r="Z116">
        <f>HYPERLINK("https://klasma.github.io/Logging_0580/fåglar/A 6352-2023 prioriterade fågelarter.docx", "A 6352-2023")</f>
        <v/>
      </c>
    </row>
    <row r="117" ht="15" customHeight="1">
      <c r="A117" t="inlineStr">
        <is>
          <t>A 36938-2023</t>
        </is>
      </c>
      <c r="B117" s="1" t="n">
        <v>45154</v>
      </c>
      <c r="C117" s="1" t="n">
        <v>45710</v>
      </c>
      <c r="D117" t="inlineStr">
        <is>
          <t>ÖSTERGÖTLANDS LÄN</t>
        </is>
      </c>
      <c r="E117" t="inlineStr">
        <is>
          <t>KINDA</t>
        </is>
      </c>
      <c r="F117" t="inlineStr">
        <is>
          <t>Allmännings- och besparingsskogar</t>
        </is>
      </c>
      <c r="G117" t="n">
        <v>9.9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Svart taggsvamp
Dropptaggsvamp
Stor aspticka</t>
        </is>
      </c>
      <c r="S117">
        <f>HYPERLINK("https://klasma.github.io/Logging_0513/artfynd/A 36938-2023 artfynd.xlsx", "A 36938-2023")</f>
        <v/>
      </c>
      <c r="T117">
        <f>HYPERLINK("https://klasma.github.io/Logging_0513/kartor/A 36938-2023 karta.png", "A 36938-2023")</f>
        <v/>
      </c>
      <c r="V117">
        <f>HYPERLINK("https://klasma.github.io/Logging_0513/klagomål/A 36938-2023 FSC-klagomål.docx", "A 36938-2023")</f>
        <v/>
      </c>
      <c r="W117">
        <f>HYPERLINK("https://klasma.github.io/Logging_0513/klagomålsmail/A 36938-2023 FSC-klagomål mail.docx", "A 36938-2023")</f>
        <v/>
      </c>
      <c r="X117">
        <f>HYPERLINK("https://klasma.github.io/Logging_0513/tillsyn/A 36938-2023 tillsynsbegäran.docx", "A 36938-2023")</f>
        <v/>
      </c>
      <c r="Y117">
        <f>HYPERLINK("https://klasma.github.io/Logging_0513/tillsynsmail/A 36938-2023 tillsynsbegäran mail.docx", "A 36938-2023")</f>
        <v/>
      </c>
    </row>
    <row r="118" ht="15" customHeight="1">
      <c r="A118" t="inlineStr">
        <is>
          <t>A 53690-2023</t>
        </is>
      </c>
      <c r="B118" s="1" t="n">
        <v>45230</v>
      </c>
      <c r="C118" s="1" t="n">
        <v>45710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4.5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Kvällsmaskros
Dvärghäxört
Blåsippa
Äkta lopplummer</t>
        </is>
      </c>
      <c r="S118">
        <f>HYPERLINK("https://klasma.github.io/Logging_0560/artfynd/A 53690-2023 artfynd.xlsx", "A 53690-2023")</f>
        <v/>
      </c>
      <c r="T118">
        <f>HYPERLINK("https://klasma.github.io/Logging_0560/kartor/A 53690-2023 karta.png", "A 53690-2023")</f>
        <v/>
      </c>
      <c r="U118">
        <f>HYPERLINK("https://klasma.github.io/Logging_0560/knärot/A 53690-2023 karta knärot.png", "A 53690-2023")</f>
        <v/>
      </c>
      <c r="V118">
        <f>HYPERLINK("https://klasma.github.io/Logging_0560/klagomål/A 53690-2023 FSC-klagomål.docx", "A 53690-2023")</f>
        <v/>
      </c>
      <c r="W118">
        <f>HYPERLINK("https://klasma.github.io/Logging_0560/klagomålsmail/A 53690-2023 FSC-klagomål mail.docx", "A 53690-2023")</f>
        <v/>
      </c>
      <c r="X118">
        <f>HYPERLINK("https://klasma.github.io/Logging_0560/tillsyn/A 53690-2023 tillsynsbegäran.docx", "A 53690-2023")</f>
        <v/>
      </c>
      <c r="Y118">
        <f>HYPERLINK("https://klasma.github.io/Logging_0560/tillsynsmail/A 53690-2023 tillsynsbegäran mail.docx", "A 53690-2023")</f>
        <v/>
      </c>
    </row>
    <row r="119" ht="15" customHeight="1">
      <c r="A119" t="inlineStr">
        <is>
          <t>A 58164-2023</t>
        </is>
      </c>
      <c r="B119" s="1" t="n">
        <v>45250</v>
      </c>
      <c r="C119" s="1" t="n">
        <v>45710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3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Knärot
Vedskivlav
Grön sköldmossa
Tjäder</t>
        </is>
      </c>
      <c r="S119">
        <f>HYPERLINK("https://klasma.github.io/Logging_0561/artfynd/A 58164-2023 artfynd.xlsx", "A 58164-2023")</f>
        <v/>
      </c>
      <c r="T119">
        <f>HYPERLINK("https://klasma.github.io/Logging_0561/kartor/A 58164-2023 karta.png", "A 58164-2023")</f>
        <v/>
      </c>
      <c r="U119">
        <f>HYPERLINK("https://klasma.github.io/Logging_0561/knärot/A 58164-2023 karta knärot.png", "A 58164-2023")</f>
        <v/>
      </c>
      <c r="V119">
        <f>HYPERLINK("https://klasma.github.io/Logging_0561/klagomål/A 58164-2023 FSC-klagomål.docx", "A 58164-2023")</f>
        <v/>
      </c>
      <c r="W119">
        <f>HYPERLINK("https://klasma.github.io/Logging_0561/klagomålsmail/A 58164-2023 FSC-klagomål mail.docx", "A 58164-2023")</f>
        <v/>
      </c>
      <c r="X119">
        <f>HYPERLINK("https://klasma.github.io/Logging_0561/tillsyn/A 58164-2023 tillsynsbegäran.docx", "A 58164-2023")</f>
        <v/>
      </c>
      <c r="Y119">
        <f>HYPERLINK("https://klasma.github.io/Logging_0561/tillsynsmail/A 58164-2023 tillsynsbegäran mail.docx", "A 58164-2023")</f>
        <v/>
      </c>
      <c r="Z119">
        <f>HYPERLINK("https://klasma.github.io/Logging_0561/fåglar/A 58164-2023 prioriterade fågelarter.docx", "A 58164-2023")</f>
        <v/>
      </c>
    </row>
    <row r="120" ht="15" customHeight="1">
      <c r="A120" t="inlineStr">
        <is>
          <t>A 60246-2023</t>
        </is>
      </c>
      <c r="B120" s="1" t="n">
        <v>45258</v>
      </c>
      <c r="C120" s="1" t="n">
        <v>45710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4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Gulsparv
Svartvit flugsnappare
Järnsparv
Kungsfågel</t>
        </is>
      </c>
      <c r="S120">
        <f>HYPERLINK("https://klasma.github.io/Logging_0580/artfynd/A 60246-2023 artfynd.xlsx", "A 60246-2023")</f>
        <v/>
      </c>
      <c r="T120">
        <f>HYPERLINK("https://klasma.github.io/Logging_0580/kartor/A 60246-2023 karta.png", "A 60246-2023")</f>
        <v/>
      </c>
      <c r="V120">
        <f>HYPERLINK("https://klasma.github.io/Logging_0580/klagomål/A 60246-2023 FSC-klagomål.docx", "A 60246-2023")</f>
        <v/>
      </c>
      <c r="W120">
        <f>HYPERLINK("https://klasma.github.io/Logging_0580/klagomålsmail/A 60246-2023 FSC-klagomål mail.docx", "A 60246-2023")</f>
        <v/>
      </c>
      <c r="X120">
        <f>HYPERLINK("https://klasma.github.io/Logging_0580/tillsyn/A 60246-2023 tillsynsbegäran.docx", "A 60246-2023")</f>
        <v/>
      </c>
      <c r="Y120">
        <f>HYPERLINK("https://klasma.github.io/Logging_0580/tillsynsmail/A 60246-2023 tillsynsbegäran mail.docx", "A 60246-2023")</f>
        <v/>
      </c>
      <c r="Z120">
        <f>HYPERLINK("https://klasma.github.io/Logging_0580/fåglar/A 60246-2023 prioriterade fågelarter.docx", "A 60246-2023")</f>
        <v/>
      </c>
    </row>
    <row r="121" ht="15" customHeight="1">
      <c r="A121" t="inlineStr">
        <is>
          <t>A 11833-2024</t>
        </is>
      </c>
      <c r="B121" s="1" t="n">
        <v>45376</v>
      </c>
      <c r="C121" s="1" t="n">
        <v>45710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4</v>
      </c>
      <c r="I121" t="n">
        <v>0</v>
      </c>
      <c r="J121" t="n">
        <v>1</v>
      </c>
      <c r="K121" t="n">
        <v>1</v>
      </c>
      <c r="L121" t="n">
        <v>1</v>
      </c>
      <c r="M121" t="n">
        <v>0</v>
      </c>
      <c r="N121" t="n">
        <v>0</v>
      </c>
      <c r="O121" t="n">
        <v>3</v>
      </c>
      <c r="P121" t="n">
        <v>2</v>
      </c>
      <c r="Q121" t="n">
        <v>4</v>
      </c>
      <c r="R121" s="2" t="inlineStr">
        <is>
          <t>Grönfink
Knärot
Mindre hackspett
Grönsiska</t>
        </is>
      </c>
      <c r="S121">
        <f>HYPERLINK("https://klasma.github.io/Logging_0513/artfynd/A 11833-2024 artfynd.xlsx", "A 11833-2024")</f>
        <v/>
      </c>
      <c r="T121">
        <f>HYPERLINK("https://klasma.github.io/Logging_0513/kartor/A 11833-2024 karta.png", "A 11833-2024")</f>
        <v/>
      </c>
      <c r="U121">
        <f>HYPERLINK("https://klasma.github.io/Logging_0513/knärot/A 11833-2024 karta knärot.png", "A 11833-2024")</f>
        <v/>
      </c>
      <c r="V121">
        <f>HYPERLINK("https://klasma.github.io/Logging_0513/klagomål/A 11833-2024 FSC-klagomål.docx", "A 11833-2024")</f>
        <v/>
      </c>
      <c r="W121">
        <f>HYPERLINK("https://klasma.github.io/Logging_0513/klagomålsmail/A 11833-2024 FSC-klagomål mail.docx", "A 11833-2024")</f>
        <v/>
      </c>
      <c r="X121">
        <f>HYPERLINK("https://klasma.github.io/Logging_0513/tillsyn/A 11833-2024 tillsynsbegäran.docx", "A 11833-2024")</f>
        <v/>
      </c>
      <c r="Y121">
        <f>HYPERLINK("https://klasma.github.io/Logging_0513/tillsynsmail/A 11833-2024 tillsynsbegäran mail.docx", "A 11833-2024")</f>
        <v/>
      </c>
      <c r="Z121">
        <f>HYPERLINK("https://klasma.github.io/Logging_0513/fåglar/A 11833-2024 prioriterade fågelarter.docx", "A 11833-2024")</f>
        <v/>
      </c>
    </row>
    <row r="122" ht="15" customHeight="1">
      <c r="A122" t="inlineStr">
        <is>
          <t>A 11955-2024</t>
        </is>
      </c>
      <c r="B122" s="1" t="n">
        <v>45376</v>
      </c>
      <c r="C122" s="1" t="n">
        <v>45710</v>
      </c>
      <c r="D122" t="inlineStr">
        <is>
          <t>ÖSTERGÖTLANDS LÄN</t>
        </is>
      </c>
      <c r="E122" t="inlineStr">
        <is>
          <t>NORRKÖPING</t>
        </is>
      </c>
      <c r="G122" t="n">
        <v>6.6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Fällmossa
Platt fjädermossa
Traslav
Blåsippa</t>
        </is>
      </c>
      <c r="S122">
        <f>HYPERLINK("https://klasma.github.io/Logging_0581/artfynd/A 11955-2024 artfynd.xlsx", "A 11955-2024")</f>
        <v/>
      </c>
      <c r="T122">
        <f>HYPERLINK("https://klasma.github.io/Logging_0581/kartor/A 11955-2024 karta.png", "A 11955-2024")</f>
        <v/>
      </c>
      <c r="V122">
        <f>HYPERLINK("https://klasma.github.io/Logging_0581/klagomål/A 11955-2024 FSC-klagomål.docx", "A 11955-2024")</f>
        <v/>
      </c>
      <c r="W122">
        <f>HYPERLINK("https://klasma.github.io/Logging_0581/klagomålsmail/A 11955-2024 FSC-klagomål mail.docx", "A 11955-2024")</f>
        <v/>
      </c>
      <c r="X122">
        <f>HYPERLINK("https://klasma.github.io/Logging_0581/tillsyn/A 11955-2024 tillsynsbegäran.docx", "A 11955-2024")</f>
        <v/>
      </c>
      <c r="Y122">
        <f>HYPERLINK("https://klasma.github.io/Logging_0581/tillsynsmail/A 11955-2024 tillsynsbegäran mail.docx", "A 11955-2024")</f>
        <v/>
      </c>
    </row>
    <row r="123" ht="15" customHeight="1">
      <c r="A123" t="inlineStr">
        <is>
          <t>A 18268-2024</t>
        </is>
      </c>
      <c r="B123" s="1" t="n">
        <v>45421</v>
      </c>
      <c r="C123" s="1" t="n">
        <v>45710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5.1</v>
      </c>
      <c r="H123" t="n">
        <v>2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Gullgröppa
Tjäder
Fläcknycklar</t>
        </is>
      </c>
      <c r="S123">
        <f>HYPERLINK("https://klasma.github.io/Logging_0581/artfynd/A 18268-2024 artfynd.xlsx", "A 18268-2024")</f>
        <v/>
      </c>
      <c r="T123">
        <f>HYPERLINK("https://klasma.github.io/Logging_0581/kartor/A 18268-2024 karta.png", "A 18268-2024")</f>
        <v/>
      </c>
      <c r="V123">
        <f>HYPERLINK("https://klasma.github.io/Logging_0581/klagomål/A 18268-2024 FSC-klagomål.docx", "A 18268-2024")</f>
        <v/>
      </c>
      <c r="W123">
        <f>HYPERLINK("https://klasma.github.io/Logging_0581/klagomålsmail/A 18268-2024 FSC-klagomål mail.docx", "A 18268-2024")</f>
        <v/>
      </c>
      <c r="X123">
        <f>HYPERLINK("https://klasma.github.io/Logging_0581/tillsyn/A 18268-2024 tillsynsbegäran.docx", "A 18268-2024")</f>
        <v/>
      </c>
      <c r="Y123">
        <f>HYPERLINK("https://klasma.github.io/Logging_0581/tillsynsmail/A 18268-2024 tillsynsbegäran mail.docx", "A 18268-2024")</f>
        <v/>
      </c>
      <c r="Z123">
        <f>HYPERLINK("https://klasma.github.io/Logging_0581/fåglar/A 18268-2024 prioriterade fågelarter.docx", "A 18268-2024")</f>
        <v/>
      </c>
    </row>
    <row r="124" ht="15" customHeight="1">
      <c r="A124" t="inlineStr">
        <is>
          <t>A 21960-2024</t>
        </is>
      </c>
      <c r="B124" s="1" t="n">
        <v>45443</v>
      </c>
      <c r="C124" s="1" t="n">
        <v>45710</v>
      </c>
      <c r="D124" t="inlineStr">
        <is>
          <t>ÖSTERGÖTLANDS LÄN</t>
        </is>
      </c>
      <c r="E124" t="inlineStr">
        <is>
          <t>ÖDESHÖG</t>
        </is>
      </c>
      <c r="G124" t="n">
        <v>7.5</v>
      </c>
      <c r="H124" t="n">
        <v>3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4</v>
      </c>
      <c r="R124" s="2" t="inlineStr">
        <is>
          <t>Knärot
Reliktbock
Spillkråka
Revlummer</t>
        </is>
      </c>
      <c r="S124">
        <f>HYPERLINK("https://klasma.github.io/Logging_0509/artfynd/A 21960-2024 artfynd.xlsx", "A 21960-2024")</f>
        <v/>
      </c>
      <c r="T124">
        <f>HYPERLINK("https://klasma.github.io/Logging_0509/kartor/A 21960-2024 karta.png", "A 21960-2024")</f>
        <v/>
      </c>
      <c r="U124">
        <f>HYPERLINK("https://klasma.github.io/Logging_0509/knärot/A 21960-2024 karta knärot.png", "A 21960-2024")</f>
        <v/>
      </c>
      <c r="V124">
        <f>HYPERLINK("https://klasma.github.io/Logging_0509/klagomål/A 21960-2024 FSC-klagomål.docx", "A 21960-2024")</f>
        <v/>
      </c>
      <c r="W124">
        <f>HYPERLINK("https://klasma.github.io/Logging_0509/klagomålsmail/A 21960-2024 FSC-klagomål mail.docx", "A 21960-2024")</f>
        <v/>
      </c>
      <c r="X124">
        <f>HYPERLINK("https://klasma.github.io/Logging_0509/tillsyn/A 21960-2024 tillsynsbegäran.docx", "A 21960-2024")</f>
        <v/>
      </c>
      <c r="Y124">
        <f>HYPERLINK("https://klasma.github.io/Logging_0509/tillsynsmail/A 21960-2024 tillsynsbegäran mail.docx", "A 21960-2024")</f>
        <v/>
      </c>
      <c r="Z124">
        <f>HYPERLINK("https://klasma.github.io/Logging_0509/fåglar/A 21960-2024 prioriterade fågelarter.docx", "A 21960-2024")</f>
        <v/>
      </c>
    </row>
    <row r="125" ht="15" customHeight="1">
      <c r="A125" t="inlineStr">
        <is>
          <t>A 40469-2024</t>
        </is>
      </c>
      <c r="B125" s="1" t="n">
        <v>45555</v>
      </c>
      <c r="C125" s="1" t="n">
        <v>45710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24.5</v>
      </c>
      <c r="H125" t="n">
        <v>0</v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Brunpudrad nållav
Brandticka
Gulnål
Kornig nållav</t>
        </is>
      </c>
      <c r="S125">
        <f>HYPERLINK("https://klasma.github.io/Logging_0580/artfynd/A 40469-2024 artfynd.xlsx", "A 40469-2024")</f>
        <v/>
      </c>
      <c r="T125">
        <f>HYPERLINK("https://klasma.github.io/Logging_0580/kartor/A 40469-2024 karta.png", "A 40469-2024")</f>
        <v/>
      </c>
      <c r="V125">
        <f>HYPERLINK("https://klasma.github.io/Logging_0580/klagomål/A 40469-2024 FSC-klagomål.docx", "A 40469-2024")</f>
        <v/>
      </c>
      <c r="W125">
        <f>HYPERLINK("https://klasma.github.io/Logging_0580/klagomålsmail/A 40469-2024 FSC-klagomål mail.docx", "A 40469-2024")</f>
        <v/>
      </c>
      <c r="X125">
        <f>HYPERLINK("https://klasma.github.io/Logging_0580/tillsyn/A 40469-2024 tillsynsbegäran.docx", "A 40469-2024")</f>
        <v/>
      </c>
      <c r="Y125">
        <f>HYPERLINK("https://klasma.github.io/Logging_0580/tillsynsmail/A 40469-2024 tillsynsbegäran mail.docx", "A 40469-2024")</f>
        <v/>
      </c>
    </row>
    <row r="126" ht="15" customHeight="1">
      <c r="A126" t="inlineStr">
        <is>
          <t>A 43283-2024</t>
        </is>
      </c>
      <c r="B126" s="1" t="n">
        <v>45568</v>
      </c>
      <c r="C126" s="1" t="n">
        <v>45710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2.2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Dvärgbägarlav
Motaggsvamp
Vedskivlav
Flagellkvastmossa</t>
        </is>
      </c>
      <c r="S126">
        <f>HYPERLINK("https://klasma.github.io/Logging_0581/artfynd/A 43283-2024 artfynd.xlsx", "A 43283-2024")</f>
        <v/>
      </c>
      <c r="T126">
        <f>HYPERLINK("https://klasma.github.io/Logging_0581/kartor/A 43283-2024 karta.png", "A 43283-2024")</f>
        <v/>
      </c>
      <c r="V126">
        <f>HYPERLINK("https://klasma.github.io/Logging_0581/klagomål/A 43283-2024 FSC-klagomål.docx", "A 43283-2024")</f>
        <v/>
      </c>
      <c r="W126">
        <f>HYPERLINK("https://klasma.github.io/Logging_0581/klagomålsmail/A 43283-2024 FSC-klagomål mail.docx", "A 43283-2024")</f>
        <v/>
      </c>
      <c r="X126">
        <f>HYPERLINK("https://klasma.github.io/Logging_0581/tillsyn/A 43283-2024 tillsynsbegäran.docx", "A 43283-2024")</f>
        <v/>
      </c>
      <c r="Y126">
        <f>HYPERLINK("https://klasma.github.io/Logging_0581/tillsynsmail/A 43283-2024 tillsynsbegäran mail.docx", "A 43283-2024")</f>
        <v/>
      </c>
    </row>
    <row r="127" ht="15" customHeight="1">
      <c r="A127" t="inlineStr">
        <is>
          <t>A 46671-2024</t>
        </is>
      </c>
      <c r="B127" s="1" t="n">
        <v>45583</v>
      </c>
      <c r="C127" s="1" t="n">
        <v>45710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Flagellkvastmossa
Kattfotslav
Vedticka</t>
        </is>
      </c>
      <c r="S127">
        <f>HYPERLINK("https://klasma.github.io/Logging_0581/artfynd/A 46671-2024 artfynd.xlsx", "A 46671-2024")</f>
        <v/>
      </c>
      <c r="T127">
        <f>HYPERLINK("https://klasma.github.io/Logging_0581/kartor/A 46671-2024 karta.png", "A 46671-2024")</f>
        <v/>
      </c>
      <c r="V127">
        <f>HYPERLINK("https://klasma.github.io/Logging_0581/klagomål/A 46671-2024 FSC-klagomål.docx", "A 46671-2024")</f>
        <v/>
      </c>
      <c r="W127">
        <f>HYPERLINK("https://klasma.github.io/Logging_0581/klagomålsmail/A 46671-2024 FSC-klagomål mail.docx", "A 46671-2024")</f>
        <v/>
      </c>
      <c r="X127">
        <f>HYPERLINK("https://klasma.github.io/Logging_0581/tillsyn/A 46671-2024 tillsynsbegäran.docx", "A 46671-2024")</f>
        <v/>
      </c>
      <c r="Y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57132-2024</t>
        </is>
      </c>
      <c r="B128" s="1" t="n">
        <v>45629</v>
      </c>
      <c r="C128" s="1" t="n">
        <v>45710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7</v>
      </c>
      <c r="H128" t="n">
        <v>0</v>
      </c>
      <c r="I128" t="n">
        <v>1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4</v>
      </c>
      <c r="R128" s="2" t="inlineStr">
        <is>
          <t>Gammelekslav
Skrovellav
Skuggorangelav
Kornig nållav</t>
        </is>
      </c>
      <c r="S128">
        <f>HYPERLINK("https://klasma.github.io/Logging_0560/artfynd/A 57132-2024 artfynd.xlsx", "A 57132-2024")</f>
        <v/>
      </c>
      <c r="T128">
        <f>HYPERLINK("https://klasma.github.io/Logging_0560/kartor/A 57132-2024 karta.png", "A 57132-2024")</f>
        <v/>
      </c>
      <c r="V128">
        <f>HYPERLINK("https://klasma.github.io/Logging_0560/klagomål/A 57132-2024 FSC-klagomål.docx", "A 57132-2024")</f>
        <v/>
      </c>
      <c r="W128">
        <f>HYPERLINK("https://klasma.github.io/Logging_0560/klagomålsmail/A 57132-2024 FSC-klagomål mail.docx", "A 57132-2024")</f>
        <v/>
      </c>
      <c r="X128">
        <f>HYPERLINK("https://klasma.github.io/Logging_0560/tillsyn/A 57132-2024 tillsynsbegäran.docx", "A 57132-2024")</f>
        <v/>
      </c>
      <c r="Y128">
        <f>HYPERLINK("https://klasma.github.io/Logging_0560/tillsynsmail/A 57132-2024 tillsynsbegäran mail.docx", "A 57132-2024")</f>
        <v/>
      </c>
    </row>
    <row r="129" ht="15" customHeight="1">
      <c r="A129" t="inlineStr">
        <is>
          <t>A 3617-2025</t>
        </is>
      </c>
      <c r="B129" s="1" t="n">
        <v>45681</v>
      </c>
      <c r="C129" s="1" t="n">
        <v>45710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6.7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Vedskivlav
Blåmossa
Flagellkvastmossa
Tjäder</t>
        </is>
      </c>
      <c r="S129">
        <f>HYPERLINK("https://klasma.github.io/Logging_0562/artfynd/A 3617-2025 artfynd.xlsx", "A 3617-2025")</f>
        <v/>
      </c>
      <c r="T129">
        <f>HYPERLINK("https://klasma.github.io/Logging_0562/kartor/A 3617-2025 karta.png", "A 3617-2025")</f>
        <v/>
      </c>
      <c r="V129">
        <f>HYPERLINK("https://klasma.github.io/Logging_0562/klagomål/A 3617-2025 FSC-klagomål.docx", "A 3617-2025")</f>
        <v/>
      </c>
      <c r="W129">
        <f>HYPERLINK("https://klasma.github.io/Logging_0562/klagomålsmail/A 3617-2025 FSC-klagomål mail.docx", "A 3617-2025")</f>
        <v/>
      </c>
      <c r="X129">
        <f>HYPERLINK("https://klasma.github.io/Logging_0562/tillsyn/A 3617-2025 tillsynsbegäran.docx", "A 3617-2025")</f>
        <v/>
      </c>
      <c r="Y129">
        <f>HYPERLINK("https://klasma.github.io/Logging_0562/tillsynsmail/A 3617-2025 tillsynsbegäran mail.docx", "A 3617-2025")</f>
        <v/>
      </c>
      <c r="Z129">
        <f>HYPERLINK("https://klasma.github.io/Logging_0562/fåglar/A 3617-2025 prioriterade fågelarter.docx", "A 3617-2025")</f>
        <v/>
      </c>
    </row>
    <row r="130" ht="15" customHeight="1">
      <c r="A130" t="inlineStr">
        <is>
          <t>A 6578-2025</t>
        </is>
      </c>
      <c r="B130" s="1" t="n">
        <v>45699</v>
      </c>
      <c r="C130" s="1" t="n">
        <v>45710</v>
      </c>
      <c r="D130" t="inlineStr">
        <is>
          <t>ÖSTERGÖTLANDS LÄN</t>
        </is>
      </c>
      <c r="E130" t="inlineStr">
        <is>
          <t>VALDEMARSVIK</t>
        </is>
      </c>
      <c r="G130" t="n">
        <v>3.8</v>
      </c>
      <c r="H130" t="n">
        <v>1</v>
      </c>
      <c r="I130" t="n">
        <v>0</v>
      </c>
      <c r="J130" t="n">
        <v>2</v>
      </c>
      <c r="K130" t="n">
        <v>2</v>
      </c>
      <c r="L130" t="n">
        <v>0</v>
      </c>
      <c r="M130" t="n">
        <v>0</v>
      </c>
      <c r="N130" t="n">
        <v>0</v>
      </c>
      <c r="O130" t="n">
        <v>4</v>
      </c>
      <c r="P130" t="n">
        <v>2</v>
      </c>
      <c r="Q130" t="n">
        <v>4</v>
      </c>
      <c r="R130" s="2" t="inlineStr">
        <is>
          <t>Hasselsnok
Ljungsnärja
Bredbrämad bastardsvärmare
Mindre bastardsvärmare</t>
        </is>
      </c>
      <c r="S130">
        <f>HYPERLINK("https://klasma.github.io/Logging_0563/artfynd/A 6578-2025 artfynd.xlsx", "A 6578-2025")</f>
        <v/>
      </c>
      <c r="T130">
        <f>HYPERLINK("https://klasma.github.io/Logging_0563/kartor/A 6578-2025 karta.png", "A 6578-2025")</f>
        <v/>
      </c>
      <c r="V130">
        <f>HYPERLINK("https://klasma.github.io/Logging_0563/klagomål/A 6578-2025 FSC-klagomål.docx", "A 6578-2025")</f>
        <v/>
      </c>
      <c r="W130">
        <f>HYPERLINK("https://klasma.github.io/Logging_0563/klagomålsmail/A 6578-2025 FSC-klagomål mail.docx", "A 6578-2025")</f>
        <v/>
      </c>
      <c r="X130">
        <f>HYPERLINK("https://klasma.github.io/Logging_0563/tillsyn/A 6578-2025 tillsynsbegäran.docx", "A 6578-2025")</f>
        <v/>
      </c>
      <c r="Y130">
        <f>HYPERLINK("https://klasma.github.io/Logging_0563/tillsynsmail/A 6578-2025 tillsynsbegäran mail.docx", "A 6578-2025")</f>
        <v/>
      </c>
    </row>
    <row r="131" ht="15" customHeight="1">
      <c r="A131" t="inlineStr">
        <is>
          <t>A 20300-2019</t>
        </is>
      </c>
      <c r="B131" s="1" t="n">
        <v>43570</v>
      </c>
      <c r="C131" s="1" t="n">
        <v>45710</v>
      </c>
      <c r="D131" t="inlineStr">
        <is>
          <t>ÖSTERGÖTLANDS LÄN</t>
        </is>
      </c>
      <c r="E131" t="inlineStr">
        <is>
          <t>ÖDESHÖG</t>
        </is>
      </c>
      <c r="G131" t="n">
        <v>18.2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Skogsbräsma
Strutbräken
Grönvit nattviol</t>
        </is>
      </c>
      <c r="S131">
        <f>HYPERLINK("https://klasma.github.io/Logging_0509/artfynd/A 20300-2019 artfynd.xlsx", "A 20300-2019")</f>
        <v/>
      </c>
      <c r="T131">
        <f>HYPERLINK("https://klasma.github.io/Logging_0509/kartor/A 20300-2019 karta.png", "A 20300-2019")</f>
        <v/>
      </c>
      <c r="V131">
        <f>HYPERLINK("https://klasma.github.io/Logging_0509/klagomål/A 20300-2019 FSC-klagomål.docx", "A 20300-2019")</f>
        <v/>
      </c>
      <c r="W131">
        <f>HYPERLINK("https://klasma.github.io/Logging_0509/klagomålsmail/A 20300-2019 FSC-klagomål mail.docx", "A 20300-2019")</f>
        <v/>
      </c>
      <c r="X131">
        <f>HYPERLINK("https://klasma.github.io/Logging_0509/tillsyn/A 20300-2019 tillsynsbegäran.docx", "A 20300-2019")</f>
        <v/>
      </c>
      <c r="Y131">
        <f>HYPERLINK("https://klasma.github.io/Logging_0509/tillsynsmail/A 20300-2019 tillsynsbegäran mail.docx", "A 20300-2019")</f>
        <v/>
      </c>
    </row>
    <row r="132" ht="15" customHeight="1">
      <c r="A132" t="inlineStr">
        <is>
          <t>A 34176-2019</t>
        </is>
      </c>
      <c r="B132" s="1" t="n">
        <v>43655</v>
      </c>
      <c r="C132" s="1" t="n">
        <v>45710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8.800000000000001</v>
      </c>
      <c r="H132" t="n">
        <v>0</v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Klippfrullania
Sårläka
Trädporella</t>
        </is>
      </c>
      <c r="S132">
        <f>HYPERLINK("https://klasma.github.io/Logging_0581/artfynd/A 34176-2019 artfynd.xlsx", "A 34176-2019")</f>
        <v/>
      </c>
      <c r="T132">
        <f>HYPERLINK("https://klasma.github.io/Logging_0581/kartor/A 34176-2019 karta.png", "A 34176-2019")</f>
        <v/>
      </c>
      <c r="V132">
        <f>HYPERLINK("https://klasma.github.io/Logging_0581/klagomål/A 34176-2019 FSC-klagomål.docx", "A 34176-2019")</f>
        <v/>
      </c>
      <c r="W132">
        <f>HYPERLINK("https://klasma.github.io/Logging_0581/klagomålsmail/A 34176-2019 FSC-klagomål mail.docx", "A 34176-2019")</f>
        <v/>
      </c>
      <c r="X132">
        <f>HYPERLINK("https://klasma.github.io/Logging_0581/tillsyn/A 34176-2019 tillsynsbegäran.docx", "A 34176-2019")</f>
        <v/>
      </c>
      <c r="Y132">
        <f>HYPERLINK("https://klasma.github.io/Logging_0581/tillsynsmail/A 34176-2019 tillsynsbegäran mail.docx", "A 34176-2019")</f>
        <v/>
      </c>
    </row>
    <row r="133" ht="15" customHeight="1">
      <c r="A133" t="inlineStr">
        <is>
          <t>A 35697-2019</t>
        </is>
      </c>
      <c r="B133" s="1" t="n">
        <v>43656</v>
      </c>
      <c r="C133" s="1" t="n">
        <v>45710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Buskskvätta
Gulsparv
Gullviva</t>
        </is>
      </c>
      <c r="S133">
        <f>HYPERLINK("https://klasma.github.io/Logging_0580/artfynd/A 35697-2019 artfynd.xlsx", "A 35697-2019")</f>
        <v/>
      </c>
      <c r="T133">
        <f>HYPERLINK("https://klasma.github.io/Logging_0580/kartor/A 35697-2019 karta.png", "A 35697-2019")</f>
        <v/>
      </c>
      <c r="V133">
        <f>HYPERLINK("https://klasma.github.io/Logging_0580/klagomål/A 35697-2019 FSC-klagomål.docx", "A 35697-2019")</f>
        <v/>
      </c>
      <c r="W133">
        <f>HYPERLINK("https://klasma.github.io/Logging_0580/klagomålsmail/A 35697-2019 FSC-klagomål mail.docx", "A 35697-2019")</f>
        <v/>
      </c>
      <c r="X133">
        <f>HYPERLINK("https://klasma.github.io/Logging_0580/tillsyn/A 35697-2019 tillsynsbegäran.docx", "A 35697-2019")</f>
        <v/>
      </c>
      <c r="Y133">
        <f>HYPERLINK("https://klasma.github.io/Logging_0580/tillsynsmail/A 35697-2019 tillsynsbegäran mail.docx", "A 35697-2019")</f>
        <v/>
      </c>
      <c r="Z133">
        <f>HYPERLINK("https://klasma.github.io/Logging_0580/fåglar/A 35697-2019 prioriterade fågelarter.docx", "A 35697-2019")</f>
        <v/>
      </c>
    </row>
    <row r="134" ht="15" customHeight="1">
      <c r="A134" t="inlineStr">
        <is>
          <t>A 43487-2019</t>
        </is>
      </c>
      <c r="B134" s="1" t="n">
        <v>43706</v>
      </c>
      <c r="C134" s="1" t="n">
        <v>45710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Bronshjon
Skuggblåslav</t>
        </is>
      </c>
      <c r="S134">
        <f>HYPERLINK("https://klasma.github.io/Logging_0580/artfynd/A 43487-2019 artfynd.xlsx", "A 43487-2019")</f>
        <v/>
      </c>
      <c r="T134">
        <f>HYPERLINK("https://klasma.github.io/Logging_0580/kartor/A 43487-2019 karta.png", "A 43487-2019")</f>
        <v/>
      </c>
      <c r="V134">
        <f>HYPERLINK("https://klasma.github.io/Logging_0580/klagomål/A 43487-2019 FSC-klagomål.docx", "A 43487-2019")</f>
        <v/>
      </c>
      <c r="W134">
        <f>HYPERLINK("https://klasma.github.io/Logging_0580/klagomålsmail/A 43487-2019 FSC-klagomål mail.docx", "A 43487-2019")</f>
        <v/>
      </c>
      <c r="X134">
        <f>HYPERLINK("https://klasma.github.io/Logging_0580/tillsyn/A 43487-2019 tillsynsbegäran.docx", "A 43487-2019")</f>
        <v/>
      </c>
      <c r="Y134">
        <f>HYPERLINK("https://klasma.github.io/Logging_0580/tillsynsmail/A 43487-2019 tillsynsbegäran mail.docx", "A 43487-2019")</f>
        <v/>
      </c>
    </row>
    <row r="135" ht="15" customHeight="1">
      <c r="A135" t="inlineStr">
        <is>
          <t>A 50566-2019</t>
        </is>
      </c>
      <c r="B135" s="1" t="n">
        <v>43735</v>
      </c>
      <c r="C135" s="1" t="n">
        <v>45710</v>
      </c>
      <c r="D135" t="inlineStr">
        <is>
          <t>ÖSTERGÖTLANDS LÄN</t>
        </is>
      </c>
      <c r="E135" t="inlineStr">
        <is>
          <t>MOTALA</t>
        </is>
      </c>
      <c r="G135" t="n">
        <v>13.2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Skogsalm
Underviol
Vårärt</t>
        </is>
      </c>
      <c r="S135">
        <f>HYPERLINK("https://klasma.github.io/Logging_0583/artfynd/A 50566-2019 artfynd.xlsx", "A 50566-2019")</f>
        <v/>
      </c>
      <c r="T135">
        <f>HYPERLINK("https://klasma.github.io/Logging_0583/kartor/A 50566-2019 karta.png", "A 50566-2019")</f>
        <v/>
      </c>
      <c r="V135">
        <f>HYPERLINK("https://klasma.github.io/Logging_0583/klagomål/A 50566-2019 FSC-klagomål.docx", "A 50566-2019")</f>
        <v/>
      </c>
      <c r="W135">
        <f>HYPERLINK("https://klasma.github.io/Logging_0583/klagomålsmail/A 50566-2019 FSC-klagomål mail.docx", "A 50566-2019")</f>
        <v/>
      </c>
      <c r="X135">
        <f>HYPERLINK("https://klasma.github.io/Logging_0583/tillsyn/A 50566-2019 tillsynsbegäran.docx", "A 50566-2019")</f>
        <v/>
      </c>
      <c r="Y135">
        <f>HYPERLINK("https://klasma.github.io/Logging_0583/tillsynsmail/A 50566-2019 tillsynsbegäran mail.docx", "A 50566-2019")</f>
        <v/>
      </c>
    </row>
    <row r="136" ht="15" customHeight="1">
      <c r="A136" t="inlineStr">
        <is>
          <t>A 3682-2020</t>
        </is>
      </c>
      <c r="B136" s="1" t="n">
        <v>43853</v>
      </c>
      <c r="C136" s="1" t="n">
        <v>45710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13.4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Tallticka
Vedskivlav
Huggorm</t>
        </is>
      </c>
      <c r="S136">
        <f>HYPERLINK("https://klasma.github.io/Logging_0562/artfynd/A 3682-2020 artfynd.xlsx", "A 3682-2020")</f>
        <v/>
      </c>
      <c r="T136">
        <f>HYPERLINK("https://klasma.github.io/Logging_0562/kartor/A 3682-2020 karta.png", "A 3682-2020")</f>
        <v/>
      </c>
      <c r="V136">
        <f>HYPERLINK("https://klasma.github.io/Logging_0562/klagomål/A 3682-2020 FSC-klagomål.docx", "A 3682-2020")</f>
        <v/>
      </c>
      <c r="W136">
        <f>HYPERLINK("https://klasma.github.io/Logging_0562/klagomålsmail/A 3682-2020 FSC-klagomål mail.docx", "A 3682-2020")</f>
        <v/>
      </c>
      <c r="X136">
        <f>HYPERLINK("https://klasma.github.io/Logging_0562/tillsyn/A 3682-2020 tillsynsbegäran.docx", "A 3682-2020")</f>
        <v/>
      </c>
      <c r="Y136">
        <f>HYPERLINK("https://klasma.github.io/Logging_0562/tillsynsmail/A 3682-2020 tillsynsbegäran mail.docx", "A 3682-2020")</f>
        <v/>
      </c>
    </row>
    <row r="137" ht="15" customHeight="1">
      <c r="A137" t="inlineStr">
        <is>
          <t>A 5212-2020</t>
        </is>
      </c>
      <c r="B137" s="1" t="n">
        <v>43860</v>
      </c>
      <c r="C137" s="1" t="n">
        <v>45710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Dvärgbägarlav
Blomkålssvamp
Mindre märgborre</t>
        </is>
      </c>
      <c r="S137">
        <f>HYPERLINK("https://klasma.github.io/Logging_0563/artfynd/A 5212-2020 artfynd.xlsx", "A 5212-2020")</f>
        <v/>
      </c>
      <c r="T137">
        <f>HYPERLINK("https://klasma.github.io/Logging_0563/kartor/A 5212-2020 karta.png", "A 5212-2020")</f>
        <v/>
      </c>
      <c r="V137">
        <f>HYPERLINK("https://klasma.github.io/Logging_0563/klagomål/A 5212-2020 FSC-klagomål.docx", "A 5212-2020")</f>
        <v/>
      </c>
      <c r="W137">
        <f>HYPERLINK("https://klasma.github.io/Logging_0563/klagomålsmail/A 5212-2020 FSC-klagomål mail.docx", "A 5212-2020")</f>
        <v/>
      </c>
      <c r="X137">
        <f>HYPERLINK("https://klasma.github.io/Logging_0563/tillsyn/A 5212-2020 tillsynsbegäran.docx", "A 5212-2020")</f>
        <v/>
      </c>
      <c r="Y137">
        <f>HYPERLINK("https://klasma.github.io/Logging_0563/tillsynsmail/A 5212-2020 tillsynsbegäran mail.docx", "A 5212-2020")</f>
        <v/>
      </c>
    </row>
    <row r="138" ht="15" customHeight="1">
      <c r="A138" t="inlineStr">
        <is>
          <t>A 44668-2020</t>
        </is>
      </c>
      <c r="B138" s="1" t="n">
        <v>44085</v>
      </c>
      <c r="C138" s="1" t="n">
        <v>45710</v>
      </c>
      <c r="D138" t="inlineStr">
        <is>
          <t>ÖSTERGÖTLANDS LÄN</t>
        </is>
      </c>
      <c r="E138" t="inlineStr">
        <is>
          <t>LINKÖPING</t>
        </is>
      </c>
      <c r="G138" t="n">
        <v>15.2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1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Skogsalm
Riddarsporre
Sommarfibbla</t>
        </is>
      </c>
      <c r="S138">
        <f>HYPERLINK("https://klasma.github.io/Logging_0580/artfynd/A 44668-2020 artfynd.xlsx", "A 44668-2020")</f>
        <v/>
      </c>
      <c r="T138">
        <f>HYPERLINK("https://klasma.github.io/Logging_0580/kartor/A 44668-2020 karta.png", "A 44668-2020")</f>
        <v/>
      </c>
      <c r="V138">
        <f>HYPERLINK("https://klasma.github.io/Logging_0580/klagomål/A 44668-2020 FSC-klagomål.docx", "A 44668-2020")</f>
        <v/>
      </c>
      <c r="W138">
        <f>HYPERLINK("https://klasma.github.io/Logging_0580/klagomålsmail/A 44668-2020 FSC-klagomål mail.docx", "A 44668-2020")</f>
        <v/>
      </c>
      <c r="X138">
        <f>HYPERLINK("https://klasma.github.io/Logging_0580/tillsyn/A 44668-2020 tillsynsbegäran.docx", "A 44668-2020")</f>
        <v/>
      </c>
      <c r="Y138">
        <f>HYPERLINK("https://klasma.github.io/Logging_0580/tillsynsmail/A 44668-2020 tillsynsbegäran mail.docx", "A 44668-2020")</f>
        <v/>
      </c>
    </row>
    <row r="139" ht="15" customHeight="1">
      <c r="A139" t="inlineStr">
        <is>
          <t>A 48663-2020</t>
        </is>
      </c>
      <c r="B139" s="1" t="n">
        <v>44103</v>
      </c>
      <c r="C139" s="1" t="n">
        <v>45710</v>
      </c>
      <c r="D139" t="inlineStr">
        <is>
          <t>ÖSTERGÖTLANDS LÄN</t>
        </is>
      </c>
      <c r="E139" t="inlineStr">
        <is>
          <t>FINSPÅNG</t>
        </is>
      </c>
      <c r="G139" t="n">
        <v>13.6</v>
      </c>
      <c r="H139" t="n">
        <v>3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Entita
Kopparödla
Revlummer</t>
        </is>
      </c>
      <c r="S139">
        <f>HYPERLINK("https://klasma.github.io/Logging_0562/artfynd/A 48663-2020 artfynd.xlsx", "A 48663-2020")</f>
        <v/>
      </c>
      <c r="T139">
        <f>HYPERLINK("https://klasma.github.io/Logging_0562/kartor/A 48663-2020 karta.png", "A 48663-2020")</f>
        <v/>
      </c>
      <c r="V139">
        <f>HYPERLINK("https://klasma.github.io/Logging_0562/klagomål/A 48663-2020 FSC-klagomål.docx", "A 48663-2020")</f>
        <v/>
      </c>
      <c r="W139">
        <f>HYPERLINK("https://klasma.github.io/Logging_0562/klagomålsmail/A 48663-2020 FSC-klagomål mail.docx", "A 48663-2020")</f>
        <v/>
      </c>
      <c r="X139">
        <f>HYPERLINK("https://klasma.github.io/Logging_0562/tillsyn/A 48663-2020 tillsynsbegäran.docx", "A 48663-2020")</f>
        <v/>
      </c>
      <c r="Y139">
        <f>HYPERLINK("https://klasma.github.io/Logging_0562/tillsynsmail/A 48663-2020 tillsynsbegäran mail.docx", "A 48663-2020")</f>
        <v/>
      </c>
      <c r="Z139">
        <f>HYPERLINK("https://klasma.github.io/Logging_0562/fåglar/A 48663-2020 prioriterade fågelarter.docx", "A 48663-2020")</f>
        <v/>
      </c>
    </row>
    <row r="140" ht="15" customHeight="1">
      <c r="A140" t="inlineStr">
        <is>
          <t>A 8654-2021</t>
        </is>
      </c>
      <c r="B140" s="1" t="n">
        <v>44246</v>
      </c>
      <c r="C140" s="1" t="n">
        <v>45710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Gulvit blekspik
Ullticka
Granbarkgnagare</t>
        </is>
      </c>
      <c r="S140">
        <f>HYPERLINK("https://klasma.github.io/Logging_0582/artfynd/A 8654-2021 artfynd.xlsx", "A 8654-2021")</f>
        <v/>
      </c>
      <c r="T140">
        <f>HYPERLINK("https://klasma.github.io/Logging_0582/kartor/A 8654-2021 karta.png", "A 8654-2021")</f>
        <v/>
      </c>
      <c r="V140">
        <f>HYPERLINK("https://klasma.github.io/Logging_0582/klagomål/A 8654-2021 FSC-klagomål.docx", "A 8654-2021")</f>
        <v/>
      </c>
      <c r="W140">
        <f>HYPERLINK("https://klasma.github.io/Logging_0582/klagomålsmail/A 8654-2021 FSC-klagomål mail.docx", "A 8654-2021")</f>
        <v/>
      </c>
      <c r="X140">
        <f>HYPERLINK("https://klasma.github.io/Logging_0582/tillsyn/A 8654-2021 tillsynsbegäran.docx", "A 8654-2021")</f>
        <v/>
      </c>
      <c r="Y140">
        <f>HYPERLINK("https://klasma.github.io/Logging_0582/tillsynsmail/A 8654-2021 tillsynsbegäran mail.docx", "A 8654-2021")</f>
        <v/>
      </c>
    </row>
    <row r="141" ht="15" customHeight="1">
      <c r="A141" t="inlineStr">
        <is>
          <t>A 10275-2021</t>
        </is>
      </c>
      <c r="B141" s="1" t="n">
        <v>44256</v>
      </c>
      <c r="C141" s="1" t="n">
        <v>45710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1.9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Stenporella
Trubbfjädermossa</t>
        </is>
      </c>
      <c r="S141">
        <f>HYPERLINK("https://klasma.github.io/Logging_0561/artfynd/A 10275-2021 artfynd.xlsx", "A 10275-2021")</f>
        <v/>
      </c>
      <c r="T141">
        <f>HYPERLINK("https://klasma.github.io/Logging_0561/kartor/A 10275-2021 karta.png", "A 10275-2021")</f>
        <v/>
      </c>
      <c r="V141">
        <f>HYPERLINK("https://klasma.github.io/Logging_0561/klagomål/A 10275-2021 FSC-klagomål.docx", "A 10275-2021")</f>
        <v/>
      </c>
      <c r="W141">
        <f>HYPERLINK("https://klasma.github.io/Logging_0561/klagomålsmail/A 10275-2021 FSC-klagomål mail.docx", "A 10275-2021")</f>
        <v/>
      </c>
      <c r="X141">
        <f>HYPERLINK("https://klasma.github.io/Logging_0561/tillsyn/A 10275-2021 tillsynsbegäran.docx", "A 10275-2021")</f>
        <v/>
      </c>
      <c r="Y141">
        <f>HYPERLINK("https://klasma.github.io/Logging_0561/tillsynsmail/A 10275-2021 tillsynsbegäran mail.docx", "A 10275-2021")</f>
        <v/>
      </c>
    </row>
    <row r="142" ht="15" customHeight="1">
      <c r="A142" t="inlineStr">
        <is>
          <t>A 12419-2021</t>
        </is>
      </c>
      <c r="B142" s="1" t="n">
        <v>44267</v>
      </c>
      <c r="C142" s="1" t="n">
        <v>45710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5.8</v>
      </c>
      <c r="H142" t="n">
        <v>2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Hållav
Plattlummer
Äkta lopplummer</t>
        </is>
      </c>
      <c r="S142">
        <f>HYPERLINK("https://klasma.github.io/Logging_0581/artfynd/A 12419-2021 artfynd.xlsx", "A 12419-2021")</f>
        <v/>
      </c>
      <c r="T142">
        <f>HYPERLINK("https://klasma.github.io/Logging_0581/kartor/A 12419-2021 karta.png", "A 12419-2021")</f>
        <v/>
      </c>
      <c r="V142">
        <f>HYPERLINK("https://klasma.github.io/Logging_0581/klagomål/A 12419-2021 FSC-klagomål.docx", "A 12419-2021")</f>
        <v/>
      </c>
      <c r="W142">
        <f>HYPERLINK("https://klasma.github.io/Logging_0581/klagomålsmail/A 12419-2021 FSC-klagomål mail.docx", "A 12419-2021")</f>
        <v/>
      </c>
      <c r="X142">
        <f>HYPERLINK("https://klasma.github.io/Logging_0581/tillsyn/A 12419-2021 tillsynsbegäran.docx", "A 12419-2021")</f>
        <v/>
      </c>
      <c r="Y142">
        <f>HYPERLINK("https://klasma.github.io/Logging_0581/tillsynsmail/A 12419-2021 tillsynsbegäran mail.docx", "A 12419-2021")</f>
        <v/>
      </c>
    </row>
    <row r="143" ht="15" customHeight="1">
      <c r="A143" t="inlineStr">
        <is>
          <t>A 24837-2021</t>
        </is>
      </c>
      <c r="B143" s="1" t="n">
        <v>44340</v>
      </c>
      <c r="C143" s="1" t="n">
        <v>45710</v>
      </c>
      <c r="D143" t="inlineStr">
        <is>
          <t>ÖSTERGÖTLANDS LÄN</t>
        </is>
      </c>
      <c r="E143" t="inlineStr">
        <is>
          <t>KINDA</t>
        </is>
      </c>
      <c r="G143" t="n">
        <v>16.9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Björksplintborre
Blåmossa</t>
        </is>
      </c>
      <c r="S143">
        <f>HYPERLINK("https://klasma.github.io/Logging_0513/artfynd/A 24837-2021 artfynd.xlsx", "A 24837-2021")</f>
        <v/>
      </c>
      <c r="T143">
        <f>HYPERLINK("https://klasma.github.io/Logging_0513/kartor/A 24837-2021 karta.png", "A 24837-2021")</f>
        <v/>
      </c>
      <c r="U143">
        <f>HYPERLINK("https://klasma.github.io/Logging_0513/knärot/A 24837-2021 karta knärot.png", "A 24837-2021")</f>
        <v/>
      </c>
      <c r="V143">
        <f>HYPERLINK("https://klasma.github.io/Logging_0513/klagomål/A 24837-2021 FSC-klagomål.docx", "A 24837-2021")</f>
        <v/>
      </c>
      <c r="W143">
        <f>HYPERLINK("https://klasma.github.io/Logging_0513/klagomålsmail/A 24837-2021 FSC-klagomål mail.docx", "A 24837-2021")</f>
        <v/>
      </c>
      <c r="X143">
        <f>HYPERLINK("https://klasma.github.io/Logging_0513/tillsyn/A 24837-2021 tillsynsbegäran.docx", "A 24837-2021")</f>
        <v/>
      </c>
      <c r="Y143">
        <f>HYPERLINK("https://klasma.github.io/Logging_0513/tillsynsmail/A 24837-2021 tillsynsbegäran mail.docx", "A 24837-2021")</f>
        <v/>
      </c>
    </row>
    <row r="144" ht="15" customHeight="1">
      <c r="A144" t="inlineStr">
        <is>
          <t>A 67603-2021</t>
        </is>
      </c>
      <c r="B144" s="1" t="n">
        <v>44524</v>
      </c>
      <c r="C144" s="1" t="n">
        <v>45710</v>
      </c>
      <c r="D144" t="inlineStr">
        <is>
          <t>ÖSTERGÖTLANDS LÄN</t>
        </is>
      </c>
      <c r="E144" t="inlineStr">
        <is>
          <t>MJÖLBY</t>
        </is>
      </c>
      <c r="G144" t="n">
        <v>5.1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Backsippa
Plattad jordtunga
Svart jordtunga</t>
        </is>
      </c>
      <c r="S144">
        <f>HYPERLINK("https://klasma.github.io/Logging_0586/artfynd/A 67603-2021 artfynd.xlsx", "A 67603-2021")</f>
        <v/>
      </c>
      <c r="T144">
        <f>HYPERLINK("https://klasma.github.io/Logging_0586/kartor/A 67603-2021 karta.png", "A 67603-2021")</f>
        <v/>
      </c>
      <c r="V144">
        <f>HYPERLINK("https://klasma.github.io/Logging_0586/klagomål/A 67603-2021 FSC-klagomål.docx", "A 67603-2021")</f>
        <v/>
      </c>
      <c r="W144">
        <f>HYPERLINK("https://klasma.github.io/Logging_0586/klagomålsmail/A 67603-2021 FSC-klagomål mail.docx", "A 67603-2021")</f>
        <v/>
      </c>
      <c r="X144">
        <f>HYPERLINK("https://klasma.github.io/Logging_0586/tillsyn/A 67603-2021 tillsynsbegäran.docx", "A 67603-2021")</f>
        <v/>
      </c>
      <c r="Y144">
        <f>HYPERLINK("https://klasma.github.io/Logging_0586/tillsynsmail/A 67603-2021 tillsynsbegäran mail.docx", "A 67603-2021")</f>
        <v/>
      </c>
    </row>
    <row r="145" ht="15" customHeight="1">
      <c r="A145" t="inlineStr">
        <is>
          <t>A 1075-2022</t>
        </is>
      </c>
      <c r="B145" s="1" t="n">
        <v>44571</v>
      </c>
      <c r="C145" s="1" t="n">
        <v>45710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Tallticka
Grönpyrola</t>
        </is>
      </c>
      <c r="S145">
        <f>HYPERLINK("https://klasma.github.io/Logging_0563/artfynd/A 1075-2022 artfynd.xlsx", "A 1075-2022")</f>
        <v/>
      </c>
      <c r="T145">
        <f>HYPERLINK("https://klasma.github.io/Logging_0563/kartor/A 1075-2022 karta.png", "A 1075-2022")</f>
        <v/>
      </c>
      <c r="U145">
        <f>HYPERLINK("https://klasma.github.io/Logging_0563/knärot/A 1075-2022 karta knärot.png", "A 1075-2022")</f>
        <v/>
      </c>
      <c r="V145">
        <f>HYPERLINK("https://klasma.github.io/Logging_0563/klagomål/A 1075-2022 FSC-klagomål.docx", "A 1075-2022")</f>
        <v/>
      </c>
      <c r="W145">
        <f>HYPERLINK("https://klasma.github.io/Logging_0563/klagomålsmail/A 1075-2022 FSC-klagomål mail.docx", "A 1075-2022")</f>
        <v/>
      </c>
      <c r="X145">
        <f>HYPERLINK("https://klasma.github.io/Logging_0563/tillsyn/A 1075-2022 tillsynsbegäran.docx", "A 1075-2022")</f>
        <v/>
      </c>
      <c r="Y145">
        <f>HYPERLINK("https://klasma.github.io/Logging_0563/tillsynsmail/A 1075-2022 tillsynsbegäran mail.docx", "A 1075-2022")</f>
        <v/>
      </c>
    </row>
    <row r="146" ht="15" customHeight="1">
      <c r="A146" t="inlineStr">
        <is>
          <t>A 1541-2022</t>
        </is>
      </c>
      <c r="B146" s="1" t="n">
        <v>44573</v>
      </c>
      <c r="C146" s="1" t="n">
        <v>45710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12.8</v>
      </c>
      <c r="H146" t="n">
        <v>2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Havsörn
Spillkråka
Blåmossa</t>
        </is>
      </c>
      <c r="S146">
        <f>HYPERLINK("https://klasma.github.io/Logging_0562/artfynd/A 1541-2022 artfynd.xlsx", "A 1541-2022")</f>
        <v/>
      </c>
      <c r="T146">
        <f>HYPERLINK("https://klasma.github.io/Logging_0562/kartor/A 1541-2022 karta.png", "A 1541-2022")</f>
        <v/>
      </c>
      <c r="V146">
        <f>HYPERLINK("https://klasma.github.io/Logging_0562/klagomål/A 1541-2022 FSC-klagomål.docx", "A 1541-2022")</f>
        <v/>
      </c>
      <c r="W146">
        <f>HYPERLINK("https://klasma.github.io/Logging_0562/klagomålsmail/A 1541-2022 FSC-klagomål mail.docx", "A 1541-2022")</f>
        <v/>
      </c>
      <c r="X146">
        <f>HYPERLINK("https://klasma.github.io/Logging_0562/tillsyn/A 1541-2022 tillsynsbegäran.docx", "A 1541-2022")</f>
        <v/>
      </c>
      <c r="Y146">
        <f>HYPERLINK("https://klasma.github.io/Logging_0562/tillsynsmail/A 1541-2022 tillsynsbegäran mail.docx", "A 1541-2022")</f>
        <v/>
      </c>
      <c r="Z146">
        <f>HYPERLINK("https://klasma.github.io/Logging_0562/fåglar/A 1541-2022 prioriterade fågelarter.docx", "A 1541-2022")</f>
        <v/>
      </c>
    </row>
    <row r="147" ht="15" customHeight="1">
      <c r="A147" t="inlineStr">
        <is>
          <t>A 17518-2022</t>
        </is>
      </c>
      <c r="B147" s="1" t="n">
        <v>44679</v>
      </c>
      <c r="C147" s="1" t="n">
        <v>45710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3</v>
      </c>
      <c r="H147" t="n">
        <v>1</v>
      </c>
      <c r="I147" t="n">
        <v>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Ask
Smal svampklubba
Blåsippa</t>
        </is>
      </c>
      <c r="S147">
        <f>HYPERLINK("https://klasma.github.io/Logging_0580/artfynd/A 17518-2022 artfynd.xlsx", "A 17518-2022")</f>
        <v/>
      </c>
      <c r="T147">
        <f>HYPERLINK("https://klasma.github.io/Logging_0580/kartor/A 17518-2022 karta.png", "A 17518-2022")</f>
        <v/>
      </c>
      <c r="V147">
        <f>HYPERLINK("https://klasma.github.io/Logging_0580/klagomål/A 17518-2022 FSC-klagomål.docx", "A 17518-2022")</f>
        <v/>
      </c>
      <c r="W147">
        <f>HYPERLINK("https://klasma.github.io/Logging_0580/klagomålsmail/A 17518-2022 FSC-klagomål mail.docx", "A 17518-2022")</f>
        <v/>
      </c>
      <c r="X147">
        <f>HYPERLINK("https://klasma.github.io/Logging_0580/tillsyn/A 17518-2022 tillsynsbegäran.docx", "A 17518-2022")</f>
        <v/>
      </c>
      <c r="Y147">
        <f>HYPERLINK("https://klasma.github.io/Logging_0580/tillsynsmail/A 17518-2022 tillsynsbegäran mail.docx", "A 17518-2022")</f>
        <v/>
      </c>
    </row>
    <row r="148" ht="15" customHeight="1">
      <c r="A148" t="inlineStr">
        <is>
          <t>A 22312-2022</t>
        </is>
      </c>
      <c r="B148" s="1" t="n">
        <v>44712</v>
      </c>
      <c r="C148" s="1" t="n">
        <v>45710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3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Brunlångöra
Nordfladdermus
Gråskimlig fladdermus</t>
        </is>
      </c>
      <c r="S148">
        <f>HYPERLINK("https://klasma.github.io/Logging_0563/artfynd/A 22312-2022 artfynd.xlsx", "A 22312-2022")</f>
        <v/>
      </c>
      <c r="T148">
        <f>HYPERLINK("https://klasma.github.io/Logging_0563/kartor/A 22312-2022 karta.png", "A 22312-2022")</f>
        <v/>
      </c>
      <c r="V148">
        <f>HYPERLINK("https://klasma.github.io/Logging_0563/klagomål/A 22312-2022 FSC-klagomål.docx", "A 22312-2022")</f>
        <v/>
      </c>
      <c r="W148">
        <f>HYPERLINK("https://klasma.github.io/Logging_0563/klagomålsmail/A 22312-2022 FSC-klagomål mail.docx", "A 22312-2022")</f>
        <v/>
      </c>
      <c r="X148">
        <f>HYPERLINK("https://klasma.github.io/Logging_0563/tillsyn/A 22312-2022 tillsynsbegäran.docx", "A 22312-2022")</f>
        <v/>
      </c>
      <c r="Y148">
        <f>HYPERLINK("https://klasma.github.io/Logging_0563/tillsynsmail/A 22312-2022 tillsynsbegäran mail.docx", "A 22312-2022")</f>
        <v/>
      </c>
    </row>
    <row r="149" ht="15" customHeight="1">
      <c r="A149" t="inlineStr">
        <is>
          <t>A 27667-2022</t>
        </is>
      </c>
      <c r="B149" s="1" t="n">
        <v>44743</v>
      </c>
      <c r="C149" s="1" t="n">
        <v>45710</v>
      </c>
      <c r="D149" t="inlineStr">
        <is>
          <t>ÖSTERGÖTLANDS LÄN</t>
        </is>
      </c>
      <c r="E149" t="inlineStr">
        <is>
          <t>KINDA</t>
        </is>
      </c>
      <c r="F149" t="inlineStr">
        <is>
          <t>Övriga Aktiebolag</t>
        </is>
      </c>
      <c r="G149" t="n">
        <v>28.5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Kattfotslav
Mindre märgborre
Fläcknycklar</t>
        </is>
      </c>
      <c r="S149">
        <f>HYPERLINK("https://klasma.github.io/Logging_0513/artfynd/A 27667-2022 artfynd.xlsx", "A 27667-2022")</f>
        <v/>
      </c>
      <c r="T149">
        <f>HYPERLINK("https://klasma.github.io/Logging_0513/kartor/A 27667-2022 karta.png", "A 27667-2022")</f>
        <v/>
      </c>
      <c r="V149">
        <f>HYPERLINK("https://klasma.github.io/Logging_0513/klagomål/A 27667-2022 FSC-klagomål.docx", "A 27667-2022")</f>
        <v/>
      </c>
      <c r="W149">
        <f>HYPERLINK("https://klasma.github.io/Logging_0513/klagomålsmail/A 27667-2022 FSC-klagomål mail.docx", "A 27667-2022")</f>
        <v/>
      </c>
      <c r="X149">
        <f>HYPERLINK("https://klasma.github.io/Logging_0513/tillsyn/A 27667-2022 tillsynsbegäran.docx", "A 27667-2022")</f>
        <v/>
      </c>
      <c r="Y149">
        <f>HYPERLINK("https://klasma.github.io/Logging_0513/tillsynsmail/A 27667-2022 tillsynsbegäran mail.docx", "A 27667-2022")</f>
        <v/>
      </c>
    </row>
    <row r="150" ht="15" customHeight="1">
      <c r="A150" t="inlineStr">
        <is>
          <t>A 32571-2022</t>
        </is>
      </c>
      <c r="B150" s="1" t="n">
        <v>44783</v>
      </c>
      <c r="C150" s="1" t="n">
        <v>45710</v>
      </c>
      <c r="D150" t="inlineStr">
        <is>
          <t>ÖSTERGÖTLANDS LÄN</t>
        </is>
      </c>
      <c r="E150" t="inlineStr">
        <is>
          <t>LINKÖPING</t>
        </is>
      </c>
      <c r="G150" t="n">
        <v>3.8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Granbarkgnagare
Skogsbräsma
Tibast</t>
        </is>
      </c>
      <c r="S150">
        <f>HYPERLINK("https://klasma.github.io/Logging_0580/artfynd/A 32571-2022 artfynd.xlsx", "A 32571-2022")</f>
        <v/>
      </c>
      <c r="T150">
        <f>HYPERLINK("https://klasma.github.io/Logging_0580/kartor/A 32571-2022 karta.png", "A 32571-2022")</f>
        <v/>
      </c>
      <c r="V150">
        <f>HYPERLINK("https://klasma.github.io/Logging_0580/klagomål/A 32571-2022 FSC-klagomål.docx", "A 32571-2022")</f>
        <v/>
      </c>
      <c r="W150">
        <f>HYPERLINK("https://klasma.github.io/Logging_0580/klagomålsmail/A 32571-2022 FSC-klagomål mail.docx", "A 32571-2022")</f>
        <v/>
      </c>
      <c r="X150">
        <f>HYPERLINK("https://klasma.github.io/Logging_0580/tillsyn/A 32571-2022 tillsynsbegäran.docx", "A 32571-2022")</f>
        <v/>
      </c>
      <c r="Y150">
        <f>HYPERLINK("https://klasma.github.io/Logging_0580/tillsynsmail/A 32571-2022 tillsynsbegäran mail.docx", "A 32571-2022")</f>
        <v/>
      </c>
    </row>
    <row r="151" ht="15" customHeight="1">
      <c r="A151" t="inlineStr">
        <is>
          <t>A 861-2023</t>
        </is>
      </c>
      <c r="B151" s="1" t="n">
        <v>44931</v>
      </c>
      <c r="C151" s="1" t="n">
        <v>45710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Kommuner</t>
        </is>
      </c>
      <c r="G151" t="n">
        <v>4.4</v>
      </c>
      <c r="H151" t="n">
        <v>3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Nordfladdermus
Dvärgpipistrell
Vattenfladdermus</t>
        </is>
      </c>
      <c r="S151">
        <f>HYPERLINK("https://klasma.github.io/Logging_0581/artfynd/A 861-2023 artfynd.xlsx", "A 861-2023")</f>
        <v/>
      </c>
      <c r="T151">
        <f>HYPERLINK("https://klasma.github.io/Logging_0581/kartor/A 861-2023 karta.png", "A 861-2023")</f>
        <v/>
      </c>
      <c r="V151">
        <f>HYPERLINK("https://klasma.github.io/Logging_0581/klagomål/A 861-2023 FSC-klagomål.docx", "A 861-2023")</f>
        <v/>
      </c>
      <c r="W151">
        <f>HYPERLINK("https://klasma.github.io/Logging_0581/klagomålsmail/A 861-2023 FSC-klagomål mail.docx", "A 861-2023")</f>
        <v/>
      </c>
      <c r="X151">
        <f>HYPERLINK("https://klasma.github.io/Logging_0581/tillsyn/A 861-2023 tillsynsbegäran.docx", "A 861-2023")</f>
        <v/>
      </c>
      <c r="Y151">
        <f>HYPERLINK("https://klasma.github.io/Logging_0581/tillsynsmail/A 861-2023 tillsynsbegäran mail.docx", "A 861-2023")</f>
        <v/>
      </c>
    </row>
    <row r="152" ht="15" customHeight="1">
      <c r="A152" t="inlineStr">
        <is>
          <t>A 5119-2023</t>
        </is>
      </c>
      <c r="B152" s="1" t="n">
        <v>44958</v>
      </c>
      <c r="C152" s="1" t="n">
        <v>45710</v>
      </c>
      <c r="D152" t="inlineStr">
        <is>
          <t>ÖSTERGÖTLANDS LÄN</t>
        </is>
      </c>
      <c r="E152" t="inlineStr">
        <is>
          <t>KINDA</t>
        </is>
      </c>
      <c r="F152" t="inlineStr">
        <is>
          <t>Allmännings- och besparingsskogar</t>
        </is>
      </c>
      <c r="G152" t="n">
        <v>7.9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Svinrot
Blåsippa
Gullviva</t>
        </is>
      </c>
      <c r="S152">
        <f>HYPERLINK("https://klasma.github.io/Logging_0513/artfynd/A 5119-2023 artfynd.xlsx", "A 5119-2023")</f>
        <v/>
      </c>
      <c r="T152">
        <f>HYPERLINK("https://klasma.github.io/Logging_0513/kartor/A 5119-2023 karta.png", "A 5119-2023")</f>
        <v/>
      </c>
      <c r="V152">
        <f>HYPERLINK("https://klasma.github.io/Logging_0513/klagomål/A 5119-2023 FSC-klagomål.docx", "A 5119-2023")</f>
        <v/>
      </c>
      <c r="W152">
        <f>HYPERLINK("https://klasma.github.io/Logging_0513/klagomålsmail/A 5119-2023 FSC-klagomål mail.docx", "A 5119-2023")</f>
        <v/>
      </c>
      <c r="X152">
        <f>HYPERLINK("https://klasma.github.io/Logging_0513/tillsyn/A 5119-2023 tillsynsbegäran.docx", "A 5119-2023")</f>
        <v/>
      </c>
      <c r="Y152">
        <f>HYPERLINK("https://klasma.github.io/Logging_0513/tillsynsmail/A 5119-2023 tillsynsbegäran mail.docx", "A 5119-2023")</f>
        <v/>
      </c>
    </row>
    <row r="153" ht="15" customHeight="1">
      <c r="A153" t="inlineStr">
        <is>
          <t>A 7691-2023</t>
        </is>
      </c>
      <c r="B153" s="1" t="n">
        <v>44972</v>
      </c>
      <c r="C153" s="1" t="n">
        <v>45710</v>
      </c>
      <c r="D153" t="inlineStr">
        <is>
          <t>ÖSTERGÖTLANDS LÄN</t>
        </is>
      </c>
      <c r="E153" t="inlineStr">
        <is>
          <t>KINDA</t>
        </is>
      </c>
      <c r="G153" t="n">
        <v>3.6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Hasselticka
Sårläka
Blåsippa</t>
        </is>
      </c>
      <c r="S153">
        <f>HYPERLINK("https://klasma.github.io/Logging_0513/artfynd/A 7691-2023 artfynd.xlsx", "A 7691-2023")</f>
        <v/>
      </c>
      <c r="T153">
        <f>HYPERLINK("https://klasma.github.io/Logging_0513/kartor/A 7691-2023 karta.png", "A 7691-2023")</f>
        <v/>
      </c>
      <c r="V153">
        <f>HYPERLINK("https://klasma.github.io/Logging_0513/klagomål/A 7691-2023 FSC-klagomål.docx", "A 7691-2023")</f>
        <v/>
      </c>
      <c r="W153">
        <f>HYPERLINK("https://klasma.github.io/Logging_0513/klagomålsmail/A 7691-2023 FSC-klagomål mail.docx", "A 7691-2023")</f>
        <v/>
      </c>
      <c r="X153">
        <f>HYPERLINK("https://klasma.github.io/Logging_0513/tillsyn/A 7691-2023 tillsynsbegäran.docx", "A 7691-2023")</f>
        <v/>
      </c>
      <c r="Y153">
        <f>HYPERLINK("https://klasma.github.io/Logging_0513/tillsynsmail/A 7691-2023 tillsynsbegäran mail.docx", "A 7691-2023")</f>
        <v/>
      </c>
    </row>
    <row r="154" ht="15" customHeight="1">
      <c r="A154" t="inlineStr">
        <is>
          <t>A 8468-2023</t>
        </is>
      </c>
      <c r="B154" s="1" t="n">
        <v>44977</v>
      </c>
      <c r="C154" s="1" t="n">
        <v>45710</v>
      </c>
      <c r="D154" t="inlineStr">
        <is>
          <t>ÖSTERGÖTLANDS LÄN</t>
        </is>
      </c>
      <c r="E154" t="inlineStr">
        <is>
          <t>NORRKÖPING</t>
        </is>
      </c>
      <c r="G154" t="n">
        <v>6.7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Tallticka
Bronshjon
Blåsippa</t>
        </is>
      </c>
      <c r="S154">
        <f>HYPERLINK("https://klasma.github.io/Logging_0581/artfynd/A 8468-2023 artfynd.xlsx", "A 8468-2023")</f>
        <v/>
      </c>
      <c r="T154">
        <f>HYPERLINK("https://klasma.github.io/Logging_0581/kartor/A 8468-2023 karta.png", "A 8468-2023")</f>
        <v/>
      </c>
      <c r="V154">
        <f>HYPERLINK("https://klasma.github.io/Logging_0581/klagomål/A 8468-2023 FSC-klagomål.docx", "A 8468-2023")</f>
        <v/>
      </c>
      <c r="W154">
        <f>HYPERLINK("https://klasma.github.io/Logging_0581/klagomålsmail/A 8468-2023 FSC-klagomål mail.docx", "A 8468-2023")</f>
        <v/>
      </c>
      <c r="X154">
        <f>HYPERLINK("https://klasma.github.io/Logging_0581/tillsyn/A 8468-2023 tillsynsbegäran.docx", "A 8468-2023")</f>
        <v/>
      </c>
      <c r="Y154">
        <f>HYPERLINK("https://klasma.github.io/Logging_0581/tillsynsmail/A 8468-2023 tillsynsbegäran mail.docx", "A 8468-2023")</f>
        <v/>
      </c>
    </row>
    <row r="155" ht="15" customHeight="1">
      <c r="A155" t="inlineStr">
        <is>
          <t>A 14646-2023</t>
        </is>
      </c>
      <c r="B155" s="1" t="n">
        <v>45013</v>
      </c>
      <c r="C155" s="1" t="n">
        <v>45710</v>
      </c>
      <c r="D155" t="inlineStr">
        <is>
          <t>ÖSTERGÖTLANDS LÄN</t>
        </is>
      </c>
      <c r="E155" t="inlineStr">
        <is>
          <t>NORRKÖPING</t>
        </is>
      </c>
      <c r="G155" t="n">
        <v>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Skogsalm
Vanlig backsmörblomma
Fläcknycklar</t>
        </is>
      </c>
      <c r="S155">
        <f>HYPERLINK("https://klasma.github.io/Logging_0581/artfynd/A 14646-2023 artfynd.xlsx", "A 14646-2023")</f>
        <v/>
      </c>
      <c r="T155">
        <f>HYPERLINK("https://klasma.github.io/Logging_0581/kartor/A 14646-2023 karta.png", "A 14646-2023")</f>
        <v/>
      </c>
      <c r="V155">
        <f>HYPERLINK("https://klasma.github.io/Logging_0581/klagomål/A 14646-2023 FSC-klagomål.docx", "A 14646-2023")</f>
        <v/>
      </c>
      <c r="W155">
        <f>HYPERLINK("https://klasma.github.io/Logging_0581/klagomålsmail/A 14646-2023 FSC-klagomål mail.docx", "A 14646-2023")</f>
        <v/>
      </c>
      <c r="X155">
        <f>HYPERLINK("https://klasma.github.io/Logging_0581/tillsyn/A 14646-2023 tillsynsbegäran.docx", "A 14646-2023")</f>
        <v/>
      </c>
      <c r="Y155">
        <f>HYPERLINK("https://klasma.github.io/Logging_0581/tillsynsmail/A 14646-2023 tillsynsbegäran mail.docx", "A 14646-2023")</f>
        <v/>
      </c>
    </row>
    <row r="156" ht="15" customHeight="1">
      <c r="A156" t="inlineStr">
        <is>
          <t>A 22259-2023</t>
        </is>
      </c>
      <c r="B156" s="1" t="n">
        <v>45070</v>
      </c>
      <c r="C156" s="1" t="n">
        <v>45710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1</v>
      </c>
      <c r="M156" t="n">
        <v>0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Trumpetfibbla
Nubbfibbla
Talltita</t>
        </is>
      </c>
      <c r="S156">
        <f>HYPERLINK("https://klasma.github.io/Logging_0512/artfynd/A 22259-2023 artfynd.xlsx", "A 22259-2023")</f>
        <v/>
      </c>
      <c r="T156">
        <f>HYPERLINK("https://klasma.github.io/Logging_0512/kartor/A 22259-2023 karta.png", "A 22259-2023")</f>
        <v/>
      </c>
      <c r="V156">
        <f>HYPERLINK("https://klasma.github.io/Logging_0512/klagomål/A 22259-2023 FSC-klagomål.docx", "A 22259-2023")</f>
        <v/>
      </c>
      <c r="W156">
        <f>HYPERLINK("https://klasma.github.io/Logging_0512/klagomålsmail/A 22259-2023 FSC-klagomål mail.docx", "A 22259-2023")</f>
        <v/>
      </c>
      <c r="X156">
        <f>HYPERLINK("https://klasma.github.io/Logging_0512/tillsyn/A 22259-2023 tillsynsbegäran.docx", "A 22259-2023")</f>
        <v/>
      </c>
      <c r="Y156">
        <f>HYPERLINK("https://klasma.github.io/Logging_0512/tillsynsmail/A 22259-2023 tillsynsbegäran mail.docx", "A 22259-2023")</f>
        <v/>
      </c>
      <c r="Z156">
        <f>HYPERLINK("https://klasma.github.io/Logging_0512/fåglar/A 22259-2023 prioriterade fågelarter.docx", "A 22259-2023")</f>
        <v/>
      </c>
    </row>
    <row r="157" ht="15" customHeight="1">
      <c r="A157" t="inlineStr">
        <is>
          <t>A 26385-2023</t>
        </is>
      </c>
      <c r="B157" s="1" t="n">
        <v>45086</v>
      </c>
      <c r="C157" s="1" t="n">
        <v>45710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9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Hasselsnok
Vedskivlav
Fällmossa</t>
        </is>
      </c>
      <c r="S157">
        <f>HYPERLINK("https://klasma.github.io/Logging_0581/artfynd/A 26385-2023 artfynd.xlsx", "A 26385-2023")</f>
        <v/>
      </c>
      <c r="T157">
        <f>HYPERLINK("https://klasma.github.io/Logging_0581/kartor/A 26385-2023 karta.png", "A 26385-2023")</f>
        <v/>
      </c>
      <c r="V157">
        <f>HYPERLINK("https://klasma.github.io/Logging_0581/klagomål/A 26385-2023 FSC-klagomål.docx", "A 26385-2023")</f>
        <v/>
      </c>
      <c r="W157">
        <f>HYPERLINK("https://klasma.github.io/Logging_0581/klagomålsmail/A 26385-2023 FSC-klagomål mail.docx", "A 26385-2023")</f>
        <v/>
      </c>
      <c r="X157">
        <f>HYPERLINK("https://klasma.github.io/Logging_0581/tillsyn/A 26385-2023 tillsynsbegäran.docx", "A 26385-2023")</f>
        <v/>
      </c>
      <c r="Y157">
        <f>HYPERLINK("https://klasma.github.io/Logging_0581/tillsynsmail/A 26385-2023 tillsynsbegäran mail.docx", "A 26385-2023")</f>
        <v/>
      </c>
    </row>
    <row r="158" ht="15" customHeight="1">
      <c r="A158" t="inlineStr">
        <is>
          <t>A 30472-2023</t>
        </is>
      </c>
      <c r="B158" s="1" t="n">
        <v>45111</v>
      </c>
      <c r="C158" s="1" t="n">
        <v>45710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12.2</v>
      </c>
      <c r="H158" t="n">
        <v>3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Utter
Åkergroda
Vanlig groda</t>
        </is>
      </c>
      <c r="S158">
        <f>HYPERLINK("https://klasma.github.io/Logging_0561/artfynd/A 30472-2023 artfynd.xlsx", "A 30472-2023")</f>
        <v/>
      </c>
      <c r="T158">
        <f>HYPERLINK("https://klasma.github.io/Logging_0561/kartor/A 30472-2023 karta.png", "A 30472-2023")</f>
        <v/>
      </c>
      <c r="V158">
        <f>HYPERLINK("https://klasma.github.io/Logging_0561/klagomål/A 30472-2023 FSC-klagomål.docx", "A 30472-2023")</f>
        <v/>
      </c>
      <c r="W158">
        <f>HYPERLINK("https://klasma.github.io/Logging_0561/klagomålsmail/A 30472-2023 FSC-klagomål mail.docx", "A 30472-2023")</f>
        <v/>
      </c>
      <c r="X158">
        <f>HYPERLINK("https://klasma.github.io/Logging_0561/tillsyn/A 30472-2023 tillsynsbegäran.docx", "A 30472-2023")</f>
        <v/>
      </c>
      <c r="Y158">
        <f>HYPERLINK("https://klasma.github.io/Logging_0561/tillsynsmail/A 30472-2023 tillsynsbegäran mail.docx", "A 30472-2023")</f>
        <v/>
      </c>
    </row>
    <row r="159" ht="15" customHeight="1">
      <c r="A159" t="inlineStr">
        <is>
          <t>A 37218-2023</t>
        </is>
      </c>
      <c r="B159" s="1" t="n">
        <v>45155</v>
      </c>
      <c r="C159" s="1" t="n">
        <v>45710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Talltita
Ullticka
Barkticka</t>
        </is>
      </c>
      <c r="S159">
        <f>HYPERLINK("https://klasma.github.io/Logging_0561/artfynd/A 37218-2023 artfynd.xlsx", "A 37218-2023")</f>
        <v/>
      </c>
      <c r="T159">
        <f>HYPERLINK("https://klasma.github.io/Logging_0561/kartor/A 37218-2023 karta.png", "A 37218-2023")</f>
        <v/>
      </c>
      <c r="U159">
        <f>HYPERLINK("https://klasma.github.io/Logging_0561/knärot/A 37218-2023 karta knärot.png", "A 37218-2023")</f>
        <v/>
      </c>
      <c r="V159">
        <f>HYPERLINK("https://klasma.github.io/Logging_0561/klagomål/A 37218-2023 FSC-klagomål.docx", "A 37218-2023")</f>
        <v/>
      </c>
      <c r="W159">
        <f>HYPERLINK("https://klasma.github.io/Logging_0561/klagomålsmail/A 37218-2023 FSC-klagomål mail.docx", "A 37218-2023")</f>
        <v/>
      </c>
      <c r="X159">
        <f>HYPERLINK("https://klasma.github.io/Logging_0561/tillsyn/A 37218-2023 tillsynsbegäran.docx", "A 37218-2023")</f>
        <v/>
      </c>
      <c r="Y159">
        <f>HYPERLINK("https://klasma.github.io/Logging_0561/tillsynsmail/A 37218-2023 tillsynsbegäran mail.docx", "A 37218-2023")</f>
        <v/>
      </c>
      <c r="Z159">
        <f>HYPERLINK("https://klasma.github.io/Logging_0561/fåglar/A 37218-2023 prioriterade fågelarter.docx", "A 37218-2023")</f>
        <v/>
      </c>
    </row>
    <row r="160" ht="15" customHeight="1">
      <c r="A160" t="inlineStr">
        <is>
          <t>A 37278-2023</t>
        </is>
      </c>
      <c r="B160" s="1" t="n">
        <v>45156</v>
      </c>
      <c r="C160" s="1" t="n">
        <v>45710</v>
      </c>
      <c r="D160" t="inlineStr">
        <is>
          <t>ÖSTERGÖTLANDS LÄN</t>
        </is>
      </c>
      <c r="E160" t="inlineStr">
        <is>
          <t>ÅTVIDABERG</t>
        </is>
      </c>
      <c r="G160" t="n">
        <v>0.1</v>
      </c>
      <c r="H160" t="n">
        <v>3</v>
      </c>
      <c r="I160" t="n">
        <v>0</v>
      </c>
      <c r="J160" t="n">
        <v>3</v>
      </c>
      <c r="K160" t="n">
        <v>0</v>
      </c>
      <c r="L160" t="n">
        <v>0</v>
      </c>
      <c r="M160" t="n">
        <v>0</v>
      </c>
      <c r="N160" t="n">
        <v>0</v>
      </c>
      <c r="O160" t="n">
        <v>3</v>
      </c>
      <c r="P160" t="n">
        <v>0</v>
      </c>
      <c r="Q160" t="n">
        <v>3</v>
      </c>
      <c r="R160" s="2" t="inlineStr">
        <is>
          <t>Järpe
Spillkråka
Talltita</t>
        </is>
      </c>
      <c r="S160">
        <f>HYPERLINK("https://klasma.github.io/Logging_0561/artfynd/A 37278-2023 artfynd.xlsx", "A 37278-2023")</f>
        <v/>
      </c>
      <c r="T160">
        <f>HYPERLINK("https://klasma.github.io/Logging_0561/kartor/A 37278-2023 karta.png", "A 37278-2023")</f>
        <v/>
      </c>
      <c r="U160">
        <f>HYPERLINK("https://klasma.github.io/Logging_0561/knärot/A 37278-2023 karta knärot.png", "A 37278-2023")</f>
        <v/>
      </c>
      <c r="V160">
        <f>HYPERLINK("https://klasma.github.io/Logging_0561/klagomål/A 37278-2023 FSC-klagomål.docx", "A 37278-2023")</f>
        <v/>
      </c>
      <c r="W160">
        <f>HYPERLINK("https://klasma.github.io/Logging_0561/klagomålsmail/A 37278-2023 FSC-klagomål mail.docx", "A 37278-2023")</f>
        <v/>
      </c>
      <c r="X160">
        <f>HYPERLINK("https://klasma.github.io/Logging_0561/tillsyn/A 37278-2023 tillsynsbegäran.docx", "A 37278-2023")</f>
        <v/>
      </c>
      <c r="Y160">
        <f>HYPERLINK("https://klasma.github.io/Logging_0561/tillsynsmail/A 37278-2023 tillsynsbegäran mail.docx", "A 37278-2023")</f>
        <v/>
      </c>
      <c r="Z160">
        <f>HYPERLINK("https://klasma.github.io/Logging_0561/fåglar/A 37278-2023 prioriterade fågelarter.docx", "A 37278-2023")</f>
        <v/>
      </c>
    </row>
    <row r="161" ht="15" customHeight="1">
      <c r="A161" t="inlineStr">
        <is>
          <t>A 43816-2023</t>
        </is>
      </c>
      <c r="B161" s="1" t="n">
        <v>45187</v>
      </c>
      <c r="C161" s="1" t="n">
        <v>45710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9.800000000000001</v>
      </c>
      <c r="H161" t="n">
        <v>0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Motaggsvamp
Vedskivlav
Blåmossa</t>
        </is>
      </c>
      <c r="S161">
        <f>HYPERLINK("https://klasma.github.io/Logging_0581/artfynd/A 43816-2023 artfynd.xlsx", "A 43816-2023")</f>
        <v/>
      </c>
      <c r="T161">
        <f>HYPERLINK("https://klasma.github.io/Logging_0581/kartor/A 43816-2023 karta.png", "A 43816-2023")</f>
        <v/>
      </c>
      <c r="V161">
        <f>HYPERLINK("https://klasma.github.io/Logging_0581/klagomål/A 43816-2023 FSC-klagomål.docx", "A 43816-2023")</f>
        <v/>
      </c>
      <c r="W161">
        <f>HYPERLINK("https://klasma.github.io/Logging_0581/klagomålsmail/A 43816-2023 FSC-klagomål mail.docx", "A 43816-2023")</f>
        <v/>
      </c>
      <c r="X161">
        <f>HYPERLINK("https://klasma.github.io/Logging_0581/tillsyn/A 43816-2023 tillsynsbegäran.docx", "A 43816-2023")</f>
        <v/>
      </c>
      <c r="Y161">
        <f>HYPERLINK("https://klasma.github.io/Logging_0581/tillsynsmail/A 43816-2023 tillsynsbegäran mail.docx", "A 43816-2023")</f>
        <v/>
      </c>
    </row>
    <row r="162" ht="15" customHeight="1">
      <c r="A162" t="inlineStr">
        <is>
          <t>A 43914-2023</t>
        </is>
      </c>
      <c r="B162" s="1" t="n">
        <v>45187</v>
      </c>
      <c r="C162" s="1" t="n">
        <v>45710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6.6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Blåmossa
Dropptaggsvamp
Mindre märgborre</t>
        </is>
      </c>
      <c r="S162">
        <f>HYPERLINK("https://klasma.github.io/Logging_0562/artfynd/A 43914-2023 artfynd.xlsx", "A 43914-2023")</f>
        <v/>
      </c>
      <c r="T162">
        <f>HYPERLINK("https://klasma.github.io/Logging_0562/kartor/A 43914-2023 karta.png", "A 43914-2023")</f>
        <v/>
      </c>
      <c r="V162">
        <f>HYPERLINK("https://klasma.github.io/Logging_0562/klagomål/A 43914-2023 FSC-klagomål.docx", "A 43914-2023")</f>
        <v/>
      </c>
      <c r="W162">
        <f>HYPERLINK("https://klasma.github.io/Logging_0562/klagomålsmail/A 43914-2023 FSC-klagomål mail.docx", "A 43914-2023")</f>
        <v/>
      </c>
      <c r="X162">
        <f>HYPERLINK("https://klasma.github.io/Logging_0562/tillsyn/A 43914-2023 tillsynsbegäran.docx", "A 43914-2023")</f>
        <v/>
      </c>
      <c r="Y162">
        <f>HYPERLINK("https://klasma.github.io/Logging_0562/tillsynsmail/A 43914-2023 tillsynsbegäran mail.docx", "A 43914-2023")</f>
        <v/>
      </c>
    </row>
    <row r="163" ht="15" customHeight="1">
      <c r="A163" t="inlineStr">
        <is>
          <t>A 46928-2023</t>
        </is>
      </c>
      <c r="B163" s="1" t="n">
        <v>45201</v>
      </c>
      <c r="C163" s="1" t="n">
        <v>45710</v>
      </c>
      <c r="D163" t="inlineStr">
        <is>
          <t>ÖSTERGÖTLANDS LÄN</t>
        </is>
      </c>
      <c r="E163" t="inlineStr">
        <is>
          <t>KINDA</t>
        </is>
      </c>
      <c r="G163" t="n">
        <v>1.3</v>
      </c>
      <c r="H163" t="n">
        <v>3</v>
      </c>
      <c r="I163" t="n">
        <v>0</v>
      </c>
      <c r="J163" t="n">
        <v>3</v>
      </c>
      <c r="K163" t="n">
        <v>0</v>
      </c>
      <c r="L163" t="n">
        <v>0</v>
      </c>
      <c r="M163" t="n">
        <v>0</v>
      </c>
      <c r="N163" t="n">
        <v>0</v>
      </c>
      <c r="O163" t="n">
        <v>3</v>
      </c>
      <c r="P163" t="n">
        <v>0</v>
      </c>
      <c r="Q163" t="n">
        <v>3</v>
      </c>
      <c r="R163" s="2" t="inlineStr">
        <is>
          <t>Mindre hackspett
Spillkråka
Talltita</t>
        </is>
      </c>
      <c r="S163">
        <f>HYPERLINK("https://klasma.github.io/Logging_0513/artfynd/A 46928-2023 artfynd.xlsx", "A 46928-2023")</f>
        <v/>
      </c>
      <c r="T163">
        <f>HYPERLINK("https://klasma.github.io/Logging_0513/kartor/A 46928-2023 karta.png", "A 46928-2023")</f>
        <v/>
      </c>
      <c r="V163">
        <f>HYPERLINK("https://klasma.github.io/Logging_0513/klagomål/A 46928-2023 FSC-klagomål.docx", "A 46928-2023")</f>
        <v/>
      </c>
      <c r="W163">
        <f>HYPERLINK("https://klasma.github.io/Logging_0513/klagomålsmail/A 46928-2023 FSC-klagomål mail.docx", "A 46928-2023")</f>
        <v/>
      </c>
      <c r="X163">
        <f>HYPERLINK("https://klasma.github.io/Logging_0513/tillsyn/A 46928-2023 tillsynsbegäran.docx", "A 46928-2023")</f>
        <v/>
      </c>
      <c r="Y163">
        <f>HYPERLINK("https://klasma.github.io/Logging_0513/tillsynsmail/A 46928-2023 tillsynsbegäran mail.docx", "A 46928-2023")</f>
        <v/>
      </c>
      <c r="Z163">
        <f>HYPERLINK("https://klasma.github.io/Logging_0513/fåglar/A 46928-2023 prioriterade fågelarter.docx", "A 46928-2023")</f>
        <v/>
      </c>
    </row>
    <row r="164" ht="15" customHeight="1">
      <c r="A164" t="inlineStr">
        <is>
          <t>A 47767-2023</t>
        </is>
      </c>
      <c r="B164" s="1" t="n">
        <v>45203</v>
      </c>
      <c r="C164" s="1" t="n">
        <v>45710</v>
      </c>
      <c r="D164" t="inlineStr">
        <is>
          <t>ÖSTERGÖTLANDS LÄN</t>
        </is>
      </c>
      <c r="E164" t="inlineStr">
        <is>
          <t>NORRKÖPING</t>
        </is>
      </c>
      <c r="G164" t="n">
        <v>3.8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Motaggsvamp
Blåmossa
Sotriska</t>
        </is>
      </c>
      <c r="S164">
        <f>HYPERLINK("https://klasma.github.io/Logging_0581/artfynd/A 47767-2023 artfynd.xlsx", "A 47767-2023")</f>
        <v/>
      </c>
      <c r="T164">
        <f>HYPERLINK("https://klasma.github.io/Logging_0581/kartor/A 47767-2023 karta.png", "A 47767-2023")</f>
        <v/>
      </c>
      <c r="V164">
        <f>HYPERLINK("https://klasma.github.io/Logging_0581/klagomål/A 47767-2023 FSC-klagomål.docx", "A 47767-2023")</f>
        <v/>
      </c>
      <c r="W164">
        <f>HYPERLINK("https://klasma.github.io/Logging_0581/klagomålsmail/A 47767-2023 FSC-klagomål mail.docx", "A 47767-2023")</f>
        <v/>
      </c>
      <c r="X164">
        <f>HYPERLINK("https://klasma.github.io/Logging_0581/tillsyn/A 47767-2023 tillsynsbegäran.docx", "A 47767-2023")</f>
        <v/>
      </c>
      <c r="Y164">
        <f>HYPERLINK("https://klasma.github.io/Logging_0581/tillsynsmail/A 47767-2023 tillsynsbegäran mail.docx", "A 47767-2023")</f>
        <v/>
      </c>
    </row>
    <row r="165" ht="15" customHeight="1">
      <c r="A165" t="inlineStr">
        <is>
          <t>A 60510-2023</t>
        </is>
      </c>
      <c r="B165" s="1" t="n">
        <v>45259</v>
      </c>
      <c r="C165" s="1" t="n">
        <v>45710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Dvärgbägarlav
Vedskivlav
Blåmossa</t>
        </is>
      </c>
      <c r="S165">
        <f>HYPERLINK("https://klasma.github.io/Logging_0561/artfynd/A 60510-2023 artfynd.xlsx", "A 60510-2023")</f>
        <v/>
      </c>
      <c r="T165">
        <f>HYPERLINK("https://klasma.github.io/Logging_0561/kartor/A 60510-2023 karta.png", "A 60510-2023")</f>
        <v/>
      </c>
      <c r="V165">
        <f>HYPERLINK("https://klasma.github.io/Logging_0561/klagomål/A 60510-2023 FSC-klagomål.docx", "A 60510-2023")</f>
        <v/>
      </c>
      <c r="W165">
        <f>HYPERLINK("https://klasma.github.io/Logging_0561/klagomålsmail/A 60510-2023 FSC-klagomål mail.docx", "A 60510-2023")</f>
        <v/>
      </c>
      <c r="X165">
        <f>HYPERLINK("https://klasma.github.io/Logging_0561/tillsyn/A 60510-2023 tillsynsbegäran.docx", "A 60510-2023")</f>
        <v/>
      </c>
      <c r="Y165">
        <f>HYPERLINK("https://klasma.github.io/Logging_0561/tillsynsmail/A 60510-2023 tillsynsbegäran mail.docx", "A 60510-2023")</f>
        <v/>
      </c>
    </row>
    <row r="166" ht="15" customHeight="1">
      <c r="A166" t="inlineStr">
        <is>
          <t>A 614-2024</t>
        </is>
      </c>
      <c r="B166" s="1" t="n">
        <v>45299</v>
      </c>
      <c r="C166" s="1" t="n">
        <v>45710</v>
      </c>
      <c r="D166" t="inlineStr">
        <is>
          <t>ÖSTERGÖTLANDS LÄN</t>
        </is>
      </c>
      <c r="E166" t="inlineStr">
        <is>
          <t>ÅTVIDABERG</t>
        </is>
      </c>
      <c r="G166" t="n">
        <v>3.9</v>
      </c>
      <c r="H166" t="n">
        <v>1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Spillkråka
Tallticka
Vedskivlav</t>
        </is>
      </c>
      <c r="S166">
        <f>HYPERLINK("https://klasma.github.io/Logging_0561/artfynd/A 614-2024 artfynd.xlsx", "A 614-2024")</f>
        <v/>
      </c>
      <c r="T166">
        <f>HYPERLINK("https://klasma.github.io/Logging_0561/kartor/A 614-2024 karta.png", "A 614-2024")</f>
        <v/>
      </c>
      <c r="U166">
        <f>HYPERLINK("https://klasma.github.io/Logging_0561/knärot/A 614-2024 karta knärot.png", "A 614-2024")</f>
        <v/>
      </c>
      <c r="V166">
        <f>HYPERLINK("https://klasma.github.io/Logging_0561/klagomål/A 614-2024 FSC-klagomål.docx", "A 614-2024")</f>
        <v/>
      </c>
      <c r="W166">
        <f>HYPERLINK("https://klasma.github.io/Logging_0561/klagomålsmail/A 614-2024 FSC-klagomål mail.docx", "A 614-2024")</f>
        <v/>
      </c>
      <c r="X166">
        <f>HYPERLINK("https://klasma.github.io/Logging_0561/tillsyn/A 614-2024 tillsynsbegäran.docx", "A 614-2024")</f>
        <v/>
      </c>
      <c r="Y166">
        <f>HYPERLINK("https://klasma.github.io/Logging_0561/tillsynsmail/A 614-2024 tillsynsbegäran mail.docx", "A 614-2024")</f>
        <v/>
      </c>
      <c r="Z166">
        <f>HYPERLINK("https://klasma.github.io/Logging_0561/fåglar/A 614-2024 prioriterade fågelarter.docx", "A 614-2024")</f>
        <v/>
      </c>
    </row>
    <row r="167" ht="15" customHeight="1">
      <c r="A167" t="inlineStr">
        <is>
          <t>A 6871-2024</t>
        </is>
      </c>
      <c r="B167" s="1" t="n">
        <v>45342</v>
      </c>
      <c r="C167" s="1" t="n">
        <v>45710</v>
      </c>
      <c r="D167" t="inlineStr">
        <is>
          <t>ÖSTERGÖTLANDS LÄN</t>
        </is>
      </c>
      <c r="E167" t="inlineStr">
        <is>
          <t>VALDEMARSVIK</t>
        </is>
      </c>
      <c r="G167" t="n">
        <v>7.8</v>
      </c>
      <c r="H167" t="n">
        <v>1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Knärot
Tallticka
Fällmossa</t>
        </is>
      </c>
      <c r="S167">
        <f>HYPERLINK("https://klasma.github.io/Logging_0563/artfynd/A 6871-2024 artfynd.xlsx", "A 6871-2024")</f>
        <v/>
      </c>
      <c r="T167">
        <f>HYPERLINK("https://klasma.github.io/Logging_0563/kartor/A 6871-2024 karta.png", "A 6871-2024")</f>
        <v/>
      </c>
      <c r="U167">
        <f>HYPERLINK("https://klasma.github.io/Logging_0563/knärot/A 6871-2024 karta knärot.png", "A 6871-2024")</f>
        <v/>
      </c>
      <c r="V167">
        <f>HYPERLINK("https://klasma.github.io/Logging_0563/klagomål/A 6871-2024 FSC-klagomål.docx", "A 6871-2024")</f>
        <v/>
      </c>
      <c r="W167">
        <f>HYPERLINK("https://klasma.github.io/Logging_0563/klagomålsmail/A 6871-2024 FSC-klagomål mail.docx", "A 6871-2024")</f>
        <v/>
      </c>
      <c r="X167">
        <f>HYPERLINK("https://klasma.github.io/Logging_0563/tillsyn/A 6871-2024 tillsynsbegäran.docx", "A 6871-2024")</f>
        <v/>
      </c>
      <c r="Y167">
        <f>HYPERLINK("https://klasma.github.io/Logging_0563/tillsynsmail/A 6871-2024 tillsynsbegäran mail.docx", "A 6871-2024")</f>
        <v/>
      </c>
    </row>
    <row r="168" ht="15" customHeight="1">
      <c r="A168" t="inlineStr">
        <is>
          <t>A 8914-2024</t>
        </is>
      </c>
      <c r="B168" s="1" t="n">
        <v>45355</v>
      </c>
      <c r="C168" s="1" t="n">
        <v>45710</v>
      </c>
      <c r="D168" t="inlineStr">
        <is>
          <t>ÖSTERGÖTLANDS LÄN</t>
        </is>
      </c>
      <c r="E168" t="inlineStr">
        <is>
          <t>LINKÖPING</t>
        </is>
      </c>
      <c r="G168" t="n">
        <v>3.7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Knärot
Björksplintborre
Trådticka</t>
        </is>
      </c>
      <c r="S168">
        <f>HYPERLINK("https://klasma.github.io/Logging_0580/artfynd/A 8914-2024 artfynd.xlsx", "A 8914-2024")</f>
        <v/>
      </c>
      <c r="T168">
        <f>HYPERLINK("https://klasma.github.io/Logging_0580/kartor/A 8914-2024 karta.png", "A 8914-2024")</f>
        <v/>
      </c>
      <c r="U168">
        <f>HYPERLINK("https://klasma.github.io/Logging_0580/knärot/A 8914-2024 karta knärot.png", "A 8914-2024")</f>
        <v/>
      </c>
      <c r="V168">
        <f>HYPERLINK("https://klasma.github.io/Logging_0580/klagomål/A 8914-2024 FSC-klagomål.docx", "A 8914-2024")</f>
        <v/>
      </c>
      <c r="W168">
        <f>HYPERLINK("https://klasma.github.io/Logging_0580/klagomålsmail/A 8914-2024 FSC-klagomål mail.docx", "A 8914-2024")</f>
        <v/>
      </c>
      <c r="X168">
        <f>HYPERLINK("https://klasma.github.io/Logging_0580/tillsyn/A 8914-2024 tillsynsbegäran.docx", "A 8914-2024")</f>
        <v/>
      </c>
      <c r="Y168">
        <f>HYPERLINK("https://klasma.github.io/Logging_0580/tillsynsmail/A 8914-2024 tillsynsbegäran mail.docx", "A 8914-2024")</f>
        <v/>
      </c>
    </row>
    <row r="169" ht="15" customHeight="1">
      <c r="A169" t="inlineStr">
        <is>
          <t>A 9317-2024</t>
        </is>
      </c>
      <c r="B169" s="1" t="n">
        <v>45358</v>
      </c>
      <c r="C169" s="1" t="n">
        <v>45710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12.9</v>
      </c>
      <c r="H169" t="n">
        <v>0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Lakritsmusseron
Vedskivlav
Dropptaggsvamp</t>
        </is>
      </c>
      <c r="S169">
        <f>HYPERLINK("https://klasma.github.io/Logging_0581/artfynd/A 9317-2024 artfynd.xlsx", "A 9317-2024")</f>
        <v/>
      </c>
      <c r="T169">
        <f>HYPERLINK("https://klasma.github.io/Logging_0581/kartor/A 9317-2024 karta.png", "A 9317-2024")</f>
        <v/>
      </c>
      <c r="V169">
        <f>HYPERLINK("https://klasma.github.io/Logging_0581/klagomål/A 9317-2024 FSC-klagomål.docx", "A 9317-2024")</f>
        <v/>
      </c>
      <c r="W169">
        <f>HYPERLINK("https://klasma.github.io/Logging_0581/klagomålsmail/A 9317-2024 FSC-klagomål mail.docx", "A 9317-2024")</f>
        <v/>
      </c>
      <c r="X169">
        <f>HYPERLINK("https://klasma.github.io/Logging_0581/tillsyn/A 9317-2024 tillsynsbegäran.docx", "A 9317-2024")</f>
        <v/>
      </c>
      <c r="Y169">
        <f>HYPERLINK("https://klasma.github.io/Logging_0581/tillsynsmail/A 9317-2024 tillsynsbegäran mail.docx", "A 9317-2024")</f>
        <v/>
      </c>
    </row>
    <row r="170" ht="15" customHeight="1">
      <c r="A170" t="inlineStr">
        <is>
          <t>A 9376-2024</t>
        </is>
      </c>
      <c r="B170" s="1" t="n">
        <v>45359</v>
      </c>
      <c r="C170" s="1" t="n">
        <v>45710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3.5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Svart trolldruva
Tibast
Blåsippa</t>
        </is>
      </c>
      <c r="S170">
        <f>HYPERLINK("https://klasma.github.io/Logging_0586/artfynd/A 9376-2024 artfynd.xlsx", "A 9376-2024")</f>
        <v/>
      </c>
      <c r="T170">
        <f>HYPERLINK("https://klasma.github.io/Logging_0586/kartor/A 9376-2024 karta.png", "A 9376-2024")</f>
        <v/>
      </c>
      <c r="V170">
        <f>HYPERLINK("https://klasma.github.io/Logging_0586/klagomål/A 9376-2024 FSC-klagomål.docx", "A 9376-2024")</f>
        <v/>
      </c>
      <c r="W170">
        <f>HYPERLINK("https://klasma.github.io/Logging_0586/klagomålsmail/A 9376-2024 FSC-klagomål mail.docx", "A 9376-2024")</f>
        <v/>
      </c>
      <c r="X170">
        <f>HYPERLINK("https://klasma.github.io/Logging_0586/tillsyn/A 9376-2024 tillsynsbegäran.docx", "A 9376-2024")</f>
        <v/>
      </c>
      <c r="Y170">
        <f>HYPERLINK("https://klasma.github.io/Logging_0586/tillsynsmail/A 9376-2024 tillsynsbegäran mail.docx", "A 9376-2024")</f>
        <v/>
      </c>
    </row>
    <row r="171" ht="15" customHeight="1">
      <c r="A171" t="inlineStr">
        <is>
          <t>A 17634-2024</t>
        </is>
      </c>
      <c r="B171" s="1" t="n">
        <v>45418</v>
      </c>
      <c r="C171" s="1" t="n">
        <v>45710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Kandelabersvamp
Bårdlav
Lönnlav</t>
        </is>
      </c>
      <c r="S171">
        <f>HYPERLINK("https://klasma.github.io/Logging_0581/artfynd/A 17634-2024 artfynd.xlsx", "A 17634-2024")</f>
        <v/>
      </c>
      <c r="T171">
        <f>HYPERLINK("https://klasma.github.io/Logging_0581/kartor/A 17634-2024 karta.png", "A 17634-2024")</f>
        <v/>
      </c>
      <c r="V171">
        <f>HYPERLINK("https://klasma.github.io/Logging_0581/klagomål/A 17634-2024 FSC-klagomål.docx", "A 17634-2024")</f>
        <v/>
      </c>
      <c r="W171">
        <f>HYPERLINK("https://klasma.github.io/Logging_0581/klagomålsmail/A 17634-2024 FSC-klagomål mail.docx", "A 17634-2024")</f>
        <v/>
      </c>
      <c r="X171">
        <f>HYPERLINK("https://klasma.github.io/Logging_0581/tillsyn/A 17634-2024 tillsynsbegäran.docx", "A 17634-2024")</f>
        <v/>
      </c>
      <c r="Y171">
        <f>HYPERLINK("https://klasma.github.io/Logging_0581/tillsynsmail/A 17634-2024 tillsynsbegäran mail.docx", "A 17634-2024")</f>
        <v/>
      </c>
    </row>
    <row r="172" ht="15" customHeight="1">
      <c r="A172" t="inlineStr">
        <is>
          <t>A 20994-2024</t>
        </is>
      </c>
      <c r="B172" s="1" t="n">
        <v>45439</v>
      </c>
      <c r="C172" s="1" t="n">
        <v>45710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3.6</v>
      </c>
      <c r="H172" t="n">
        <v>3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Kopparödla
Fläcknycklar
Revlummer</t>
        </is>
      </c>
      <c r="S172">
        <f>HYPERLINK("https://klasma.github.io/Logging_0562/artfynd/A 20994-2024 artfynd.xlsx", "A 20994-2024")</f>
        <v/>
      </c>
      <c r="T172">
        <f>HYPERLINK("https://klasma.github.io/Logging_0562/kartor/A 20994-2024 karta.png", "A 20994-2024")</f>
        <v/>
      </c>
      <c r="V172">
        <f>HYPERLINK("https://klasma.github.io/Logging_0562/klagomål/A 20994-2024 FSC-klagomål.docx", "A 20994-2024")</f>
        <v/>
      </c>
      <c r="W172">
        <f>HYPERLINK("https://klasma.github.io/Logging_0562/klagomålsmail/A 20994-2024 FSC-klagomål mail.docx", "A 20994-2024")</f>
        <v/>
      </c>
      <c r="X172">
        <f>HYPERLINK("https://klasma.github.io/Logging_0562/tillsyn/A 20994-2024 tillsynsbegäran.docx", "A 20994-2024")</f>
        <v/>
      </c>
      <c r="Y172">
        <f>HYPERLINK("https://klasma.github.io/Logging_0562/tillsynsmail/A 20994-2024 tillsynsbegäran mail.docx", "A 20994-2024")</f>
        <v/>
      </c>
    </row>
    <row r="173" ht="15" customHeight="1">
      <c r="A173" t="inlineStr">
        <is>
          <t>A 21404-2024</t>
        </is>
      </c>
      <c r="B173" s="1" t="n">
        <v>45441</v>
      </c>
      <c r="C173" s="1" t="n">
        <v>45710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0.8</v>
      </c>
      <c r="H173" t="n">
        <v>1</v>
      </c>
      <c r="I173" t="n">
        <v>1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3</v>
      </c>
      <c r="R173" s="2" t="inlineStr">
        <is>
          <t>Tallticka
Vintertagging
Grön sköldmossa</t>
        </is>
      </c>
      <c r="S173">
        <f>HYPERLINK("https://klasma.github.io/Logging_0581/artfynd/A 21404-2024 artfynd.xlsx", "A 21404-2024")</f>
        <v/>
      </c>
      <c r="T173">
        <f>HYPERLINK("https://klasma.github.io/Logging_0581/kartor/A 21404-2024 karta.png", "A 21404-2024")</f>
        <v/>
      </c>
      <c r="V173">
        <f>HYPERLINK("https://klasma.github.io/Logging_0581/klagomål/A 21404-2024 FSC-klagomål.docx", "A 21404-2024")</f>
        <v/>
      </c>
      <c r="W173">
        <f>HYPERLINK("https://klasma.github.io/Logging_0581/klagomålsmail/A 21404-2024 FSC-klagomål mail.docx", "A 21404-2024")</f>
        <v/>
      </c>
      <c r="X173">
        <f>HYPERLINK("https://klasma.github.io/Logging_0581/tillsyn/A 21404-2024 tillsynsbegäran.docx", "A 21404-2024")</f>
        <v/>
      </c>
      <c r="Y173">
        <f>HYPERLINK("https://klasma.github.io/Logging_0581/tillsynsmail/A 21404-2024 tillsynsbegäran mail.docx", "A 21404-2024")</f>
        <v/>
      </c>
    </row>
    <row r="174" ht="15" customHeight="1">
      <c r="A174" t="inlineStr">
        <is>
          <t>A 28412-2024</t>
        </is>
      </c>
      <c r="B174" s="1" t="n">
        <v>45477</v>
      </c>
      <c r="C174" s="1" t="n">
        <v>45710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Naturvårdsverket</t>
        </is>
      </c>
      <c r="G174" t="n">
        <v>2.6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Knärot
Ullticka
Blåmossa</t>
        </is>
      </c>
      <c r="S174">
        <f>HYPERLINK("https://klasma.github.io/Logging_0581/artfynd/A 28412-2024 artfynd.xlsx", "A 28412-2024")</f>
        <v/>
      </c>
      <c r="T174">
        <f>HYPERLINK("https://klasma.github.io/Logging_0581/kartor/A 28412-2024 karta.png", "A 28412-2024")</f>
        <v/>
      </c>
      <c r="U174">
        <f>HYPERLINK("https://klasma.github.io/Logging_0581/knärot/A 28412-2024 karta knärot.png", "A 28412-2024")</f>
        <v/>
      </c>
      <c r="V174">
        <f>HYPERLINK("https://klasma.github.io/Logging_0581/klagomål/A 28412-2024 FSC-klagomål.docx", "A 28412-2024")</f>
        <v/>
      </c>
      <c r="W174">
        <f>HYPERLINK("https://klasma.github.io/Logging_0581/klagomålsmail/A 28412-2024 FSC-klagomål mail.docx", "A 28412-2024")</f>
        <v/>
      </c>
      <c r="X174">
        <f>HYPERLINK("https://klasma.github.io/Logging_0581/tillsyn/A 28412-2024 tillsynsbegäran.docx", "A 28412-2024")</f>
        <v/>
      </c>
      <c r="Y174">
        <f>HYPERLINK("https://klasma.github.io/Logging_0581/tillsynsmail/A 28412-2024 tillsynsbegäran mail.docx", "A 28412-2024")</f>
        <v/>
      </c>
    </row>
    <row r="175" ht="15" customHeight="1">
      <c r="A175" t="inlineStr">
        <is>
          <t>A 29501-2024</t>
        </is>
      </c>
      <c r="B175" s="1" t="n">
        <v>45484</v>
      </c>
      <c r="C175" s="1" t="n">
        <v>45710</v>
      </c>
      <c r="D175" t="inlineStr">
        <is>
          <t>ÖSTERGÖTLANDS LÄN</t>
        </is>
      </c>
      <c r="E175" t="inlineStr">
        <is>
          <t>KINDA</t>
        </is>
      </c>
      <c r="G175" t="n">
        <v>15.3</v>
      </c>
      <c r="H175" t="n">
        <v>3</v>
      </c>
      <c r="I175" t="n">
        <v>0</v>
      </c>
      <c r="J175" t="n">
        <v>2</v>
      </c>
      <c r="K175" t="n">
        <v>1</v>
      </c>
      <c r="L175" t="n">
        <v>0</v>
      </c>
      <c r="M175" t="n">
        <v>0</v>
      </c>
      <c r="N175" t="n">
        <v>0</v>
      </c>
      <c r="O175" t="n">
        <v>3</v>
      </c>
      <c r="P175" t="n">
        <v>1</v>
      </c>
      <c r="Q175" t="n">
        <v>3</v>
      </c>
      <c r="R175" s="2" t="inlineStr">
        <is>
          <t>Kricka
Skrattmås
Spillkråka</t>
        </is>
      </c>
      <c r="S175">
        <f>HYPERLINK("https://klasma.github.io/Logging_0513/artfynd/A 29501-2024 artfynd.xlsx", "A 29501-2024")</f>
        <v/>
      </c>
      <c r="T175">
        <f>HYPERLINK("https://klasma.github.io/Logging_0513/kartor/A 29501-2024 karta.png", "A 29501-2024")</f>
        <v/>
      </c>
      <c r="V175">
        <f>HYPERLINK("https://klasma.github.io/Logging_0513/klagomål/A 29501-2024 FSC-klagomål.docx", "A 29501-2024")</f>
        <v/>
      </c>
      <c r="W175">
        <f>HYPERLINK("https://klasma.github.io/Logging_0513/klagomålsmail/A 29501-2024 FSC-klagomål mail.docx", "A 29501-2024")</f>
        <v/>
      </c>
      <c r="X175">
        <f>HYPERLINK("https://klasma.github.io/Logging_0513/tillsyn/A 29501-2024 tillsynsbegäran.docx", "A 29501-2024")</f>
        <v/>
      </c>
      <c r="Y175">
        <f>HYPERLINK("https://klasma.github.io/Logging_0513/tillsynsmail/A 29501-2024 tillsynsbegäran mail.docx", "A 29501-2024")</f>
        <v/>
      </c>
      <c r="Z175">
        <f>HYPERLINK("https://klasma.github.io/Logging_0513/fåglar/A 29501-2024 prioriterade fågelarter.docx", "A 29501-2024")</f>
        <v/>
      </c>
    </row>
    <row r="176" ht="15" customHeight="1">
      <c r="A176" t="inlineStr">
        <is>
          <t>A 35665-2024</t>
        </is>
      </c>
      <c r="B176" s="1" t="n">
        <v>45532</v>
      </c>
      <c r="C176" s="1" t="n">
        <v>45710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Hässleklocka
Svart trolldruva
Underviol</t>
        </is>
      </c>
      <c r="S176">
        <f>HYPERLINK("https://klasma.github.io/Logging_0560/artfynd/A 35665-2024 artfynd.xlsx", "A 35665-2024")</f>
        <v/>
      </c>
      <c r="T176">
        <f>HYPERLINK("https://klasma.github.io/Logging_0560/kartor/A 35665-2024 karta.png", "A 35665-2024")</f>
        <v/>
      </c>
      <c r="V176">
        <f>HYPERLINK("https://klasma.github.io/Logging_0560/klagomål/A 35665-2024 FSC-klagomål.docx", "A 35665-2024")</f>
        <v/>
      </c>
      <c r="W176">
        <f>HYPERLINK("https://klasma.github.io/Logging_0560/klagomålsmail/A 35665-2024 FSC-klagomål mail.docx", "A 35665-2024")</f>
        <v/>
      </c>
      <c r="X176">
        <f>HYPERLINK("https://klasma.github.io/Logging_0560/tillsyn/A 35665-2024 tillsynsbegäran.docx", "A 35665-2024")</f>
        <v/>
      </c>
      <c r="Y176">
        <f>HYPERLINK("https://klasma.github.io/Logging_0560/tillsynsmail/A 35665-2024 tillsynsbegäran mail.docx", "A 35665-2024")</f>
        <v/>
      </c>
    </row>
    <row r="177" ht="15" customHeight="1">
      <c r="A177" t="inlineStr">
        <is>
          <t>A 43511-2024</t>
        </is>
      </c>
      <c r="B177" s="1" t="n">
        <v>45569</v>
      </c>
      <c r="C177" s="1" t="n">
        <v>45710</v>
      </c>
      <c r="D177" t="inlineStr">
        <is>
          <t>ÖSTERGÖTLANDS LÄN</t>
        </is>
      </c>
      <c r="E177" t="inlineStr">
        <is>
          <t>VALDEMARSVIK</t>
        </is>
      </c>
      <c r="G177" t="n">
        <v>3</v>
      </c>
      <c r="H177" t="n">
        <v>3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Blåsippa
Mattlummer
Revlummer</t>
        </is>
      </c>
      <c r="S177">
        <f>HYPERLINK("https://klasma.github.io/Logging_0563/artfynd/A 43511-2024 artfynd.xlsx", "A 43511-2024")</f>
        <v/>
      </c>
      <c r="T177">
        <f>HYPERLINK("https://klasma.github.io/Logging_0563/kartor/A 43511-2024 karta.png", "A 43511-2024")</f>
        <v/>
      </c>
      <c r="V177">
        <f>HYPERLINK("https://klasma.github.io/Logging_0563/klagomål/A 43511-2024 FSC-klagomål.docx", "A 43511-2024")</f>
        <v/>
      </c>
      <c r="W177">
        <f>HYPERLINK("https://klasma.github.io/Logging_0563/klagomålsmail/A 43511-2024 FSC-klagomål mail.docx", "A 43511-2024")</f>
        <v/>
      </c>
      <c r="X177">
        <f>HYPERLINK("https://klasma.github.io/Logging_0563/tillsyn/A 43511-2024 tillsynsbegäran.docx", "A 43511-2024")</f>
        <v/>
      </c>
      <c r="Y177">
        <f>HYPERLINK("https://klasma.github.io/Logging_0563/tillsynsmail/A 43511-2024 tillsynsbegäran mail.docx", "A 43511-2024")</f>
        <v/>
      </c>
    </row>
    <row r="178" ht="15" customHeight="1">
      <c r="A178" t="inlineStr">
        <is>
          <t>A 46648-2024</t>
        </is>
      </c>
      <c r="B178" s="1" t="n">
        <v>45583</v>
      </c>
      <c r="C178" s="1" t="n">
        <v>45710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6.8</v>
      </c>
      <c r="H178" t="n">
        <v>2</v>
      </c>
      <c r="I178" t="n">
        <v>0</v>
      </c>
      <c r="J178" t="n">
        <v>3</v>
      </c>
      <c r="K178" t="n">
        <v>0</v>
      </c>
      <c r="L178" t="n">
        <v>0</v>
      </c>
      <c r="M178" t="n">
        <v>0</v>
      </c>
      <c r="N178" t="n">
        <v>0</v>
      </c>
      <c r="O178" t="n">
        <v>3</v>
      </c>
      <c r="P178" t="n">
        <v>0</v>
      </c>
      <c r="Q178" t="n">
        <v>3</v>
      </c>
      <c r="R178" s="2" t="inlineStr">
        <is>
          <t>Spillkråka
Talltita
Vedskivlav</t>
        </is>
      </c>
      <c r="S178">
        <f>HYPERLINK("https://klasma.github.io/Logging_0581/artfynd/A 46648-2024 artfynd.xlsx", "A 46648-2024")</f>
        <v/>
      </c>
      <c r="T178">
        <f>HYPERLINK("https://klasma.github.io/Logging_0581/kartor/A 46648-2024 karta.png", "A 46648-2024")</f>
        <v/>
      </c>
      <c r="V178">
        <f>HYPERLINK("https://klasma.github.io/Logging_0581/klagomål/A 46648-2024 FSC-klagomål.docx", "A 46648-2024")</f>
        <v/>
      </c>
      <c r="W178">
        <f>HYPERLINK("https://klasma.github.io/Logging_0581/klagomålsmail/A 46648-2024 FSC-klagomål mail.docx", "A 46648-2024")</f>
        <v/>
      </c>
      <c r="X178">
        <f>HYPERLINK("https://klasma.github.io/Logging_0581/tillsyn/A 46648-2024 tillsynsbegäran.docx", "A 46648-2024")</f>
        <v/>
      </c>
      <c r="Y178">
        <f>HYPERLINK("https://klasma.github.io/Logging_0581/tillsynsmail/A 46648-2024 tillsynsbegäran mail.docx", "A 46648-2024")</f>
        <v/>
      </c>
      <c r="Z178">
        <f>HYPERLINK("https://klasma.github.io/Logging_0581/fåglar/A 46648-2024 prioriterade fågelarter.docx", "A 46648-2024")</f>
        <v/>
      </c>
    </row>
    <row r="179" ht="15" customHeight="1">
      <c r="A179" t="inlineStr">
        <is>
          <t>A 46644-2024</t>
        </is>
      </c>
      <c r="B179" s="1" t="n">
        <v>45583</v>
      </c>
      <c r="C179" s="1" t="n">
        <v>45710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4.9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Vedskivlav
Blåmossa
Flagellkvastmossa</t>
        </is>
      </c>
      <c r="S179">
        <f>HYPERLINK("https://klasma.github.io/Logging_0581/artfynd/A 46644-2024 artfynd.xlsx", "A 46644-2024")</f>
        <v/>
      </c>
      <c r="T179">
        <f>HYPERLINK("https://klasma.github.io/Logging_0581/kartor/A 46644-2024 karta.png", "A 46644-2024")</f>
        <v/>
      </c>
      <c r="V179">
        <f>HYPERLINK("https://klasma.github.io/Logging_0581/klagomål/A 46644-2024 FSC-klagomål.docx", "A 46644-2024")</f>
        <v/>
      </c>
      <c r="W179">
        <f>HYPERLINK("https://klasma.github.io/Logging_0581/klagomålsmail/A 46644-2024 FSC-klagomål mail.docx", "A 46644-2024")</f>
        <v/>
      </c>
      <c r="X179">
        <f>HYPERLINK("https://klasma.github.io/Logging_0581/tillsyn/A 46644-2024 tillsynsbegäran.docx", "A 46644-2024")</f>
        <v/>
      </c>
      <c r="Y179">
        <f>HYPERLINK("https://klasma.github.io/Logging_0581/tillsynsmail/A 46644-2024 tillsynsbegäran mail.docx", "A 46644-2024")</f>
        <v/>
      </c>
    </row>
    <row r="180" ht="15" customHeight="1">
      <c r="A180" t="inlineStr">
        <is>
          <t>A 49690-2024</t>
        </is>
      </c>
      <c r="B180" s="1" t="n">
        <v>45596</v>
      </c>
      <c r="C180" s="1" t="n">
        <v>45710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Kyrkan</t>
        </is>
      </c>
      <c r="G180" t="n">
        <v>11.4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Tallticka
Mindre märgborre
Revlummer</t>
        </is>
      </c>
      <c r="S180">
        <f>HYPERLINK("https://klasma.github.io/Logging_0583/artfynd/A 49690-2024 artfynd.xlsx", "A 49690-2024")</f>
        <v/>
      </c>
      <c r="T180">
        <f>HYPERLINK("https://klasma.github.io/Logging_0583/kartor/A 49690-2024 karta.png", "A 49690-2024")</f>
        <v/>
      </c>
      <c r="V180">
        <f>HYPERLINK("https://klasma.github.io/Logging_0583/klagomål/A 49690-2024 FSC-klagomål.docx", "A 49690-2024")</f>
        <v/>
      </c>
      <c r="W180">
        <f>HYPERLINK("https://klasma.github.io/Logging_0583/klagomålsmail/A 49690-2024 FSC-klagomål mail.docx", "A 49690-2024")</f>
        <v/>
      </c>
      <c r="X180">
        <f>HYPERLINK("https://klasma.github.io/Logging_0583/tillsyn/A 49690-2024 tillsynsbegäran.docx", "A 49690-2024")</f>
        <v/>
      </c>
      <c r="Y180">
        <f>HYPERLINK("https://klasma.github.io/Logging_0583/tillsynsmail/A 49690-2024 tillsynsbegäran mail.docx", "A 49690-2024")</f>
        <v/>
      </c>
    </row>
    <row r="181" ht="15" customHeight="1">
      <c r="A181" t="inlineStr">
        <is>
          <t>A 51538-2024</t>
        </is>
      </c>
      <c r="B181" s="1" t="n">
        <v>45604</v>
      </c>
      <c r="C181" s="1" t="n">
        <v>45710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1.6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Fällmossa
Hasselticka
Blåsippa</t>
        </is>
      </c>
      <c r="S181">
        <f>HYPERLINK("https://klasma.github.io/Logging_0581/artfynd/A 51538-2024 artfynd.xlsx", "A 51538-2024")</f>
        <v/>
      </c>
      <c r="T181">
        <f>HYPERLINK("https://klasma.github.io/Logging_0581/kartor/A 51538-2024 karta.png", "A 51538-2024")</f>
        <v/>
      </c>
      <c r="V181">
        <f>HYPERLINK("https://klasma.github.io/Logging_0581/klagomål/A 51538-2024 FSC-klagomål.docx", "A 51538-2024")</f>
        <v/>
      </c>
      <c r="W181">
        <f>HYPERLINK("https://klasma.github.io/Logging_0581/klagomålsmail/A 51538-2024 FSC-klagomål mail.docx", "A 51538-2024")</f>
        <v/>
      </c>
      <c r="X181">
        <f>HYPERLINK("https://klasma.github.io/Logging_0581/tillsyn/A 51538-2024 tillsynsbegäran.docx", "A 51538-2024")</f>
        <v/>
      </c>
      <c r="Y181">
        <f>HYPERLINK("https://klasma.github.io/Logging_0581/tillsynsmail/A 51538-2024 tillsynsbegäran mail.docx", "A 51538-2024")</f>
        <v/>
      </c>
    </row>
    <row r="182" ht="15" customHeight="1">
      <c r="A182" t="inlineStr">
        <is>
          <t>A 52590-2024</t>
        </is>
      </c>
      <c r="B182" s="1" t="n">
        <v>45609</v>
      </c>
      <c r="C182" s="1" t="n">
        <v>45710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Fällmossa
Guldlockmossa
Blåsippa</t>
        </is>
      </c>
      <c r="S182">
        <f>HYPERLINK("https://klasma.github.io/Logging_0563/artfynd/A 52590-2024 artfynd.xlsx", "A 52590-2024")</f>
        <v/>
      </c>
      <c r="T182">
        <f>HYPERLINK("https://klasma.github.io/Logging_0563/kartor/A 52590-2024 karta.png", "A 52590-2024")</f>
        <v/>
      </c>
      <c r="V182">
        <f>HYPERLINK("https://klasma.github.io/Logging_0563/klagomål/A 52590-2024 FSC-klagomål.docx", "A 52590-2024")</f>
        <v/>
      </c>
      <c r="W182">
        <f>HYPERLINK("https://klasma.github.io/Logging_0563/klagomålsmail/A 52590-2024 FSC-klagomål mail.docx", "A 52590-2024")</f>
        <v/>
      </c>
      <c r="X182">
        <f>HYPERLINK("https://klasma.github.io/Logging_0563/tillsyn/A 52590-2024 tillsynsbegäran.docx", "A 52590-2024")</f>
        <v/>
      </c>
      <c r="Y182">
        <f>HYPERLINK("https://klasma.github.io/Logging_0563/tillsynsmail/A 52590-2024 tillsynsbegäran mail.docx", "A 52590-2024")</f>
        <v/>
      </c>
    </row>
    <row r="183" ht="15" customHeight="1">
      <c r="A183" t="inlineStr">
        <is>
          <t>A 55341-2024</t>
        </is>
      </c>
      <c r="B183" s="1" t="n">
        <v>45621</v>
      </c>
      <c r="C183" s="1" t="n">
        <v>45710</v>
      </c>
      <c r="D183" t="inlineStr">
        <is>
          <t>ÖSTERGÖTLANDS LÄN</t>
        </is>
      </c>
      <c r="E183" t="inlineStr">
        <is>
          <t>LINKÖPING</t>
        </is>
      </c>
      <c r="G183" t="n">
        <v>4.3</v>
      </c>
      <c r="H183" t="n">
        <v>0</v>
      </c>
      <c r="I183" t="n">
        <v>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3</v>
      </c>
      <c r="R183" s="2" t="inlineStr">
        <is>
          <t>Rynkskinn
Barkticka
Smal svampklubba</t>
        </is>
      </c>
      <c r="S183">
        <f>HYPERLINK("https://klasma.github.io/Logging_0580/artfynd/A 55341-2024 artfynd.xlsx", "A 55341-2024")</f>
        <v/>
      </c>
      <c r="T183">
        <f>HYPERLINK("https://klasma.github.io/Logging_0580/kartor/A 55341-2024 karta.png", "A 55341-2024")</f>
        <v/>
      </c>
      <c r="V183">
        <f>HYPERLINK("https://klasma.github.io/Logging_0580/klagomål/A 55341-2024 FSC-klagomål.docx", "A 55341-2024")</f>
        <v/>
      </c>
      <c r="W183">
        <f>HYPERLINK("https://klasma.github.io/Logging_0580/klagomålsmail/A 55341-2024 FSC-klagomål mail.docx", "A 55341-2024")</f>
        <v/>
      </c>
      <c r="X183">
        <f>HYPERLINK("https://klasma.github.io/Logging_0580/tillsyn/A 55341-2024 tillsynsbegäran.docx", "A 55341-2024")</f>
        <v/>
      </c>
      <c r="Y183">
        <f>HYPERLINK("https://klasma.github.io/Logging_0580/tillsynsmail/A 55341-2024 tillsynsbegäran mail.docx", "A 55341-2024")</f>
        <v/>
      </c>
    </row>
    <row r="184" ht="15" customHeight="1">
      <c r="A184" t="inlineStr">
        <is>
          <t>A 32-2025</t>
        </is>
      </c>
      <c r="B184" s="1" t="n">
        <v>45659</v>
      </c>
      <c r="C184" s="1" t="n">
        <v>45710</v>
      </c>
      <c r="D184" t="inlineStr">
        <is>
          <t>ÖSTERGÖTLANDS LÄN</t>
        </is>
      </c>
      <c r="E184" t="inlineStr">
        <is>
          <t>KINDA</t>
        </is>
      </c>
      <c r="G184" t="n">
        <v>2.4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Tallticka
Granbarkgnagare</t>
        </is>
      </c>
      <c r="S184">
        <f>HYPERLINK("https://klasma.github.io/Logging_0513/artfynd/A 32-2025 artfynd.xlsx", "A 32-2025")</f>
        <v/>
      </c>
      <c r="T184">
        <f>HYPERLINK("https://klasma.github.io/Logging_0513/kartor/A 32-2025 karta.png", "A 32-2025")</f>
        <v/>
      </c>
      <c r="U184">
        <f>HYPERLINK("https://klasma.github.io/Logging_0513/knärot/A 32-2025 karta knärot.png", "A 32-2025")</f>
        <v/>
      </c>
      <c r="V184">
        <f>HYPERLINK("https://klasma.github.io/Logging_0513/klagomål/A 32-2025 FSC-klagomål.docx", "A 32-2025")</f>
        <v/>
      </c>
      <c r="W184">
        <f>HYPERLINK("https://klasma.github.io/Logging_0513/klagomålsmail/A 32-2025 FSC-klagomål mail.docx", "A 32-2025")</f>
        <v/>
      </c>
      <c r="X184">
        <f>HYPERLINK("https://klasma.github.io/Logging_0513/tillsyn/A 32-2025 tillsynsbegäran.docx", "A 32-2025")</f>
        <v/>
      </c>
      <c r="Y184">
        <f>HYPERLINK("https://klasma.github.io/Logging_0513/tillsynsmail/A 32-2025 tillsynsbegäran mail.docx", "A 32-2025")</f>
        <v/>
      </c>
    </row>
    <row r="185" ht="15" customHeight="1">
      <c r="A185" t="inlineStr">
        <is>
          <t>A 577-2025</t>
        </is>
      </c>
      <c r="B185" s="1" t="n">
        <v>45664</v>
      </c>
      <c r="C185" s="1" t="n">
        <v>45710</v>
      </c>
      <c r="D185" t="inlineStr">
        <is>
          <t>ÖSTERGÖTLANDS LÄN</t>
        </is>
      </c>
      <c r="E185" t="inlineStr">
        <is>
          <t>LINKÖPING</t>
        </is>
      </c>
      <c r="G185" t="n">
        <v>3.7</v>
      </c>
      <c r="H185" t="n">
        <v>3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Brunlångöra
Dvärgpipistrell
Större brunfladdermus</t>
        </is>
      </c>
      <c r="S185">
        <f>HYPERLINK("https://klasma.github.io/Logging_0580/artfynd/A 577-2025 artfynd.xlsx", "A 577-2025")</f>
        <v/>
      </c>
      <c r="T185">
        <f>HYPERLINK("https://klasma.github.io/Logging_0580/kartor/A 577-2025 karta.png", "A 577-2025")</f>
        <v/>
      </c>
      <c r="V185">
        <f>HYPERLINK("https://klasma.github.io/Logging_0580/klagomål/A 577-2025 FSC-klagomål.docx", "A 577-2025")</f>
        <v/>
      </c>
      <c r="W185">
        <f>HYPERLINK("https://klasma.github.io/Logging_0580/klagomålsmail/A 577-2025 FSC-klagomål mail.docx", "A 577-2025")</f>
        <v/>
      </c>
      <c r="X185">
        <f>HYPERLINK("https://klasma.github.io/Logging_0580/tillsyn/A 577-2025 tillsynsbegäran.docx", "A 577-2025")</f>
        <v/>
      </c>
      <c r="Y185">
        <f>HYPERLINK("https://klasma.github.io/Logging_0580/tillsynsmail/A 577-2025 tillsynsbegäran mail.docx", "A 577-2025")</f>
        <v/>
      </c>
    </row>
    <row r="186" ht="15" customHeight="1">
      <c r="A186" t="inlineStr">
        <is>
          <t>A 1260-2025</t>
        </is>
      </c>
      <c r="B186" s="1" t="n">
        <v>45667</v>
      </c>
      <c r="C186" s="1" t="n">
        <v>45710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9.9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Mjukdån
Nattviol
Revlummer</t>
        </is>
      </c>
      <c r="S186">
        <f>HYPERLINK("https://klasma.github.io/Logging_0581/artfynd/A 1260-2025 artfynd.xlsx", "A 1260-2025")</f>
        <v/>
      </c>
      <c r="T186">
        <f>HYPERLINK("https://klasma.github.io/Logging_0581/kartor/A 1260-2025 karta.png", "A 1260-2025")</f>
        <v/>
      </c>
      <c r="V186">
        <f>HYPERLINK("https://klasma.github.io/Logging_0581/klagomål/A 1260-2025 FSC-klagomål.docx", "A 1260-2025")</f>
        <v/>
      </c>
      <c r="W186">
        <f>HYPERLINK("https://klasma.github.io/Logging_0581/klagomålsmail/A 1260-2025 FSC-klagomål mail.docx", "A 1260-2025")</f>
        <v/>
      </c>
      <c r="X186">
        <f>HYPERLINK("https://klasma.github.io/Logging_0581/tillsyn/A 1260-2025 tillsynsbegäran.docx", "A 1260-2025")</f>
        <v/>
      </c>
      <c r="Y186">
        <f>HYPERLINK("https://klasma.github.io/Logging_0581/tillsynsmail/A 1260-2025 tillsynsbegäran mail.docx", "A 1260-2025")</f>
        <v/>
      </c>
    </row>
    <row r="187" ht="15" customHeight="1">
      <c r="A187" t="inlineStr">
        <is>
          <t>A 1590-2025</t>
        </is>
      </c>
      <c r="B187" s="1" t="n">
        <v>45667</v>
      </c>
      <c r="C187" s="1" t="n">
        <v>45710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3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Tvåblad
Nattskärra
Kärrknipprot</t>
        </is>
      </c>
      <c r="S187">
        <f>HYPERLINK("https://klasma.github.io/Logging_0586/artfynd/A 1590-2025 artfynd.xlsx", "A 1590-2025")</f>
        <v/>
      </c>
      <c r="T187">
        <f>HYPERLINK("https://klasma.github.io/Logging_0586/kartor/A 1590-2025 karta.png", "A 1590-2025")</f>
        <v/>
      </c>
      <c r="V187">
        <f>HYPERLINK("https://klasma.github.io/Logging_0586/klagomål/A 1590-2025 FSC-klagomål.docx", "A 1590-2025")</f>
        <v/>
      </c>
      <c r="W187">
        <f>HYPERLINK("https://klasma.github.io/Logging_0586/klagomålsmail/A 1590-2025 FSC-klagomål mail.docx", "A 1590-2025")</f>
        <v/>
      </c>
      <c r="X187">
        <f>HYPERLINK("https://klasma.github.io/Logging_0586/tillsyn/A 1590-2025 tillsynsbegäran.docx", "A 1590-2025")</f>
        <v/>
      </c>
      <c r="Y187">
        <f>HYPERLINK("https://klasma.github.io/Logging_0586/tillsynsmail/A 1590-2025 tillsynsbegäran mail.docx", "A 1590-2025")</f>
        <v/>
      </c>
      <c r="Z187">
        <f>HYPERLINK("https://klasma.github.io/Logging_0586/fåglar/A 1590-2025 prioriterade fågelarter.docx", "A 1590-2025")</f>
        <v/>
      </c>
    </row>
    <row r="188" ht="15" customHeight="1">
      <c r="A188" t="inlineStr">
        <is>
          <t>A 8023-2025</t>
        </is>
      </c>
      <c r="B188" s="1" t="n">
        <v>45707</v>
      </c>
      <c r="C188" s="1" t="n">
        <v>45710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13.8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Bårdlav
Klippfrullania
Blåsippa</t>
        </is>
      </c>
      <c r="S188">
        <f>HYPERLINK("https://klasma.github.io/Logging_0562/artfynd/A 8023-2025 artfynd.xlsx", "A 8023-2025")</f>
        <v/>
      </c>
      <c r="T188">
        <f>HYPERLINK("https://klasma.github.io/Logging_0562/kartor/A 8023-2025 karta.png", "A 8023-2025")</f>
        <v/>
      </c>
      <c r="U188">
        <f>HYPERLINK("https://klasma.github.io/Logging_0562/knärot/A 8023-2025 karta knärot.png", "A 8023-2025")</f>
        <v/>
      </c>
      <c r="V188">
        <f>HYPERLINK("https://klasma.github.io/Logging_0562/klagomål/A 8023-2025 FSC-klagomål.docx", "A 8023-2025")</f>
        <v/>
      </c>
      <c r="W188">
        <f>HYPERLINK("https://klasma.github.io/Logging_0562/klagomålsmail/A 8023-2025 FSC-klagomål mail.docx", "A 8023-2025")</f>
        <v/>
      </c>
      <c r="X188">
        <f>HYPERLINK("https://klasma.github.io/Logging_0562/tillsyn/A 8023-2025 tillsynsbegäran.docx", "A 8023-2025")</f>
        <v/>
      </c>
      <c r="Y188">
        <f>HYPERLINK("https://klasma.github.io/Logging_0562/tillsynsmail/A 8023-2025 tillsynsbegäran mail.docx", "A 8023-2025")</f>
        <v/>
      </c>
    </row>
    <row r="189" ht="15" customHeight="1">
      <c r="A189" t="inlineStr">
        <is>
          <t>A 8451-2025</t>
        </is>
      </c>
      <c r="B189" s="1" t="n">
        <v>45709</v>
      </c>
      <c r="C189" s="1" t="n">
        <v>45710</v>
      </c>
      <c r="D189" t="inlineStr">
        <is>
          <t>ÖSTERGÖTLANDS LÄN</t>
        </is>
      </c>
      <c r="E189" t="inlineStr">
        <is>
          <t>YDRE</t>
        </is>
      </c>
      <c r="G189" t="n">
        <v>1.1</v>
      </c>
      <c r="H189" t="n">
        <v>1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Dunmossa
Skogshakmossa
Revlummer</t>
        </is>
      </c>
      <c r="S189">
        <f>HYPERLINK("https://klasma.github.io/Logging_0512/artfynd/A 8451-2025 artfynd.xlsx", "A 8451-2025")</f>
        <v/>
      </c>
      <c r="T189">
        <f>HYPERLINK("https://klasma.github.io/Logging_0512/kartor/A 8451-2025 karta.png", "A 8451-2025")</f>
        <v/>
      </c>
      <c r="V189">
        <f>HYPERLINK("https://klasma.github.io/Logging_0512/klagomål/A 8451-2025 FSC-klagomål.docx", "A 8451-2025")</f>
        <v/>
      </c>
      <c r="W189">
        <f>HYPERLINK("https://klasma.github.io/Logging_0512/klagomålsmail/A 8451-2025 FSC-klagomål mail.docx", "A 8451-2025")</f>
        <v/>
      </c>
      <c r="X189">
        <f>HYPERLINK("https://klasma.github.io/Logging_0512/tillsyn/A 8451-2025 tillsynsbegäran.docx", "A 8451-2025")</f>
        <v/>
      </c>
      <c r="Y189">
        <f>HYPERLINK("https://klasma.github.io/Logging_0512/tillsynsmail/A 8451-2025 tillsynsbegäran mail.docx", "A 8451-2025")</f>
        <v/>
      </c>
    </row>
    <row r="190" ht="15" customHeight="1">
      <c r="A190" t="inlineStr">
        <is>
          <t>A 27142-2019</t>
        </is>
      </c>
      <c r="B190" s="1" t="n">
        <v>43608</v>
      </c>
      <c r="C190" s="1" t="n">
        <v>45710</v>
      </c>
      <c r="D190" t="inlineStr">
        <is>
          <t>ÖSTERGÖTLANDS LÄN</t>
        </is>
      </c>
      <c r="E190" t="inlineStr">
        <is>
          <t>SÖDERKÖPING</t>
        </is>
      </c>
      <c r="G190" t="n">
        <v>37.5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Gul dropplav
Gullklöver</t>
        </is>
      </c>
      <c r="S190">
        <f>HYPERLINK("https://klasma.github.io/Logging_0582/artfynd/A 27142-2019 artfynd.xlsx", "A 27142-2019")</f>
        <v/>
      </c>
      <c r="T190">
        <f>HYPERLINK("https://klasma.github.io/Logging_0582/kartor/A 27142-2019 karta.png", "A 27142-2019")</f>
        <v/>
      </c>
      <c r="V190">
        <f>HYPERLINK("https://klasma.github.io/Logging_0582/klagomål/A 27142-2019 FSC-klagomål.docx", "A 27142-2019")</f>
        <v/>
      </c>
      <c r="W190">
        <f>HYPERLINK("https://klasma.github.io/Logging_0582/klagomålsmail/A 27142-2019 FSC-klagomål mail.docx", "A 27142-2019")</f>
        <v/>
      </c>
      <c r="X190">
        <f>HYPERLINK("https://klasma.github.io/Logging_0582/tillsyn/A 27142-2019 tillsynsbegäran.docx", "A 27142-2019")</f>
        <v/>
      </c>
      <c r="Y190">
        <f>HYPERLINK("https://klasma.github.io/Logging_0582/tillsynsmail/A 27142-2019 tillsynsbegäran mail.docx", "A 27142-2019")</f>
        <v/>
      </c>
    </row>
    <row r="191" ht="15" customHeight="1">
      <c r="A191" t="inlineStr">
        <is>
          <t>A 39326-2019</t>
        </is>
      </c>
      <c r="B191" s="1" t="n">
        <v>43690</v>
      </c>
      <c r="C191" s="1" t="n">
        <v>45710</v>
      </c>
      <c r="D191" t="inlineStr">
        <is>
          <t>ÖSTERGÖTLANDS LÄN</t>
        </is>
      </c>
      <c r="E191" t="inlineStr">
        <is>
          <t>LINKÖPING</t>
        </is>
      </c>
      <c r="G191" t="n">
        <v>0.8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Gullklöver
Säfferot</t>
        </is>
      </c>
      <c r="S191">
        <f>HYPERLINK("https://klasma.github.io/Logging_0580/artfynd/A 39326-2019 artfynd.xlsx", "A 39326-2019")</f>
        <v/>
      </c>
      <c r="T191">
        <f>HYPERLINK("https://klasma.github.io/Logging_0580/kartor/A 39326-2019 karta.png", "A 39326-2019")</f>
        <v/>
      </c>
      <c r="V191">
        <f>HYPERLINK("https://klasma.github.io/Logging_0580/klagomål/A 39326-2019 FSC-klagomål.docx", "A 39326-2019")</f>
        <v/>
      </c>
      <c r="W191">
        <f>HYPERLINK("https://klasma.github.io/Logging_0580/klagomålsmail/A 39326-2019 FSC-klagomål mail.docx", "A 39326-2019")</f>
        <v/>
      </c>
      <c r="X191">
        <f>HYPERLINK("https://klasma.github.io/Logging_0580/tillsyn/A 39326-2019 tillsynsbegäran.docx", "A 39326-2019")</f>
        <v/>
      </c>
      <c r="Y191">
        <f>HYPERLINK("https://klasma.github.io/Logging_0580/tillsynsmail/A 39326-2019 tillsynsbegäran mail.docx", "A 39326-2019")</f>
        <v/>
      </c>
    </row>
    <row r="192" ht="15" customHeight="1">
      <c r="A192" t="inlineStr">
        <is>
          <t>A 42654-2019</t>
        </is>
      </c>
      <c r="B192" s="1" t="n">
        <v>43704</v>
      </c>
      <c r="C192" s="1" t="n">
        <v>45710</v>
      </c>
      <c r="D192" t="inlineStr">
        <is>
          <t>ÖSTERGÖTLANDS LÄN</t>
        </is>
      </c>
      <c r="E192" t="inlineStr">
        <is>
          <t>FINSPÅNG</t>
        </is>
      </c>
      <c r="G192" t="n">
        <v>3.2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Slåtterfibbla
Svinrot</t>
        </is>
      </c>
      <c r="S192">
        <f>HYPERLINK("https://klasma.github.io/Logging_0562/artfynd/A 42654-2019 artfynd.xlsx", "A 42654-2019")</f>
        <v/>
      </c>
      <c r="T192">
        <f>HYPERLINK("https://klasma.github.io/Logging_0562/kartor/A 42654-2019 karta.png", "A 42654-2019")</f>
        <v/>
      </c>
      <c r="V192">
        <f>HYPERLINK("https://klasma.github.io/Logging_0562/klagomål/A 42654-2019 FSC-klagomål.docx", "A 42654-2019")</f>
        <v/>
      </c>
      <c r="W192">
        <f>HYPERLINK("https://klasma.github.io/Logging_0562/klagomålsmail/A 42654-2019 FSC-klagomål mail.docx", "A 42654-2019")</f>
        <v/>
      </c>
      <c r="X192">
        <f>HYPERLINK("https://klasma.github.io/Logging_0562/tillsyn/A 42654-2019 tillsynsbegäran.docx", "A 42654-2019")</f>
        <v/>
      </c>
      <c r="Y192">
        <f>HYPERLINK("https://klasma.github.io/Logging_0562/tillsynsmail/A 42654-2019 tillsynsbegäran mail.docx", "A 42654-2019")</f>
        <v/>
      </c>
    </row>
    <row r="193" ht="15" customHeight="1">
      <c r="A193" t="inlineStr">
        <is>
          <t>A 46200-2019</t>
        </is>
      </c>
      <c r="B193" s="1" t="n">
        <v>43713</v>
      </c>
      <c r="C193" s="1" t="n">
        <v>45710</v>
      </c>
      <c r="D193" t="inlineStr">
        <is>
          <t>ÖSTERGÖTLANDS LÄN</t>
        </is>
      </c>
      <c r="E193" t="inlineStr">
        <is>
          <t>FINSPÅNG</t>
        </is>
      </c>
      <c r="G193" t="n">
        <v>15.4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Svart trolldruva
Mattlummer</t>
        </is>
      </c>
      <c r="S193">
        <f>HYPERLINK("https://klasma.github.io/Logging_0562/artfynd/A 46200-2019 artfynd.xlsx", "A 46200-2019")</f>
        <v/>
      </c>
      <c r="T193">
        <f>HYPERLINK("https://klasma.github.io/Logging_0562/kartor/A 46200-2019 karta.png", "A 46200-2019")</f>
        <v/>
      </c>
      <c r="V193">
        <f>HYPERLINK("https://klasma.github.io/Logging_0562/klagomål/A 46200-2019 FSC-klagomål.docx", "A 46200-2019")</f>
        <v/>
      </c>
      <c r="W193">
        <f>HYPERLINK("https://klasma.github.io/Logging_0562/klagomålsmail/A 46200-2019 FSC-klagomål mail.docx", "A 46200-2019")</f>
        <v/>
      </c>
      <c r="X193">
        <f>HYPERLINK("https://klasma.github.io/Logging_0562/tillsyn/A 46200-2019 tillsynsbegäran.docx", "A 46200-2019")</f>
        <v/>
      </c>
      <c r="Y193">
        <f>HYPERLINK("https://klasma.github.io/Logging_0562/tillsynsmail/A 46200-2019 tillsynsbegäran mail.docx", "A 46200-2019")</f>
        <v/>
      </c>
    </row>
    <row r="194" ht="15" customHeight="1">
      <c r="A194" t="inlineStr">
        <is>
          <t>A 45531-2019</t>
        </is>
      </c>
      <c r="B194" s="1" t="n">
        <v>43714</v>
      </c>
      <c r="C194" s="1" t="n">
        <v>45710</v>
      </c>
      <c r="D194" t="inlineStr">
        <is>
          <t>ÖSTERGÖTLANDS LÄN</t>
        </is>
      </c>
      <c r="E194" t="inlineStr">
        <is>
          <t>LINKÖPING</t>
        </is>
      </c>
      <c r="G194" t="n">
        <v>3.9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Ängsskära
Grönvit nattviol</t>
        </is>
      </c>
      <c r="S194">
        <f>HYPERLINK("https://klasma.github.io/Logging_0580/artfynd/A 45531-2019 artfynd.xlsx", "A 45531-2019")</f>
        <v/>
      </c>
      <c r="T194">
        <f>HYPERLINK("https://klasma.github.io/Logging_0580/kartor/A 45531-2019 karta.png", "A 45531-2019")</f>
        <v/>
      </c>
      <c r="V194">
        <f>HYPERLINK("https://klasma.github.io/Logging_0580/klagomål/A 45531-2019 FSC-klagomål.docx", "A 45531-2019")</f>
        <v/>
      </c>
      <c r="W194">
        <f>HYPERLINK("https://klasma.github.io/Logging_0580/klagomålsmail/A 45531-2019 FSC-klagomål mail.docx", "A 45531-2019")</f>
        <v/>
      </c>
      <c r="X194">
        <f>HYPERLINK("https://klasma.github.io/Logging_0580/tillsyn/A 45531-2019 tillsynsbegäran.docx", "A 45531-2019")</f>
        <v/>
      </c>
      <c r="Y194">
        <f>HYPERLINK("https://klasma.github.io/Logging_0580/tillsynsmail/A 45531-2019 tillsynsbegäran mail.docx", "A 45531-2019")</f>
        <v/>
      </c>
    </row>
    <row r="195" ht="15" customHeight="1">
      <c r="A195" t="inlineStr">
        <is>
          <t>A 6775-2020</t>
        </is>
      </c>
      <c r="B195" s="1" t="n">
        <v>43867</v>
      </c>
      <c r="C195" s="1" t="n">
        <v>45710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10.8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Granspira
Blomkålssvamp</t>
        </is>
      </c>
      <c r="S195">
        <f>HYPERLINK("https://klasma.github.io/Logging_0562/artfynd/A 6775-2020 artfynd.xlsx", "A 6775-2020")</f>
        <v/>
      </c>
      <c r="T195">
        <f>HYPERLINK("https://klasma.github.io/Logging_0562/kartor/A 6775-2020 karta.png", "A 6775-2020")</f>
        <v/>
      </c>
      <c r="V195">
        <f>HYPERLINK("https://klasma.github.io/Logging_0562/klagomål/A 6775-2020 FSC-klagomål.docx", "A 6775-2020")</f>
        <v/>
      </c>
      <c r="W195">
        <f>HYPERLINK("https://klasma.github.io/Logging_0562/klagomålsmail/A 6775-2020 FSC-klagomål mail.docx", "A 6775-2020")</f>
        <v/>
      </c>
      <c r="X195">
        <f>HYPERLINK("https://klasma.github.io/Logging_0562/tillsyn/A 6775-2020 tillsynsbegäran.docx", "A 6775-2020")</f>
        <v/>
      </c>
      <c r="Y195">
        <f>HYPERLINK("https://klasma.github.io/Logging_0562/tillsynsmail/A 6775-2020 tillsynsbegäran mail.docx", "A 6775-2020")</f>
        <v/>
      </c>
    </row>
    <row r="196" ht="15" customHeight="1">
      <c r="A196" t="inlineStr">
        <is>
          <t>A 22939-2020</t>
        </is>
      </c>
      <c r="B196" s="1" t="n">
        <v>43965</v>
      </c>
      <c r="C196" s="1" t="n">
        <v>45710</v>
      </c>
      <c r="D196" t="inlineStr">
        <is>
          <t>ÖSTERGÖTLANDS LÄN</t>
        </is>
      </c>
      <c r="E196" t="inlineStr">
        <is>
          <t>LINKÖPING</t>
        </is>
      </c>
      <c r="G196" t="n">
        <v>3.4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Rödlånke
Svartvit flugsnappare</t>
        </is>
      </c>
      <c r="S196">
        <f>HYPERLINK("https://klasma.github.io/Logging_0580/artfynd/A 22939-2020 artfynd.xlsx", "A 22939-2020")</f>
        <v/>
      </c>
      <c r="T196">
        <f>HYPERLINK("https://klasma.github.io/Logging_0580/kartor/A 22939-2020 karta.png", "A 22939-2020")</f>
        <v/>
      </c>
      <c r="V196">
        <f>HYPERLINK("https://klasma.github.io/Logging_0580/klagomål/A 22939-2020 FSC-klagomål.docx", "A 22939-2020")</f>
        <v/>
      </c>
      <c r="W196">
        <f>HYPERLINK("https://klasma.github.io/Logging_0580/klagomålsmail/A 22939-2020 FSC-klagomål mail.docx", "A 22939-2020")</f>
        <v/>
      </c>
      <c r="X196">
        <f>HYPERLINK("https://klasma.github.io/Logging_0580/tillsyn/A 22939-2020 tillsynsbegäran.docx", "A 22939-2020")</f>
        <v/>
      </c>
      <c r="Y196">
        <f>HYPERLINK("https://klasma.github.io/Logging_0580/tillsynsmail/A 22939-2020 tillsynsbegäran mail.docx", "A 22939-2020")</f>
        <v/>
      </c>
      <c r="Z196">
        <f>HYPERLINK("https://klasma.github.io/Logging_0580/fåglar/A 22939-2020 prioriterade fågelarter.docx", "A 22939-2020")</f>
        <v/>
      </c>
    </row>
    <row r="197" ht="15" customHeight="1">
      <c r="A197" t="inlineStr">
        <is>
          <t>A 23893-2020</t>
        </is>
      </c>
      <c r="B197" s="1" t="n">
        <v>43971</v>
      </c>
      <c r="C197" s="1" t="n">
        <v>45710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1.9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Ullticka
Vedticka</t>
        </is>
      </c>
      <c r="S197">
        <f>HYPERLINK("https://klasma.github.io/Logging_0562/artfynd/A 23893-2020 artfynd.xlsx", "A 23893-2020")</f>
        <v/>
      </c>
      <c r="T197">
        <f>HYPERLINK("https://klasma.github.io/Logging_0562/kartor/A 23893-2020 karta.png", "A 23893-2020")</f>
        <v/>
      </c>
      <c r="V197">
        <f>HYPERLINK("https://klasma.github.io/Logging_0562/klagomål/A 23893-2020 FSC-klagomål.docx", "A 23893-2020")</f>
        <v/>
      </c>
      <c r="W197">
        <f>HYPERLINK("https://klasma.github.io/Logging_0562/klagomålsmail/A 23893-2020 FSC-klagomål mail.docx", "A 23893-2020")</f>
        <v/>
      </c>
      <c r="X197">
        <f>HYPERLINK("https://klasma.github.io/Logging_0562/tillsyn/A 23893-2020 tillsynsbegäran.docx", "A 23893-2020")</f>
        <v/>
      </c>
      <c r="Y197">
        <f>HYPERLINK("https://klasma.github.io/Logging_0562/tillsynsmail/A 23893-2020 tillsynsbegäran mail.docx", "A 23893-2020")</f>
        <v/>
      </c>
    </row>
    <row r="198" ht="15" customHeight="1">
      <c r="A198" t="inlineStr">
        <is>
          <t>A 33435-2020</t>
        </is>
      </c>
      <c r="B198" s="1" t="n">
        <v>44022</v>
      </c>
      <c r="C198" s="1" t="n">
        <v>45710</v>
      </c>
      <c r="D198" t="inlineStr">
        <is>
          <t>ÖSTERGÖTLANDS LÄN</t>
        </is>
      </c>
      <c r="E198" t="inlineStr">
        <is>
          <t>ÖDESHÖG</t>
        </is>
      </c>
      <c r="G198" t="n">
        <v>1.6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Slåtterfibbla
Svart trolldruva</t>
        </is>
      </c>
      <c r="S198">
        <f>HYPERLINK("https://klasma.github.io/Logging_0509/artfynd/A 33435-2020 artfynd.xlsx", "A 33435-2020")</f>
        <v/>
      </c>
      <c r="T198">
        <f>HYPERLINK("https://klasma.github.io/Logging_0509/kartor/A 33435-2020 karta.png", "A 33435-2020")</f>
        <v/>
      </c>
      <c r="V198">
        <f>HYPERLINK("https://klasma.github.io/Logging_0509/klagomål/A 33435-2020 FSC-klagomål.docx", "A 33435-2020")</f>
        <v/>
      </c>
      <c r="W198">
        <f>HYPERLINK("https://klasma.github.io/Logging_0509/klagomålsmail/A 33435-2020 FSC-klagomål mail.docx", "A 33435-2020")</f>
        <v/>
      </c>
      <c r="X198">
        <f>HYPERLINK("https://klasma.github.io/Logging_0509/tillsyn/A 33435-2020 tillsynsbegäran.docx", "A 33435-2020")</f>
        <v/>
      </c>
      <c r="Y198">
        <f>HYPERLINK("https://klasma.github.io/Logging_0509/tillsynsmail/A 33435-2020 tillsynsbegäran mail.docx", "A 33435-2020")</f>
        <v/>
      </c>
    </row>
    <row r="199" ht="15" customHeight="1">
      <c r="A199" t="inlineStr">
        <is>
          <t>A 34220-2020</t>
        </is>
      </c>
      <c r="B199" s="1" t="n">
        <v>44029</v>
      </c>
      <c r="C199" s="1" t="n">
        <v>45710</v>
      </c>
      <c r="D199" t="inlineStr">
        <is>
          <t>ÖSTERGÖTLANDS LÄN</t>
        </is>
      </c>
      <c r="E199" t="inlineStr">
        <is>
          <t>VALDEMARSVIK</t>
        </is>
      </c>
      <c r="G199" t="n">
        <v>3.6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Ängsnycklar
Blåsippa</t>
        </is>
      </c>
      <c r="S199">
        <f>HYPERLINK("https://klasma.github.io/Logging_0563/artfynd/A 34220-2020 artfynd.xlsx", "A 34220-2020")</f>
        <v/>
      </c>
      <c r="T199">
        <f>HYPERLINK("https://klasma.github.io/Logging_0563/kartor/A 34220-2020 karta.png", "A 34220-2020")</f>
        <v/>
      </c>
      <c r="V199">
        <f>HYPERLINK("https://klasma.github.io/Logging_0563/klagomål/A 34220-2020 FSC-klagomål.docx", "A 34220-2020")</f>
        <v/>
      </c>
      <c r="W199">
        <f>HYPERLINK("https://klasma.github.io/Logging_0563/klagomålsmail/A 34220-2020 FSC-klagomål mail.docx", "A 34220-2020")</f>
        <v/>
      </c>
      <c r="X199">
        <f>HYPERLINK("https://klasma.github.io/Logging_0563/tillsyn/A 34220-2020 tillsynsbegäran.docx", "A 34220-2020")</f>
        <v/>
      </c>
      <c r="Y199">
        <f>HYPERLINK("https://klasma.github.io/Logging_0563/tillsynsmail/A 34220-2020 tillsynsbegäran mail.docx", "A 34220-2020")</f>
        <v/>
      </c>
    </row>
    <row r="200" ht="15" customHeight="1">
      <c r="A200" t="inlineStr">
        <is>
          <t>A 35484-2020</t>
        </is>
      </c>
      <c r="B200" s="1" t="n">
        <v>44042</v>
      </c>
      <c r="C200" s="1" t="n">
        <v>45710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Kyrkan</t>
        </is>
      </c>
      <c r="G200" t="n">
        <v>1.6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Springkorn
Strutbräken</t>
        </is>
      </c>
      <c r="S200">
        <f>HYPERLINK("https://klasma.github.io/Logging_0586/artfynd/A 35484-2020 artfynd.xlsx", "A 35484-2020")</f>
        <v/>
      </c>
      <c r="T200">
        <f>HYPERLINK("https://klasma.github.io/Logging_0586/kartor/A 35484-2020 karta.png", "A 35484-2020")</f>
        <v/>
      </c>
      <c r="V200">
        <f>HYPERLINK("https://klasma.github.io/Logging_0586/klagomål/A 35484-2020 FSC-klagomål.docx", "A 35484-2020")</f>
        <v/>
      </c>
      <c r="W200">
        <f>HYPERLINK("https://klasma.github.io/Logging_0586/klagomålsmail/A 35484-2020 FSC-klagomål mail.docx", "A 35484-2020")</f>
        <v/>
      </c>
      <c r="X200">
        <f>HYPERLINK("https://klasma.github.io/Logging_0586/tillsyn/A 35484-2020 tillsynsbegäran.docx", "A 35484-2020")</f>
        <v/>
      </c>
      <c r="Y200">
        <f>HYPERLINK("https://klasma.github.io/Logging_0586/tillsynsmail/A 35484-2020 tillsynsbegäran mail.docx", "A 35484-2020")</f>
        <v/>
      </c>
    </row>
    <row r="201" ht="15" customHeight="1">
      <c r="A201" t="inlineStr">
        <is>
          <t>A 40291-2020</t>
        </is>
      </c>
      <c r="B201" s="1" t="n">
        <v>44067</v>
      </c>
      <c r="C201" s="1" t="n">
        <v>45710</v>
      </c>
      <c r="D201" t="inlineStr">
        <is>
          <t>ÖSTERGÖTLANDS LÄN</t>
        </is>
      </c>
      <c r="E201" t="inlineStr">
        <is>
          <t>NORRKÖPING</t>
        </is>
      </c>
      <c r="G201" t="n">
        <v>11.6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Tallticka
Gullgröppa</t>
        </is>
      </c>
      <c r="S201">
        <f>HYPERLINK("https://klasma.github.io/Logging_0581/artfynd/A 40291-2020 artfynd.xlsx", "A 40291-2020")</f>
        <v/>
      </c>
      <c r="T201">
        <f>HYPERLINK("https://klasma.github.io/Logging_0581/kartor/A 40291-2020 karta.png", "A 40291-2020")</f>
        <v/>
      </c>
      <c r="V201">
        <f>HYPERLINK("https://klasma.github.io/Logging_0581/klagomål/A 40291-2020 FSC-klagomål.docx", "A 40291-2020")</f>
        <v/>
      </c>
      <c r="W201">
        <f>HYPERLINK("https://klasma.github.io/Logging_0581/klagomålsmail/A 40291-2020 FSC-klagomål mail.docx", "A 40291-2020")</f>
        <v/>
      </c>
      <c r="X201">
        <f>HYPERLINK("https://klasma.github.io/Logging_0581/tillsyn/A 40291-2020 tillsynsbegäran.docx", "A 40291-2020")</f>
        <v/>
      </c>
      <c r="Y201">
        <f>HYPERLINK("https://klasma.github.io/Logging_0581/tillsynsmail/A 40291-2020 tillsynsbegäran mail.docx", "A 40291-2020")</f>
        <v/>
      </c>
    </row>
    <row r="202" ht="15" customHeight="1">
      <c r="A202" t="inlineStr">
        <is>
          <t>A 59837-2020</t>
        </is>
      </c>
      <c r="B202" s="1" t="n">
        <v>44151</v>
      </c>
      <c r="C202" s="1" t="n">
        <v>45710</v>
      </c>
      <c r="D202" t="inlineStr">
        <is>
          <t>ÖSTERGÖTLANDS LÄN</t>
        </is>
      </c>
      <c r="E202" t="inlineStr">
        <is>
          <t>VALDEMARSVIK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Färgginst
Skogsklocka</t>
        </is>
      </c>
      <c r="S202">
        <f>HYPERLINK("https://klasma.github.io/Logging_0563/artfynd/A 59837-2020 artfynd.xlsx", "A 59837-2020")</f>
        <v/>
      </c>
      <c r="T202">
        <f>HYPERLINK("https://klasma.github.io/Logging_0563/kartor/A 59837-2020 karta.png", "A 59837-2020")</f>
        <v/>
      </c>
      <c r="V202">
        <f>HYPERLINK("https://klasma.github.io/Logging_0563/klagomål/A 59837-2020 FSC-klagomål.docx", "A 59837-2020")</f>
        <v/>
      </c>
      <c r="W202">
        <f>HYPERLINK("https://klasma.github.io/Logging_0563/klagomålsmail/A 59837-2020 FSC-klagomål mail.docx", "A 59837-2020")</f>
        <v/>
      </c>
      <c r="X202">
        <f>HYPERLINK("https://klasma.github.io/Logging_0563/tillsyn/A 59837-2020 tillsynsbegäran.docx", "A 59837-2020")</f>
        <v/>
      </c>
      <c r="Y202">
        <f>HYPERLINK("https://klasma.github.io/Logging_0563/tillsynsmail/A 59837-2020 tillsynsbegäran mail.docx", "A 59837-2020")</f>
        <v/>
      </c>
    </row>
    <row r="203" ht="15" customHeight="1">
      <c r="A203" t="inlineStr">
        <is>
          <t>A 9382-2021</t>
        </is>
      </c>
      <c r="B203" s="1" t="n">
        <v>44250</v>
      </c>
      <c r="C203" s="1" t="n">
        <v>45710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0.9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Ullticka</t>
        </is>
      </c>
      <c r="S203">
        <f>HYPERLINK("https://klasma.github.io/Logging_0561/artfynd/A 9382-2021 artfynd.xlsx", "A 9382-2021")</f>
        <v/>
      </c>
      <c r="T203">
        <f>HYPERLINK("https://klasma.github.io/Logging_0561/kartor/A 9382-2021 karta.png", "A 9382-2021")</f>
        <v/>
      </c>
      <c r="U203">
        <f>HYPERLINK("https://klasma.github.io/Logging_0561/knärot/A 9382-2021 karta knärot.png", "A 9382-2021")</f>
        <v/>
      </c>
      <c r="V203">
        <f>HYPERLINK("https://klasma.github.io/Logging_0561/klagomål/A 9382-2021 FSC-klagomål.docx", "A 9382-2021")</f>
        <v/>
      </c>
      <c r="W203">
        <f>HYPERLINK("https://klasma.github.io/Logging_0561/klagomålsmail/A 9382-2021 FSC-klagomål mail.docx", "A 9382-2021")</f>
        <v/>
      </c>
      <c r="X203">
        <f>HYPERLINK("https://klasma.github.io/Logging_0561/tillsyn/A 9382-2021 tillsynsbegäran.docx", "A 9382-2021")</f>
        <v/>
      </c>
      <c r="Y203">
        <f>HYPERLINK("https://klasma.github.io/Logging_0561/tillsynsmail/A 9382-2021 tillsynsbegäran mail.docx", "A 9382-2021")</f>
        <v/>
      </c>
    </row>
    <row r="204" ht="15" customHeight="1">
      <c r="A204" t="inlineStr">
        <is>
          <t>A 16760-2021</t>
        </is>
      </c>
      <c r="B204" s="1" t="n">
        <v>44294</v>
      </c>
      <c r="C204" s="1" t="n">
        <v>45710</v>
      </c>
      <c r="D204" t="inlineStr">
        <is>
          <t>ÖSTERGÖTLANDS LÄN</t>
        </is>
      </c>
      <c r="E204" t="inlineStr">
        <is>
          <t>LINKÖPING</t>
        </is>
      </c>
      <c r="G204" t="n">
        <v>5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Blekticka
Skuggorangelav</t>
        </is>
      </c>
      <c r="S204">
        <f>HYPERLINK("https://klasma.github.io/Logging_0580/artfynd/A 16760-2021 artfynd.xlsx", "A 16760-2021")</f>
        <v/>
      </c>
      <c r="T204">
        <f>HYPERLINK("https://klasma.github.io/Logging_0580/kartor/A 16760-2021 karta.png", "A 16760-2021")</f>
        <v/>
      </c>
      <c r="V204">
        <f>HYPERLINK("https://klasma.github.io/Logging_0580/klagomål/A 16760-2021 FSC-klagomål.docx", "A 16760-2021")</f>
        <v/>
      </c>
      <c r="W204">
        <f>HYPERLINK("https://klasma.github.io/Logging_0580/klagomålsmail/A 16760-2021 FSC-klagomål mail.docx", "A 16760-2021")</f>
        <v/>
      </c>
      <c r="X204">
        <f>HYPERLINK("https://klasma.github.io/Logging_0580/tillsyn/A 16760-2021 tillsynsbegäran.docx", "A 16760-2021")</f>
        <v/>
      </c>
      <c r="Y204">
        <f>HYPERLINK("https://klasma.github.io/Logging_0580/tillsynsmail/A 16760-2021 tillsynsbegäran mail.docx", "A 16760-2021")</f>
        <v/>
      </c>
    </row>
    <row r="205" ht="15" customHeight="1">
      <c r="A205" t="inlineStr">
        <is>
          <t>A 18366-2021</t>
        </is>
      </c>
      <c r="B205" s="1" t="n">
        <v>44305</v>
      </c>
      <c r="C205" s="1" t="n">
        <v>45710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2.7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Nattviol</t>
        </is>
      </c>
      <c r="S205">
        <f>HYPERLINK("https://klasma.github.io/Logging_0562/artfynd/A 18366-2021 artfynd.xlsx", "A 18366-2021")</f>
        <v/>
      </c>
      <c r="T205">
        <f>HYPERLINK("https://klasma.github.io/Logging_0562/kartor/A 18366-2021 karta.png", "A 18366-2021")</f>
        <v/>
      </c>
      <c r="V205">
        <f>HYPERLINK("https://klasma.github.io/Logging_0562/klagomål/A 18366-2021 FSC-klagomål.docx", "A 18366-2021")</f>
        <v/>
      </c>
      <c r="W205">
        <f>HYPERLINK("https://klasma.github.io/Logging_0562/klagomålsmail/A 18366-2021 FSC-klagomål mail.docx", "A 18366-2021")</f>
        <v/>
      </c>
      <c r="X205">
        <f>HYPERLINK("https://klasma.github.io/Logging_0562/tillsyn/A 18366-2021 tillsynsbegäran.docx", "A 18366-2021")</f>
        <v/>
      </c>
      <c r="Y205">
        <f>HYPERLINK("https://klasma.github.io/Logging_0562/tillsynsmail/A 18366-2021 tillsynsbegäran mail.docx", "A 18366-2021")</f>
        <v/>
      </c>
    </row>
    <row r="206" ht="15" customHeight="1">
      <c r="A206" t="inlineStr">
        <is>
          <t>A 30642-2021</t>
        </is>
      </c>
      <c r="B206" s="1" t="n">
        <v>44365</v>
      </c>
      <c r="C206" s="1" t="n">
        <v>45710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2</v>
      </c>
      <c r="H206" t="n">
        <v>2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Tvåblad
Grönvit nattviol</t>
        </is>
      </c>
      <c r="S206">
        <f>HYPERLINK("https://klasma.github.io/Logging_0586/artfynd/A 30642-2021 artfynd.xlsx", "A 30642-2021")</f>
        <v/>
      </c>
      <c r="T206">
        <f>HYPERLINK("https://klasma.github.io/Logging_0586/kartor/A 30642-2021 karta.png", "A 30642-2021")</f>
        <v/>
      </c>
      <c r="V206">
        <f>HYPERLINK("https://klasma.github.io/Logging_0586/klagomål/A 30642-2021 FSC-klagomål.docx", "A 30642-2021")</f>
        <v/>
      </c>
      <c r="W206">
        <f>HYPERLINK("https://klasma.github.io/Logging_0586/klagomålsmail/A 30642-2021 FSC-klagomål mail.docx", "A 30642-2021")</f>
        <v/>
      </c>
      <c r="X206">
        <f>HYPERLINK("https://klasma.github.io/Logging_0586/tillsyn/A 30642-2021 tillsynsbegäran.docx", "A 30642-2021")</f>
        <v/>
      </c>
      <c r="Y206">
        <f>HYPERLINK("https://klasma.github.io/Logging_0586/tillsynsmail/A 30642-2021 tillsynsbegäran mail.docx", "A 30642-2021")</f>
        <v/>
      </c>
    </row>
    <row r="207" ht="15" customHeight="1">
      <c r="A207" t="inlineStr">
        <is>
          <t>A 38137-2021</t>
        </is>
      </c>
      <c r="B207" s="1" t="n">
        <v>44405</v>
      </c>
      <c r="C207" s="1" t="n">
        <v>45710</v>
      </c>
      <c r="D207" t="inlineStr">
        <is>
          <t>ÖSTERGÖTLANDS LÄN</t>
        </is>
      </c>
      <c r="E207" t="inlineStr">
        <is>
          <t>LINKÖPING</t>
        </is>
      </c>
      <c r="G207" t="n">
        <v>2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Mandelriska</t>
        </is>
      </c>
      <c r="S207">
        <f>HYPERLINK("https://klasma.github.io/Logging_0580/artfynd/A 38137-2021 artfynd.xlsx", "A 38137-2021")</f>
        <v/>
      </c>
      <c r="T207">
        <f>HYPERLINK("https://klasma.github.io/Logging_0580/kartor/A 38137-2021 karta.png", "A 38137-2021")</f>
        <v/>
      </c>
      <c r="V207">
        <f>HYPERLINK("https://klasma.github.io/Logging_0580/klagomål/A 38137-2021 FSC-klagomål.docx", "A 38137-2021")</f>
        <v/>
      </c>
      <c r="W207">
        <f>HYPERLINK("https://klasma.github.io/Logging_0580/klagomålsmail/A 38137-2021 FSC-klagomål mail.docx", "A 38137-2021")</f>
        <v/>
      </c>
      <c r="X207">
        <f>HYPERLINK("https://klasma.github.io/Logging_0580/tillsyn/A 38137-2021 tillsynsbegäran.docx", "A 38137-2021")</f>
        <v/>
      </c>
      <c r="Y207">
        <f>HYPERLINK("https://klasma.github.io/Logging_0580/tillsynsmail/A 38137-2021 tillsynsbegäran mail.docx", "A 38137-2021")</f>
        <v/>
      </c>
    </row>
    <row r="208" ht="15" customHeight="1">
      <c r="A208" t="inlineStr">
        <is>
          <t>A 40493-2021</t>
        </is>
      </c>
      <c r="B208" s="1" t="n">
        <v>44420</v>
      </c>
      <c r="C208" s="1" t="n">
        <v>45710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2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Revlummer</t>
        </is>
      </c>
      <c r="S208">
        <f>HYPERLINK("https://klasma.github.io/Logging_0509/artfynd/A 40493-2021 artfynd.xlsx", "A 40493-2021")</f>
        <v/>
      </c>
      <c r="T208">
        <f>HYPERLINK("https://klasma.github.io/Logging_0509/kartor/A 40493-2021 karta.png", "A 40493-2021")</f>
        <v/>
      </c>
      <c r="U208">
        <f>HYPERLINK("https://klasma.github.io/Logging_0509/knärot/A 40493-2021 karta knärot.png", "A 40493-2021")</f>
        <v/>
      </c>
      <c r="V208">
        <f>HYPERLINK("https://klasma.github.io/Logging_0509/klagomål/A 40493-2021 FSC-klagomål.docx", "A 40493-2021")</f>
        <v/>
      </c>
      <c r="W208">
        <f>HYPERLINK("https://klasma.github.io/Logging_0509/klagomålsmail/A 40493-2021 FSC-klagomål mail.docx", "A 40493-2021")</f>
        <v/>
      </c>
      <c r="X208">
        <f>HYPERLINK("https://klasma.github.io/Logging_0509/tillsyn/A 40493-2021 tillsynsbegäran.docx", "A 40493-2021")</f>
        <v/>
      </c>
      <c r="Y208">
        <f>HYPERLINK("https://klasma.github.io/Logging_0509/tillsynsmail/A 40493-2021 tillsynsbegäran mail.docx", "A 40493-2021")</f>
        <v/>
      </c>
    </row>
    <row r="209" ht="15" customHeight="1">
      <c r="A209" t="inlineStr">
        <is>
          <t>A 49366-2021</t>
        </is>
      </c>
      <c r="B209" s="1" t="n">
        <v>44454</v>
      </c>
      <c r="C209" s="1" t="n">
        <v>45710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7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Sårläka</t>
        </is>
      </c>
      <c r="S209">
        <f>HYPERLINK("https://klasma.github.io/Logging_0581/artfynd/A 49366-2021 artfynd.xlsx", "A 49366-2021")</f>
        <v/>
      </c>
      <c r="T209">
        <f>HYPERLINK("https://klasma.github.io/Logging_0581/kartor/A 49366-2021 karta.png", "A 49366-2021")</f>
        <v/>
      </c>
      <c r="U209">
        <f>HYPERLINK("https://klasma.github.io/Logging_0581/knärot/A 49366-2021 karta knärot.png", "A 49366-2021")</f>
        <v/>
      </c>
      <c r="V209">
        <f>HYPERLINK("https://klasma.github.io/Logging_0581/klagomål/A 49366-2021 FSC-klagomål.docx", "A 49366-2021")</f>
        <v/>
      </c>
      <c r="W209">
        <f>HYPERLINK("https://klasma.github.io/Logging_0581/klagomålsmail/A 49366-2021 FSC-klagomål mail.docx", "A 49366-2021")</f>
        <v/>
      </c>
      <c r="X209">
        <f>HYPERLINK("https://klasma.github.io/Logging_0581/tillsyn/A 49366-2021 tillsynsbegäran.docx", "A 49366-2021")</f>
        <v/>
      </c>
      <c r="Y209">
        <f>HYPERLINK("https://klasma.github.io/Logging_0581/tillsynsmail/A 49366-2021 tillsynsbegäran mail.docx", "A 49366-2021")</f>
        <v/>
      </c>
    </row>
    <row r="210" ht="15" customHeight="1">
      <c r="A210" t="inlineStr">
        <is>
          <t>A 56243-2021</t>
        </is>
      </c>
      <c r="B210" s="1" t="n">
        <v>44478</v>
      </c>
      <c r="C210" s="1" t="n">
        <v>45710</v>
      </c>
      <c r="D210" t="inlineStr">
        <is>
          <t>ÖSTERGÖTLANDS LÄN</t>
        </is>
      </c>
      <c r="E210" t="inlineStr">
        <is>
          <t>KINDA</t>
        </is>
      </c>
      <c r="F210" t="inlineStr">
        <is>
          <t>Övriga Aktiebolag</t>
        </is>
      </c>
      <c r="G210" t="n">
        <v>12.2</v>
      </c>
      <c r="H210" t="n">
        <v>1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Ryl
Spindelblomster</t>
        </is>
      </c>
      <c r="S210">
        <f>HYPERLINK("https://klasma.github.io/Logging_0513/artfynd/A 56243-2021 artfynd.xlsx", "A 56243-2021")</f>
        <v/>
      </c>
      <c r="T210">
        <f>HYPERLINK("https://klasma.github.io/Logging_0513/kartor/A 56243-2021 karta.png", "A 56243-2021")</f>
        <v/>
      </c>
      <c r="V210">
        <f>HYPERLINK("https://klasma.github.io/Logging_0513/klagomål/A 56243-2021 FSC-klagomål.docx", "A 56243-2021")</f>
        <v/>
      </c>
      <c r="W210">
        <f>HYPERLINK("https://klasma.github.io/Logging_0513/klagomålsmail/A 56243-2021 FSC-klagomål mail.docx", "A 56243-2021")</f>
        <v/>
      </c>
      <c r="X210">
        <f>HYPERLINK("https://klasma.github.io/Logging_0513/tillsyn/A 56243-2021 tillsynsbegäran.docx", "A 56243-2021")</f>
        <v/>
      </c>
      <c r="Y210">
        <f>HYPERLINK("https://klasma.github.io/Logging_0513/tillsynsmail/A 56243-2021 tillsynsbegäran mail.docx", "A 56243-2021")</f>
        <v/>
      </c>
    </row>
    <row r="211" ht="15" customHeight="1">
      <c r="A211" t="inlineStr">
        <is>
          <t>A 58068-2021</t>
        </is>
      </c>
      <c r="B211" s="1" t="n">
        <v>44487</v>
      </c>
      <c r="C211" s="1" t="n">
        <v>45710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1.2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Rödbrun blekspik
Skuggorangelav</t>
        </is>
      </c>
      <c r="S211">
        <f>HYPERLINK("https://klasma.github.io/Logging_0580/artfynd/A 58068-2021 artfynd.xlsx", "A 58068-2021")</f>
        <v/>
      </c>
      <c r="T211">
        <f>HYPERLINK("https://klasma.github.io/Logging_0580/kartor/A 58068-2021 karta.png", "A 58068-2021")</f>
        <v/>
      </c>
      <c r="V211">
        <f>HYPERLINK("https://klasma.github.io/Logging_0580/klagomål/A 58068-2021 FSC-klagomål.docx", "A 58068-2021")</f>
        <v/>
      </c>
      <c r="W211">
        <f>HYPERLINK("https://klasma.github.io/Logging_0580/klagomålsmail/A 58068-2021 FSC-klagomål mail.docx", "A 58068-2021")</f>
        <v/>
      </c>
      <c r="X211">
        <f>HYPERLINK("https://klasma.github.io/Logging_0580/tillsyn/A 58068-2021 tillsynsbegäran.docx", "A 58068-2021")</f>
        <v/>
      </c>
      <c r="Y211">
        <f>HYPERLINK("https://klasma.github.io/Logging_0580/tillsynsmail/A 58068-2021 tillsynsbegäran mail.docx", "A 58068-2021")</f>
        <v/>
      </c>
    </row>
    <row r="212" ht="15" customHeight="1">
      <c r="A212" t="inlineStr">
        <is>
          <t>A 63961-2021</t>
        </is>
      </c>
      <c r="B212" s="1" t="n">
        <v>44509</v>
      </c>
      <c r="C212" s="1" t="n">
        <v>45710</v>
      </c>
      <c r="D212" t="inlineStr">
        <is>
          <t>ÖSTERGÖTLANDS LÄN</t>
        </is>
      </c>
      <c r="E212" t="inlineStr">
        <is>
          <t>YDRE</t>
        </is>
      </c>
      <c r="G212" t="n">
        <v>3.1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Crepis tectorum subsp. tectorum
Tallticka</t>
        </is>
      </c>
      <c r="S212">
        <f>HYPERLINK("https://klasma.github.io/Logging_0512/artfynd/A 63961-2021 artfynd.xlsx", "A 63961-2021")</f>
        <v/>
      </c>
      <c r="T212">
        <f>HYPERLINK("https://klasma.github.io/Logging_0512/kartor/A 63961-2021 karta.png", "A 63961-2021")</f>
        <v/>
      </c>
      <c r="V212">
        <f>HYPERLINK("https://klasma.github.io/Logging_0512/klagomål/A 63961-2021 FSC-klagomål.docx", "A 63961-2021")</f>
        <v/>
      </c>
      <c r="W212">
        <f>HYPERLINK("https://klasma.github.io/Logging_0512/klagomålsmail/A 63961-2021 FSC-klagomål mail.docx", "A 63961-2021")</f>
        <v/>
      </c>
      <c r="X212">
        <f>HYPERLINK("https://klasma.github.io/Logging_0512/tillsyn/A 63961-2021 tillsynsbegäran.docx", "A 63961-2021")</f>
        <v/>
      </c>
      <c r="Y212">
        <f>HYPERLINK("https://klasma.github.io/Logging_0512/tillsynsmail/A 63961-2021 tillsynsbegäran mail.docx", "A 63961-2021")</f>
        <v/>
      </c>
    </row>
    <row r="213" ht="15" customHeight="1">
      <c r="A213" t="inlineStr">
        <is>
          <t>A 71028-2021</t>
        </is>
      </c>
      <c r="B213" s="1" t="n">
        <v>44537</v>
      </c>
      <c r="C213" s="1" t="n">
        <v>45710</v>
      </c>
      <c r="D213" t="inlineStr">
        <is>
          <t>ÖSTERGÖTLANDS LÄN</t>
        </is>
      </c>
      <c r="E213" t="inlineStr">
        <is>
          <t>BOXHOLM</t>
        </is>
      </c>
      <c r="G213" t="n">
        <v>2.1</v>
      </c>
      <c r="H213" t="n">
        <v>1</v>
      </c>
      <c r="I213" t="n">
        <v>0</v>
      </c>
      <c r="J213" t="n">
        <v>1</v>
      </c>
      <c r="K213" t="n">
        <v>0</v>
      </c>
      <c r="L213" t="n">
        <v>1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Bredgentiana
Jordtistel</t>
        </is>
      </c>
      <c r="S213">
        <f>HYPERLINK("https://klasma.github.io/Logging_0560/artfynd/A 71028-2021 artfynd.xlsx", "A 71028-2021")</f>
        <v/>
      </c>
      <c r="T213">
        <f>HYPERLINK("https://klasma.github.io/Logging_0560/kartor/A 71028-2021 karta.png", "A 71028-2021")</f>
        <v/>
      </c>
      <c r="V213">
        <f>HYPERLINK("https://klasma.github.io/Logging_0560/klagomål/A 71028-2021 FSC-klagomål.docx", "A 71028-2021")</f>
        <v/>
      </c>
      <c r="W213">
        <f>HYPERLINK("https://klasma.github.io/Logging_0560/klagomålsmail/A 71028-2021 FSC-klagomål mail.docx", "A 71028-2021")</f>
        <v/>
      </c>
      <c r="X213">
        <f>HYPERLINK("https://klasma.github.io/Logging_0560/tillsyn/A 71028-2021 tillsynsbegäran.docx", "A 71028-2021")</f>
        <v/>
      </c>
      <c r="Y213">
        <f>HYPERLINK("https://klasma.github.io/Logging_0560/tillsynsmail/A 71028-2021 tillsynsbegäran mail.docx", "A 71028-2021")</f>
        <v/>
      </c>
    </row>
    <row r="214" ht="15" customHeight="1">
      <c r="A214" t="inlineStr">
        <is>
          <t>A 11501-2022</t>
        </is>
      </c>
      <c r="B214" s="1" t="n">
        <v>44631</v>
      </c>
      <c r="C214" s="1" t="n">
        <v>45710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Dvärghäxört
Springkorn</t>
        </is>
      </c>
      <c r="S214">
        <f>HYPERLINK("https://klasma.github.io/Logging_0561/artfynd/A 11501-2022 artfynd.xlsx", "A 11501-2022")</f>
        <v/>
      </c>
      <c r="T214">
        <f>HYPERLINK("https://klasma.github.io/Logging_0561/kartor/A 11501-2022 karta.png", "A 11501-2022")</f>
        <v/>
      </c>
      <c r="V214">
        <f>HYPERLINK("https://klasma.github.io/Logging_0561/klagomål/A 11501-2022 FSC-klagomål.docx", "A 11501-2022")</f>
        <v/>
      </c>
      <c r="W214">
        <f>HYPERLINK("https://klasma.github.io/Logging_0561/klagomålsmail/A 11501-2022 FSC-klagomål mail.docx", "A 11501-2022")</f>
        <v/>
      </c>
      <c r="X214">
        <f>HYPERLINK("https://klasma.github.io/Logging_0561/tillsyn/A 11501-2022 tillsynsbegäran.docx", "A 11501-2022")</f>
        <v/>
      </c>
      <c r="Y214">
        <f>HYPERLINK("https://klasma.github.io/Logging_0561/tillsynsmail/A 11501-2022 tillsynsbegäran mail.docx", "A 11501-2022")</f>
        <v/>
      </c>
    </row>
    <row r="215" ht="15" customHeight="1">
      <c r="A215" t="inlineStr">
        <is>
          <t>A 17520-2022</t>
        </is>
      </c>
      <c r="B215" s="1" t="n">
        <v>44679</v>
      </c>
      <c r="C215" s="1" t="n">
        <v>45710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Kommuner</t>
        </is>
      </c>
      <c r="G215" t="n">
        <v>4.6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Trådticka</t>
        </is>
      </c>
      <c r="S215">
        <f>HYPERLINK("https://klasma.github.io/Logging_0580/artfynd/A 17520-2022 artfynd.xlsx", "A 17520-2022")</f>
        <v/>
      </c>
      <c r="T215">
        <f>HYPERLINK("https://klasma.github.io/Logging_0580/kartor/A 17520-2022 karta.png", "A 17520-2022")</f>
        <v/>
      </c>
      <c r="V215">
        <f>HYPERLINK("https://klasma.github.io/Logging_0580/klagomål/A 17520-2022 FSC-klagomål.docx", "A 17520-2022")</f>
        <v/>
      </c>
      <c r="W215">
        <f>HYPERLINK("https://klasma.github.io/Logging_0580/klagomålsmail/A 17520-2022 FSC-klagomål mail.docx", "A 17520-2022")</f>
        <v/>
      </c>
      <c r="X215">
        <f>HYPERLINK("https://klasma.github.io/Logging_0580/tillsyn/A 17520-2022 tillsynsbegäran.docx", "A 17520-2022")</f>
        <v/>
      </c>
      <c r="Y215">
        <f>HYPERLINK("https://klasma.github.io/Logging_0580/tillsynsmail/A 17520-2022 tillsynsbegäran mail.docx", "A 17520-2022")</f>
        <v/>
      </c>
    </row>
    <row r="216" ht="15" customHeight="1">
      <c r="A216" t="inlineStr">
        <is>
          <t>A 18633-2022</t>
        </is>
      </c>
      <c r="B216" s="1" t="n">
        <v>44687</v>
      </c>
      <c r="C216" s="1" t="n">
        <v>45710</v>
      </c>
      <c r="D216" t="inlineStr">
        <is>
          <t>ÖSTERGÖTLANDS LÄN</t>
        </is>
      </c>
      <c r="E216" t="inlineStr">
        <is>
          <t>VADSTENA</t>
        </is>
      </c>
      <c r="G216" t="n">
        <v>1.6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Gulsparv
Blåsippa</t>
        </is>
      </c>
      <c r="S216">
        <f>HYPERLINK("https://klasma.github.io/Logging_0584/artfynd/A 18633-2022 artfynd.xlsx", "A 18633-2022")</f>
        <v/>
      </c>
      <c r="T216">
        <f>HYPERLINK("https://klasma.github.io/Logging_0584/kartor/A 18633-2022 karta.png", "A 18633-2022")</f>
        <v/>
      </c>
      <c r="V216">
        <f>HYPERLINK("https://klasma.github.io/Logging_0584/klagomål/A 18633-2022 FSC-klagomål.docx", "A 18633-2022")</f>
        <v/>
      </c>
      <c r="W216">
        <f>HYPERLINK("https://klasma.github.io/Logging_0584/klagomålsmail/A 18633-2022 FSC-klagomål mail.docx", "A 18633-2022")</f>
        <v/>
      </c>
      <c r="X216">
        <f>HYPERLINK("https://klasma.github.io/Logging_0584/tillsyn/A 18633-2022 tillsynsbegäran.docx", "A 18633-2022")</f>
        <v/>
      </c>
      <c r="Y216">
        <f>HYPERLINK("https://klasma.github.io/Logging_0584/tillsynsmail/A 18633-2022 tillsynsbegäran mail.docx", "A 18633-2022")</f>
        <v/>
      </c>
      <c r="Z216">
        <f>HYPERLINK("https://klasma.github.io/Logging_0584/fåglar/A 18633-2022 prioriterade fågelarter.docx", "A 18633-2022")</f>
        <v/>
      </c>
    </row>
    <row r="217" ht="15" customHeight="1">
      <c r="A217" t="inlineStr">
        <is>
          <t>A 20262-2022</t>
        </is>
      </c>
      <c r="B217" s="1" t="n">
        <v>44698</v>
      </c>
      <c r="C217" s="1" t="n">
        <v>45710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10.3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Blåmossa</t>
        </is>
      </c>
      <c r="S217">
        <f>HYPERLINK("https://klasma.github.io/Logging_0509/artfynd/A 20262-2022 artfynd.xlsx", "A 20262-2022")</f>
        <v/>
      </c>
      <c r="T217">
        <f>HYPERLINK("https://klasma.github.io/Logging_0509/kartor/A 20262-2022 karta.png", "A 20262-2022")</f>
        <v/>
      </c>
      <c r="U217">
        <f>HYPERLINK("https://klasma.github.io/Logging_0509/knärot/A 20262-2022 karta knärot.png", "A 20262-2022")</f>
        <v/>
      </c>
      <c r="V217">
        <f>HYPERLINK("https://klasma.github.io/Logging_0509/klagomål/A 20262-2022 FSC-klagomål.docx", "A 20262-2022")</f>
        <v/>
      </c>
      <c r="W217">
        <f>HYPERLINK("https://klasma.github.io/Logging_0509/klagomålsmail/A 20262-2022 FSC-klagomål mail.docx", "A 20262-2022")</f>
        <v/>
      </c>
      <c r="X217">
        <f>HYPERLINK("https://klasma.github.io/Logging_0509/tillsyn/A 20262-2022 tillsynsbegäran.docx", "A 20262-2022")</f>
        <v/>
      </c>
      <c r="Y217">
        <f>HYPERLINK("https://klasma.github.io/Logging_0509/tillsynsmail/A 20262-2022 tillsynsbegäran mail.docx", "A 20262-2022")</f>
        <v/>
      </c>
    </row>
    <row r="218" ht="15" customHeight="1">
      <c r="A218" t="inlineStr">
        <is>
          <t>A 24959-2022</t>
        </is>
      </c>
      <c r="B218" s="1" t="n">
        <v>44728</v>
      </c>
      <c r="C218" s="1" t="n">
        <v>45710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1.9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Noshornsoxe
Rävticka</t>
        </is>
      </c>
      <c r="S218">
        <f>HYPERLINK("https://klasma.github.io/Logging_0582/artfynd/A 24959-2022 artfynd.xlsx", "A 24959-2022")</f>
        <v/>
      </c>
      <c r="T218">
        <f>HYPERLINK("https://klasma.github.io/Logging_0582/kartor/A 24959-2022 karta.png", "A 24959-2022")</f>
        <v/>
      </c>
      <c r="V218">
        <f>HYPERLINK("https://klasma.github.io/Logging_0582/klagomål/A 24959-2022 FSC-klagomål.docx", "A 24959-2022")</f>
        <v/>
      </c>
      <c r="W218">
        <f>HYPERLINK("https://klasma.github.io/Logging_0582/klagomålsmail/A 24959-2022 FSC-klagomål mail.docx", "A 24959-2022")</f>
        <v/>
      </c>
      <c r="X218">
        <f>HYPERLINK("https://klasma.github.io/Logging_0582/tillsyn/A 24959-2022 tillsynsbegäran.docx", "A 24959-2022")</f>
        <v/>
      </c>
      <c r="Y218">
        <f>HYPERLINK("https://klasma.github.io/Logging_0582/tillsynsmail/A 24959-2022 tillsynsbegäran mail.docx", "A 24959-2022")</f>
        <v/>
      </c>
    </row>
    <row r="219" ht="15" customHeight="1">
      <c r="A219" t="inlineStr">
        <is>
          <t>A 25498-2022</t>
        </is>
      </c>
      <c r="B219" s="1" t="n">
        <v>44732</v>
      </c>
      <c r="C219" s="1" t="n">
        <v>45710</v>
      </c>
      <c r="D219" t="inlineStr">
        <is>
          <t>ÖSTERGÖTLANDS LÄN</t>
        </is>
      </c>
      <c r="E219" t="inlineStr">
        <is>
          <t>YDRE</t>
        </is>
      </c>
      <c r="F219" t="inlineStr">
        <is>
          <t>Kyrkan</t>
        </is>
      </c>
      <c r="G219" t="n">
        <v>71.09999999999999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Brunpudrad nållav
Garnlav</t>
        </is>
      </c>
      <c r="S219">
        <f>HYPERLINK("https://klasma.github.io/Logging_0512/artfynd/A 25498-2022 artfynd.xlsx", "A 25498-2022")</f>
        <v/>
      </c>
      <c r="T219">
        <f>HYPERLINK("https://klasma.github.io/Logging_0512/kartor/A 25498-2022 karta.png", "A 25498-2022")</f>
        <v/>
      </c>
      <c r="V219">
        <f>HYPERLINK("https://klasma.github.io/Logging_0512/klagomål/A 25498-2022 FSC-klagomål.docx", "A 25498-2022")</f>
        <v/>
      </c>
      <c r="W219">
        <f>HYPERLINK("https://klasma.github.io/Logging_0512/klagomålsmail/A 25498-2022 FSC-klagomål mail.docx", "A 25498-2022")</f>
        <v/>
      </c>
      <c r="X219">
        <f>HYPERLINK("https://klasma.github.io/Logging_0512/tillsyn/A 25498-2022 tillsynsbegäran.docx", "A 25498-2022")</f>
        <v/>
      </c>
      <c r="Y219">
        <f>HYPERLINK("https://klasma.github.io/Logging_0512/tillsynsmail/A 25498-2022 tillsynsbegäran mail.docx", "A 25498-2022")</f>
        <v/>
      </c>
    </row>
    <row r="220" ht="15" customHeight="1">
      <c r="A220" t="inlineStr">
        <is>
          <t>A 27981-2022</t>
        </is>
      </c>
      <c r="B220" s="1" t="n">
        <v>44745</v>
      </c>
      <c r="C220" s="1" t="n">
        <v>45710</v>
      </c>
      <c r="D220" t="inlineStr">
        <is>
          <t>ÖSTERGÖTLANDS LÄN</t>
        </is>
      </c>
      <c r="E220" t="inlineStr">
        <is>
          <t>LINKÖPING</t>
        </is>
      </c>
      <c r="G220" t="n">
        <v>8.4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Solvända
Svinrot</t>
        </is>
      </c>
      <c r="S220">
        <f>HYPERLINK("https://klasma.github.io/Logging_0580/artfynd/A 27981-2022 artfynd.xlsx", "A 27981-2022")</f>
        <v/>
      </c>
      <c r="T220">
        <f>HYPERLINK("https://klasma.github.io/Logging_0580/kartor/A 27981-2022 karta.png", "A 27981-2022")</f>
        <v/>
      </c>
      <c r="V220">
        <f>HYPERLINK("https://klasma.github.io/Logging_0580/klagomål/A 27981-2022 FSC-klagomål.docx", "A 27981-2022")</f>
        <v/>
      </c>
      <c r="W220">
        <f>HYPERLINK("https://klasma.github.io/Logging_0580/klagomålsmail/A 27981-2022 FSC-klagomål mail.docx", "A 27981-2022")</f>
        <v/>
      </c>
      <c r="X220">
        <f>HYPERLINK("https://klasma.github.io/Logging_0580/tillsyn/A 27981-2022 tillsynsbegäran.docx", "A 27981-2022")</f>
        <v/>
      </c>
      <c r="Y220">
        <f>HYPERLINK("https://klasma.github.io/Logging_0580/tillsynsmail/A 27981-2022 tillsynsbegäran mail.docx", "A 27981-2022")</f>
        <v/>
      </c>
    </row>
    <row r="221" ht="15" customHeight="1">
      <c r="A221" t="inlineStr">
        <is>
          <t>A 28308-2022</t>
        </is>
      </c>
      <c r="B221" s="1" t="n">
        <v>44747</v>
      </c>
      <c r="C221" s="1" t="n">
        <v>45710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2.9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Ask
Blåsippa</t>
        </is>
      </c>
      <c r="S221">
        <f>HYPERLINK("https://klasma.github.io/Logging_0560/artfynd/A 28308-2022 artfynd.xlsx", "A 28308-2022")</f>
        <v/>
      </c>
      <c r="T221">
        <f>HYPERLINK("https://klasma.github.io/Logging_0560/kartor/A 28308-2022 karta.png", "A 28308-2022")</f>
        <v/>
      </c>
      <c r="V221">
        <f>HYPERLINK("https://klasma.github.io/Logging_0560/klagomål/A 28308-2022 FSC-klagomål.docx", "A 28308-2022")</f>
        <v/>
      </c>
      <c r="W221">
        <f>HYPERLINK("https://klasma.github.io/Logging_0560/klagomålsmail/A 28308-2022 FSC-klagomål mail.docx", "A 28308-2022")</f>
        <v/>
      </c>
      <c r="X221">
        <f>HYPERLINK("https://klasma.github.io/Logging_0560/tillsyn/A 28308-2022 tillsynsbegäran.docx", "A 28308-2022")</f>
        <v/>
      </c>
      <c r="Y221">
        <f>HYPERLINK("https://klasma.github.io/Logging_0560/tillsynsmail/A 28308-2022 tillsynsbegäran mail.docx", "A 28308-2022")</f>
        <v/>
      </c>
    </row>
    <row r="222" ht="15" customHeight="1">
      <c r="A222" t="inlineStr">
        <is>
          <t>A 32026-2022</t>
        </is>
      </c>
      <c r="B222" s="1" t="n">
        <v>44778</v>
      </c>
      <c r="C222" s="1" t="n">
        <v>45710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3.5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Kådvaxskinn
Ullticka</t>
        </is>
      </c>
      <c r="S222">
        <f>HYPERLINK("https://klasma.github.io/Logging_0562/artfynd/A 32026-2022 artfynd.xlsx", "A 32026-2022")</f>
        <v/>
      </c>
      <c r="T222">
        <f>HYPERLINK("https://klasma.github.io/Logging_0562/kartor/A 32026-2022 karta.png", "A 32026-2022")</f>
        <v/>
      </c>
      <c r="V222">
        <f>HYPERLINK("https://klasma.github.io/Logging_0562/klagomål/A 32026-2022 FSC-klagomål.docx", "A 32026-2022")</f>
        <v/>
      </c>
      <c r="W222">
        <f>HYPERLINK("https://klasma.github.io/Logging_0562/klagomålsmail/A 32026-2022 FSC-klagomål mail.docx", "A 32026-2022")</f>
        <v/>
      </c>
      <c r="X222">
        <f>HYPERLINK("https://klasma.github.io/Logging_0562/tillsyn/A 32026-2022 tillsynsbegäran.docx", "A 32026-2022")</f>
        <v/>
      </c>
      <c r="Y222">
        <f>HYPERLINK("https://klasma.github.io/Logging_0562/tillsynsmail/A 32026-2022 tillsynsbegäran mail.docx", "A 32026-2022")</f>
        <v/>
      </c>
    </row>
    <row r="223" ht="15" customHeight="1">
      <c r="A223" t="inlineStr">
        <is>
          <t>A 33659-2022</t>
        </is>
      </c>
      <c r="B223" s="1" t="n">
        <v>44789</v>
      </c>
      <c r="C223" s="1" t="n">
        <v>45710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3.4</v>
      </c>
      <c r="H223" t="n">
        <v>0</v>
      </c>
      <c r="I223" t="n">
        <v>1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Ask
Sotlav</t>
        </is>
      </c>
      <c r="S223">
        <f>HYPERLINK("https://klasma.github.io/Logging_0581/artfynd/A 33659-2022 artfynd.xlsx", "A 33659-2022")</f>
        <v/>
      </c>
      <c r="T223">
        <f>HYPERLINK("https://klasma.github.io/Logging_0581/kartor/A 33659-2022 karta.png", "A 33659-2022")</f>
        <v/>
      </c>
      <c r="V223">
        <f>HYPERLINK("https://klasma.github.io/Logging_0581/klagomål/A 33659-2022 FSC-klagomål.docx", "A 33659-2022")</f>
        <v/>
      </c>
      <c r="W223">
        <f>HYPERLINK("https://klasma.github.io/Logging_0581/klagomålsmail/A 33659-2022 FSC-klagomål mail.docx", "A 33659-2022")</f>
        <v/>
      </c>
      <c r="X223">
        <f>HYPERLINK("https://klasma.github.io/Logging_0581/tillsyn/A 33659-2022 tillsynsbegäran.docx", "A 33659-2022")</f>
        <v/>
      </c>
      <c r="Y223">
        <f>HYPERLINK("https://klasma.github.io/Logging_0581/tillsynsmail/A 33659-2022 tillsynsbegäran mail.docx", "A 33659-2022")</f>
        <v/>
      </c>
    </row>
    <row r="224" ht="15" customHeight="1">
      <c r="A224" t="inlineStr">
        <is>
          <t>A 34096-2022</t>
        </is>
      </c>
      <c r="B224" s="1" t="n">
        <v>44791</v>
      </c>
      <c r="C224" s="1" t="n">
        <v>45710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Jättemusseron
Tallticka</t>
        </is>
      </c>
      <c r="S224">
        <f>HYPERLINK("https://klasma.github.io/Logging_0562/artfynd/A 34096-2022 artfynd.xlsx", "A 34096-2022")</f>
        <v/>
      </c>
      <c r="T224">
        <f>HYPERLINK("https://klasma.github.io/Logging_0562/kartor/A 34096-2022 karta.png", "A 34096-2022")</f>
        <v/>
      </c>
      <c r="V224">
        <f>HYPERLINK("https://klasma.github.io/Logging_0562/klagomål/A 34096-2022 FSC-klagomål.docx", "A 34096-2022")</f>
        <v/>
      </c>
      <c r="W224">
        <f>HYPERLINK("https://klasma.github.io/Logging_0562/klagomålsmail/A 34096-2022 FSC-klagomål mail.docx", "A 34096-2022")</f>
        <v/>
      </c>
      <c r="X224">
        <f>HYPERLINK("https://klasma.github.io/Logging_0562/tillsyn/A 34096-2022 tillsynsbegäran.docx", "A 34096-2022")</f>
        <v/>
      </c>
      <c r="Y224">
        <f>HYPERLINK("https://klasma.github.io/Logging_0562/tillsynsmail/A 34096-2022 tillsynsbegäran mail.docx", "A 34096-2022")</f>
        <v/>
      </c>
    </row>
    <row r="225" ht="15" customHeight="1">
      <c r="A225" t="inlineStr">
        <is>
          <t>A 53205-2022</t>
        </is>
      </c>
      <c r="B225" s="1" t="n">
        <v>44874</v>
      </c>
      <c r="C225" s="1" t="n">
        <v>45710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12.8</v>
      </c>
      <c r="H225" t="n">
        <v>1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Havsörn
Skogsbräsma</t>
        </is>
      </c>
      <c r="S225">
        <f>HYPERLINK("https://klasma.github.io/Logging_0561/artfynd/A 53205-2022 artfynd.xlsx", "A 53205-2022")</f>
        <v/>
      </c>
      <c r="T225">
        <f>HYPERLINK("https://klasma.github.io/Logging_0561/kartor/A 53205-2022 karta.png", "A 53205-2022")</f>
        <v/>
      </c>
      <c r="V225">
        <f>HYPERLINK("https://klasma.github.io/Logging_0561/klagomål/A 53205-2022 FSC-klagomål.docx", "A 53205-2022")</f>
        <v/>
      </c>
      <c r="W225">
        <f>HYPERLINK("https://klasma.github.io/Logging_0561/klagomålsmail/A 53205-2022 FSC-klagomål mail.docx", "A 53205-2022")</f>
        <v/>
      </c>
      <c r="X225">
        <f>HYPERLINK("https://klasma.github.io/Logging_0561/tillsyn/A 53205-2022 tillsynsbegäran.docx", "A 53205-2022")</f>
        <v/>
      </c>
      <c r="Y225">
        <f>HYPERLINK("https://klasma.github.io/Logging_0561/tillsynsmail/A 53205-2022 tillsynsbegäran mail.docx", "A 53205-2022")</f>
        <v/>
      </c>
      <c r="Z225">
        <f>HYPERLINK("https://klasma.github.io/Logging_0561/fåglar/A 53205-2022 prioriterade fågelarter.docx", "A 53205-2022")</f>
        <v/>
      </c>
    </row>
    <row r="226" ht="15" customHeight="1">
      <c r="A226" t="inlineStr">
        <is>
          <t>A 54954-2022</t>
        </is>
      </c>
      <c r="B226" s="1" t="n">
        <v>44881</v>
      </c>
      <c r="C226" s="1" t="n">
        <v>45710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5.4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Gullklöver
Tallticka</t>
        </is>
      </c>
      <c r="S226">
        <f>HYPERLINK("https://klasma.github.io/Logging_0562/artfynd/A 54954-2022 artfynd.xlsx", "A 54954-2022")</f>
        <v/>
      </c>
      <c r="T226">
        <f>HYPERLINK("https://klasma.github.io/Logging_0562/kartor/A 54954-2022 karta.png", "A 54954-2022")</f>
        <v/>
      </c>
      <c r="V226">
        <f>HYPERLINK("https://klasma.github.io/Logging_0562/klagomål/A 54954-2022 FSC-klagomål.docx", "A 54954-2022")</f>
        <v/>
      </c>
      <c r="W226">
        <f>HYPERLINK("https://klasma.github.io/Logging_0562/klagomålsmail/A 54954-2022 FSC-klagomål mail.docx", "A 54954-2022")</f>
        <v/>
      </c>
      <c r="X226">
        <f>HYPERLINK("https://klasma.github.io/Logging_0562/tillsyn/A 54954-2022 tillsynsbegäran.docx", "A 54954-2022")</f>
        <v/>
      </c>
      <c r="Y226">
        <f>HYPERLINK("https://klasma.github.io/Logging_0562/tillsynsmail/A 54954-2022 tillsynsbegäran mail.docx", "A 54954-2022")</f>
        <v/>
      </c>
    </row>
    <row r="227" ht="15" customHeight="1">
      <c r="A227" t="inlineStr">
        <is>
          <t>A 1083-2023</t>
        </is>
      </c>
      <c r="B227" s="1" t="n">
        <v>44935</v>
      </c>
      <c r="C227" s="1" t="n">
        <v>45710</v>
      </c>
      <c r="D227" t="inlineStr">
        <is>
          <t>ÖSTERGÖTLANDS LÄN</t>
        </is>
      </c>
      <c r="E227" t="inlineStr">
        <is>
          <t>NORRKÖPING</t>
        </is>
      </c>
      <c r="G227" t="n">
        <v>1.9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Grönpyrola</t>
        </is>
      </c>
      <c r="S227">
        <f>HYPERLINK("https://klasma.github.io/Logging_0581/artfynd/A 1083-2023 artfynd.xlsx", "A 1083-2023")</f>
        <v/>
      </c>
      <c r="T227">
        <f>HYPERLINK("https://klasma.github.io/Logging_0581/kartor/A 1083-2023 karta.png", "A 1083-2023")</f>
        <v/>
      </c>
      <c r="U227">
        <f>HYPERLINK("https://klasma.github.io/Logging_0581/knärot/A 1083-2023 karta knärot.png", "A 1083-2023")</f>
        <v/>
      </c>
      <c r="V227">
        <f>HYPERLINK("https://klasma.github.io/Logging_0581/klagomål/A 1083-2023 FSC-klagomål.docx", "A 1083-2023")</f>
        <v/>
      </c>
      <c r="W227">
        <f>HYPERLINK("https://klasma.github.io/Logging_0581/klagomålsmail/A 1083-2023 FSC-klagomål mail.docx", "A 1083-2023")</f>
        <v/>
      </c>
      <c r="X227">
        <f>HYPERLINK("https://klasma.github.io/Logging_0581/tillsyn/A 1083-2023 tillsynsbegäran.docx", "A 1083-2023")</f>
        <v/>
      </c>
      <c r="Y227">
        <f>HYPERLINK("https://klasma.github.io/Logging_0581/tillsynsmail/A 1083-2023 tillsynsbegäran mail.docx", "A 1083-2023")</f>
        <v/>
      </c>
    </row>
    <row r="228" ht="15" customHeight="1">
      <c r="A228" t="inlineStr">
        <is>
          <t>A 3721-2023</t>
        </is>
      </c>
      <c r="B228" s="1" t="n">
        <v>44951</v>
      </c>
      <c r="C228" s="1" t="n">
        <v>45710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Kommuner</t>
        </is>
      </c>
      <c r="G228" t="n">
        <v>4.7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Flagellkvastmossa
Kornknutmossa</t>
        </is>
      </c>
      <c r="S228">
        <f>HYPERLINK("https://klasma.github.io/Logging_0583/artfynd/A 3721-2023 artfynd.xlsx", "A 3721-2023")</f>
        <v/>
      </c>
      <c r="T228">
        <f>HYPERLINK("https://klasma.github.io/Logging_0583/kartor/A 3721-2023 karta.png", "A 3721-2023")</f>
        <v/>
      </c>
      <c r="U228">
        <f>HYPERLINK("https://klasma.github.io/Logging_0583/knärot/A 3721-2023 karta knärot.png", "A 3721-2023")</f>
        <v/>
      </c>
      <c r="V228">
        <f>HYPERLINK("https://klasma.github.io/Logging_0583/klagomål/A 3721-2023 FSC-klagomål.docx", "A 3721-2023")</f>
        <v/>
      </c>
      <c r="W228">
        <f>HYPERLINK("https://klasma.github.io/Logging_0583/klagomålsmail/A 3721-2023 FSC-klagomål mail.docx", "A 3721-2023")</f>
        <v/>
      </c>
      <c r="X228">
        <f>HYPERLINK("https://klasma.github.io/Logging_0583/tillsyn/A 3721-2023 tillsynsbegäran.docx", "A 3721-2023")</f>
        <v/>
      </c>
      <c r="Y228">
        <f>HYPERLINK("https://klasma.github.io/Logging_0583/tillsynsmail/A 3721-2023 tillsynsbegäran mail.docx", "A 3721-2023")</f>
        <v/>
      </c>
    </row>
    <row r="229" ht="15" customHeight="1">
      <c r="A229" t="inlineStr">
        <is>
          <t>A 4512-2023</t>
        </is>
      </c>
      <c r="B229" s="1" t="n">
        <v>44956</v>
      </c>
      <c r="C229" s="1" t="n">
        <v>45710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Kommuner</t>
        </is>
      </c>
      <c r="G229" t="n">
        <v>4.3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Svart trolldruva
Blåsippa</t>
        </is>
      </c>
      <c r="S229">
        <f>HYPERLINK("https://klasma.github.io/Logging_0583/artfynd/A 4512-2023 artfynd.xlsx", "A 4512-2023")</f>
        <v/>
      </c>
      <c r="T229">
        <f>HYPERLINK("https://klasma.github.io/Logging_0583/kartor/A 4512-2023 karta.png", "A 4512-2023")</f>
        <v/>
      </c>
      <c r="V229">
        <f>HYPERLINK("https://klasma.github.io/Logging_0583/klagomål/A 4512-2023 FSC-klagomål.docx", "A 4512-2023")</f>
        <v/>
      </c>
      <c r="W229">
        <f>HYPERLINK("https://klasma.github.io/Logging_0583/klagomålsmail/A 4512-2023 FSC-klagomål mail.docx", "A 4512-2023")</f>
        <v/>
      </c>
      <c r="X229">
        <f>HYPERLINK("https://klasma.github.io/Logging_0583/tillsyn/A 4512-2023 tillsynsbegäran.docx", "A 4512-2023")</f>
        <v/>
      </c>
      <c r="Y229">
        <f>HYPERLINK("https://klasma.github.io/Logging_0583/tillsynsmail/A 4512-2023 tillsynsbegäran mail.docx", "A 4512-2023")</f>
        <v/>
      </c>
    </row>
    <row r="230" ht="15" customHeight="1">
      <c r="A230" t="inlineStr">
        <is>
          <t>A 7211-2023</t>
        </is>
      </c>
      <c r="B230" s="1" t="n">
        <v>44970</v>
      </c>
      <c r="C230" s="1" t="n">
        <v>45710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6.6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Gullklöver
Skogsklocka</t>
        </is>
      </c>
      <c r="S230">
        <f>HYPERLINK("https://klasma.github.io/Logging_0581/artfynd/A 7211-2023 artfynd.xlsx", "A 7211-2023")</f>
        <v/>
      </c>
      <c r="T230">
        <f>HYPERLINK("https://klasma.github.io/Logging_0581/kartor/A 7211-2023 karta.png", "A 7211-2023")</f>
        <v/>
      </c>
      <c r="V230">
        <f>HYPERLINK("https://klasma.github.io/Logging_0581/klagomål/A 7211-2023 FSC-klagomål.docx", "A 7211-2023")</f>
        <v/>
      </c>
      <c r="W230">
        <f>HYPERLINK("https://klasma.github.io/Logging_0581/klagomålsmail/A 7211-2023 FSC-klagomål mail.docx", "A 7211-2023")</f>
        <v/>
      </c>
      <c r="X230">
        <f>HYPERLINK("https://klasma.github.io/Logging_0581/tillsyn/A 7211-2023 tillsynsbegäran.docx", "A 7211-2023")</f>
        <v/>
      </c>
      <c r="Y230">
        <f>HYPERLINK("https://klasma.github.io/Logging_0581/tillsynsmail/A 7211-2023 tillsynsbegäran mail.docx", "A 7211-2023")</f>
        <v/>
      </c>
    </row>
    <row r="231" ht="15" customHeight="1">
      <c r="A231" t="inlineStr">
        <is>
          <t>A 7879-2023</t>
        </is>
      </c>
      <c r="B231" s="1" t="n">
        <v>44973</v>
      </c>
      <c r="C231" s="1" t="n">
        <v>45710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1</v>
      </c>
      <c r="K231" t="n">
        <v>0</v>
      </c>
      <c r="L231" t="n">
        <v>1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Ask
Korskovall</t>
        </is>
      </c>
      <c r="S231">
        <f>HYPERLINK("https://klasma.github.io/Logging_0582/artfynd/A 7879-2023 artfynd.xlsx", "A 7879-2023")</f>
        <v/>
      </c>
      <c r="T231">
        <f>HYPERLINK("https://klasma.github.io/Logging_0582/kartor/A 7879-2023 karta.png", "A 7879-2023")</f>
        <v/>
      </c>
      <c r="V231">
        <f>HYPERLINK("https://klasma.github.io/Logging_0582/klagomål/A 7879-2023 FSC-klagomål.docx", "A 7879-2023")</f>
        <v/>
      </c>
      <c r="W231">
        <f>HYPERLINK("https://klasma.github.io/Logging_0582/klagomålsmail/A 7879-2023 FSC-klagomål mail.docx", "A 7879-2023")</f>
        <v/>
      </c>
      <c r="X231">
        <f>HYPERLINK("https://klasma.github.io/Logging_0582/tillsyn/A 7879-2023 tillsynsbegäran.docx", "A 7879-2023")</f>
        <v/>
      </c>
      <c r="Y231">
        <f>HYPERLINK("https://klasma.github.io/Logging_0582/tillsynsmail/A 7879-2023 tillsynsbegäran mail.docx", "A 7879-2023")</f>
        <v/>
      </c>
    </row>
    <row r="232" ht="15" customHeight="1">
      <c r="A232" t="inlineStr">
        <is>
          <t>A 8446-2023</t>
        </is>
      </c>
      <c r="B232" s="1" t="n">
        <v>44977</v>
      </c>
      <c r="C232" s="1" t="n">
        <v>45710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Sveaskog</t>
        </is>
      </c>
      <c r="G232" t="n">
        <v>3.4</v>
      </c>
      <c r="H232" t="n">
        <v>0</v>
      </c>
      <c r="I232" t="n">
        <v>1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Ask
Tibast</t>
        </is>
      </c>
      <c r="S232">
        <f>HYPERLINK("https://klasma.github.io/Logging_0580/artfynd/A 8446-2023 artfynd.xlsx", "A 8446-2023")</f>
        <v/>
      </c>
      <c r="T232">
        <f>HYPERLINK("https://klasma.github.io/Logging_0580/kartor/A 8446-2023 karta.png", "A 8446-2023")</f>
        <v/>
      </c>
      <c r="V232">
        <f>HYPERLINK("https://klasma.github.io/Logging_0580/klagomål/A 8446-2023 FSC-klagomål.docx", "A 8446-2023")</f>
        <v/>
      </c>
      <c r="W232">
        <f>HYPERLINK("https://klasma.github.io/Logging_0580/klagomålsmail/A 8446-2023 FSC-klagomål mail.docx", "A 8446-2023")</f>
        <v/>
      </c>
      <c r="X232">
        <f>HYPERLINK("https://klasma.github.io/Logging_0580/tillsyn/A 8446-2023 tillsynsbegäran.docx", "A 8446-2023")</f>
        <v/>
      </c>
      <c r="Y232">
        <f>HYPERLINK("https://klasma.github.io/Logging_0580/tillsynsmail/A 8446-2023 tillsynsbegäran mail.docx", "A 8446-2023")</f>
        <v/>
      </c>
    </row>
    <row r="233" ht="15" customHeight="1">
      <c r="A233" t="inlineStr">
        <is>
          <t>A 9661-2023</t>
        </is>
      </c>
      <c r="B233" s="1" t="n">
        <v>44984</v>
      </c>
      <c r="C233" s="1" t="n">
        <v>45710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Kyrkan</t>
        </is>
      </c>
      <c r="G233" t="n">
        <v>9.300000000000001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Spillkråka
Fläcknycklar</t>
        </is>
      </c>
      <c r="S233">
        <f>HYPERLINK("https://klasma.github.io/Logging_0562/artfynd/A 9661-2023 artfynd.xlsx", "A 9661-2023")</f>
        <v/>
      </c>
      <c r="T233">
        <f>HYPERLINK("https://klasma.github.io/Logging_0562/kartor/A 9661-2023 karta.png", "A 9661-2023")</f>
        <v/>
      </c>
      <c r="V233">
        <f>HYPERLINK("https://klasma.github.io/Logging_0562/klagomål/A 9661-2023 FSC-klagomål.docx", "A 9661-2023")</f>
        <v/>
      </c>
      <c r="W233">
        <f>HYPERLINK("https://klasma.github.io/Logging_0562/klagomålsmail/A 9661-2023 FSC-klagomål mail.docx", "A 9661-2023")</f>
        <v/>
      </c>
      <c r="X233">
        <f>HYPERLINK("https://klasma.github.io/Logging_0562/tillsyn/A 9661-2023 tillsynsbegäran.docx", "A 9661-2023")</f>
        <v/>
      </c>
      <c r="Y233">
        <f>HYPERLINK("https://klasma.github.io/Logging_0562/tillsynsmail/A 9661-2023 tillsynsbegäran mail.docx", "A 9661-2023")</f>
        <v/>
      </c>
      <c r="Z233">
        <f>HYPERLINK("https://klasma.github.io/Logging_0562/fåglar/A 9661-2023 prioriterade fågelarter.docx", "A 9661-2023")</f>
        <v/>
      </c>
    </row>
    <row r="234" ht="15" customHeight="1">
      <c r="A234" t="inlineStr">
        <is>
          <t>A 11016-2023</t>
        </is>
      </c>
      <c r="B234" s="1" t="n">
        <v>44991</v>
      </c>
      <c r="C234" s="1" t="n">
        <v>45710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1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Ärtvicker
Bergjohannesört</t>
        </is>
      </c>
      <c r="S234">
        <f>HYPERLINK("https://klasma.github.io/Logging_0563/artfynd/A 11016-2023 artfynd.xlsx", "A 11016-2023")</f>
        <v/>
      </c>
      <c r="T234">
        <f>HYPERLINK("https://klasma.github.io/Logging_0563/kartor/A 11016-2023 karta.png", "A 11016-2023")</f>
        <v/>
      </c>
      <c r="V234">
        <f>HYPERLINK("https://klasma.github.io/Logging_0563/klagomål/A 11016-2023 FSC-klagomål.docx", "A 11016-2023")</f>
        <v/>
      </c>
      <c r="W234">
        <f>HYPERLINK("https://klasma.github.io/Logging_0563/klagomålsmail/A 11016-2023 FSC-klagomål mail.docx", "A 11016-2023")</f>
        <v/>
      </c>
      <c r="X234">
        <f>HYPERLINK("https://klasma.github.io/Logging_0563/tillsyn/A 11016-2023 tillsynsbegäran.docx", "A 11016-2023")</f>
        <v/>
      </c>
      <c r="Y234">
        <f>HYPERLINK("https://klasma.github.io/Logging_0563/tillsynsmail/A 11016-2023 tillsynsbegäran mail.docx", "A 11016-2023")</f>
        <v/>
      </c>
    </row>
    <row r="235" ht="15" customHeight="1">
      <c r="A235" t="inlineStr">
        <is>
          <t>A 11362-2023</t>
        </is>
      </c>
      <c r="B235" s="1" t="n">
        <v>44993</v>
      </c>
      <c r="C235" s="1" t="n">
        <v>45710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Gulbrunt nejlikfly
Glimfältmätare</t>
        </is>
      </c>
      <c r="S235">
        <f>HYPERLINK("https://klasma.github.io/Logging_0580/artfynd/A 11362-2023 artfynd.xlsx", "A 11362-2023")</f>
        <v/>
      </c>
      <c r="T235">
        <f>HYPERLINK("https://klasma.github.io/Logging_0580/kartor/A 11362-2023 karta.png", "A 11362-2023")</f>
        <v/>
      </c>
      <c r="V235">
        <f>HYPERLINK("https://klasma.github.io/Logging_0580/klagomål/A 11362-2023 FSC-klagomål.docx", "A 11362-2023")</f>
        <v/>
      </c>
      <c r="W235">
        <f>HYPERLINK("https://klasma.github.io/Logging_0580/klagomålsmail/A 11362-2023 FSC-klagomål mail.docx", "A 11362-2023")</f>
        <v/>
      </c>
      <c r="X235">
        <f>HYPERLINK("https://klasma.github.io/Logging_0580/tillsyn/A 11362-2023 tillsynsbegäran.docx", "A 11362-2023")</f>
        <v/>
      </c>
      <c r="Y235">
        <f>HYPERLINK("https://klasma.github.io/Logging_0580/tillsynsmail/A 11362-2023 tillsynsbegäran mail.docx", "A 11362-2023")</f>
        <v/>
      </c>
    </row>
    <row r="236" ht="15" customHeight="1">
      <c r="A236" t="inlineStr">
        <is>
          <t>A 14504-2023</t>
        </is>
      </c>
      <c r="B236" s="1" t="n">
        <v>45012</v>
      </c>
      <c r="C236" s="1" t="n">
        <v>45710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Orange taggsvamp
Blåmossa</t>
        </is>
      </c>
      <c r="S236">
        <f>HYPERLINK("https://klasma.github.io/Logging_0581/artfynd/A 14504-2023 artfynd.xlsx", "A 14504-2023")</f>
        <v/>
      </c>
      <c r="T236">
        <f>HYPERLINK("https://klasma.github.io/Logging_0581/kartor/A 14504-2023 karta.png", "A 14504-2023")</f>
        <v/>
      </c>
      <c r="U236">
        <f>HYPERLINK("https://klasma.github.io/Logging_0581/knärot/A 14504-2023 karta knärot.png", "A 14504-2023")</f>
        <v/>
      </c>
      <c r="V236">
        <f>HYPERLINK("https://klasma.github.io/Logging_0581/klagomål/A 14504-2023 FSC-klagomål.docx", "A 14504-2023")</f>
        <v/>
      </c>
      <c r="W236">
        <f>HYPERLINK("https://klasma.github.io/Logging_0581/klagomålsmail/A 14504-2023 FSC-klagomål mail.docx", "A 14504-2023")</f>
        <v/>
      </c>
      <c r="X236">
        <f>HYPERLINK("https://klasma.github.io/Logging_0581/tillsyn/A 14504-2023 tillsynsbegäran.docx", "A 14504-2023")</f>
        <v/>
      </c>
      <c r="Y236">
        <f>HYPERLINK("https://klasma.github.io/Logging_0581/tillsynsmail/A 14504-2023 tillsynsbegäran mail.docx", "A 14504-2023")</f>
        <v/>
      </c>
    </row>
    <row r="237" ht="15" customHeight="1">
      <c r="A237" t="inlineStr">
        <is>
          <t>A 18075-2023</t>
        </is>
      </c>
      <c r="B237" s="1" t="n">
        <v>45040</v>
      </c>
      <c r="C237" s="1" t="n">
        <v>45710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15.2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Bårdlav
Dvärgtufs</t>
        </is>
      </c>
      <c r="S237">
        <f>HYPERLINK("https://klasma.github.io/Logging_0562/artfynd/A 18075-2023 artfynd.xlsx", "A 18075-2023")</f>
        <v/>
      </c>
      <c r="T237">
        <f>HYPERLINK("https://klasma.github.io/Logging_0562/kartor/A 18075-2023 karta.png", "A 18075-2023")</f>
        <v/>
      </c>
      <c r="V237">
        <f>HYPERLINK("https://klasma.github.io/Logging_0562/klagomål/A 18075-2023 FSC-klagomål.docx", "A 18075-2023")</f>
        <v/>
      </c>
      <c r="W237">
        <f>HYPERLINK("https://klasma.github.io/Logging_0562/klagomålsmail/A 18075-2023 FSC-klagomål mail.docx", "A 18075-2023")</f>
        <v/>
      </c>
      <c r="X237">
        <f>HYPERLINK("https://klasma.github.io/Logging_0562/tillsyn/A 18075-2023 tillsynsbegäran.docx", "A 18075-2023")</f>
        <v/>
      </c>
      <c r="Y237">
        <f>HYPERLINK("https://klasma.github.io/Logging_0562/tillsynsmail/A 18075-2023 tillsynsbegäran mail.docx", "A 18075-2023")</f>
        <v/>
      </c>
    </row>
    <row r="238" ht="15" customHeight="1">
      <c r="A238" t="inlineStr">
        <is>
          <t>A 18491-2023</t>
        </is>
      </c>
      <c r="B238" s="1" t="n">
        <v>45042</v>
      </c>
      <c r="C238" s="1" t="n">
        <v>45710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7</v>
      </c>
      <c r="H238" t="n">
        <v>1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Järpe
Tibast</t>
        </is>
      </c>
      <c r="S238">
        <f>HYPERLINK("https://klasma.github.io/Logging_0581/artfynd/A 18491-2023 artfynd.xlsx", "A 18491-2023")</f>
        <v/>
      </c>
      <c r="T238">
        <f>HYPERLINK("https://klasma.github.io/Logging_0581/kartor/A 18491-2023 karta.png", "A 18491-2023")</f>
        <v/>
      </c>
      <c r="V238">
        <f>HYPERLINK("https://klasma.github.io/Logging_0581/klagomål/A 18491-2023 FSC-klagomål.docx", "A 18491-2023")</f>
        <v/>
      </c>
      <c r="W238">
        <f>HYPERLINK("https://klasma.github.io/Logging_0581/klagomålsmail/A 18491-2023 FSC-klagomål mail.docx", "A 18491-2023")</f>
        <v/>
      </c>
      <c r="X238">
        <f>HYPERLINK("https://klasma.github.io/Logging_0581/tillsyn/A 18491-2023 tillsynsbegäran.docx", "A 18491-2023")</f>
        <v/>
      </c>
      <c r="Y238">
        <f>HYPERLINK("https://klasma.github.io/Logging_0581/tillsynsmail/A 18491-2023 tillsynsbegäran mail.docx", "A 18491-2023")</f>
        <v/>
      </c>
      <c r="Z238">
        <f>HYPERLINK("https://klasma.github.io/Logging_0581/fåglar/A 18491-2023 prioriterade fågelarter.docx", "A 18491-2023")</f>
        <v/>
      </c>
    </row>
    <row r="239" ht="15" customHeight="1">
      <c r="A239" t="inlineStr">
        <is>
          <t>A 18894-2023</t>
        </is>
      </c>
      <c r="B239" s="1" t="n">
        <v>45044</v>
      </c>
      <c r="C239" s="1" t="n">
        <v>45710</v>
      </c>
      <c r="D239" t="inlineStr">
        <is>
          <t>ÖSTERGÖTLANDS LÄN</t>
        </is>
      </c>
      <c r="E239" t="inlineStr">
        <is>
          <t>MOTALA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1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Skogsalm
Ask</t>
        </is>
      </c>
      <c r="S239">
        <f>HYPERLINK("https://klasma.github.io/Logging_0583/artfynd/A 18894-2023 artfynd.xlsx", "A 18894-2023")</f>
        <v/>
      </c>
      <c r="T239">
        <f>HYPERLINK("https://klasma.github.io/Logging_0583/kartor/A 18894-2023 karta.png", "A 18894-2023")</f>
        <v/>
      </c>
      <c r="V239">
        <f>HYPERLINK("https://klasma.github.io/Logging_0583/klagomål/A 18894-2023 FSC-klagomål.docx", "A 18894-2023")</f>
        <v/>
      </c>
      <c r="W239">
        <f>HYPERLINK("https://klasma.github.io/Logging_0583/klagomålsmail/A 18894-2023 FSC-klagomål mail.docx", "A 18894-2023")</f>
        <v/>
      </c>
      <c r="X239">
        <f>HYPERLINK("https://klasma.github.io/Logging_0583/tillsyn/A 18894-2023 tillsynsbegäran.docx", "A 18894-2023")</f>
        <v/>
      </c>
      <c r="Y239">
        <f>HYPERLINK("https://klasma.github.io/Logging_0583/tillsynsmail/A 18894-2023 tillsynsbegäran mail.docx", "A 18894-2023")</f>
        <v/>
      </c>
    </row>
    <row r="240" ht="15" customHeight="1">
      <c r="A240" t="inlineStr">
        <is>
          <t>A 26025-2023</t>
        </is>
      </c>
      <c r="B240" s="1" t="n">
        <v>45091</v>
      </c>
      <c r="C240" s="1" t="n">
        <v>45710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3.4</v>
      </c>
      <c r="H240" t="n">
        <v>2</v>
      </c>
      <c r="I240" t="n">
        <v>0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Grönfink
Talltita</t>
        </is>
      </c>
      <c r="S240">
        <f>HYPERLINK("https://klasma.github.io/Logging_0512/artfynd/A 26025-2023 artfynd.xlsx", "A 26025-2023")</f>
        <v/>
      </c>
      <c r="T240">
        <f>HYPERLINK("https://klasma.github.io/Logging_0512/kartor/A 26025-2023 karta.png", "A 26025-2023")</f>
        <v/>
      </c>
      <c r="V240">
        <f>HYPERLINK("https://klasma.github.io/Logging_0512/klagomål/A 26025-2023 FSC-klagomål.docx", "A 26025-2023")</f>
        <v/>
      </c>
      <c r="W240">
        <f>HYPERLINK("https://klasma.github.io/Logging_0512/klagomålsmail/A 26025-2023 FSC-klagomål mail.docx", "A 26025-2023")</f>
        <v/>
      </c>
      <c r="X240">
        <f>HYPERLINK("https://klasma.github.io/Logging_0512/tillsyn/A 26025-2023 tillsynsbegäran.docx", "A 26025-2023")</f>
        <v/>
      </c>
      <c r="Y240">
        <f>HYPERLINK("https://klasma.github.io/Logging_0512/tillsynsmail/A 26025-2023 tillsynsbegäran mail.docx", "A 26025-2023")</f>
        <v/>
      </c>
      <c r="Z240">
        <f>HYPERLINK("https://klasma.github.io/Logging_0512/fåglar/A 26025-2023 prioriterade fågelarter.docx", "A 26025-2023")</f>
        <v/>
      </c>
    </row>
    <row r="241" ht="15" customHeight="1">
      <c r="A241" t="inlineStr">
        <is>
          <t>A 26888-2023</t>
        </is>
      </c>
      <c r="B241" s="1" t="n">
        <v>45093</v>
      </c>
      <c r="C241" s="1" t="n">
        <v>45710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2.9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Motaggsvamp
Ärtsångare</t>
        </is>
      </c>
      <c r="S241">
        <f>HYPERLINK("https://klasma.github.io/Logging_0562/artfynd/A 26888-2023 artfynd.xlsx", "A 26888-2023")</f>
        <v/>
      </c>
      <c r="T241">
        <f>HYPERLINK("https://klasma.github.io/Logging_0562/kartor/A 26888-2023 karta.png", "A 26888-2023")</f>
        <v/>
      </c>
      <c r="V241">
        <f>HYPERLINK("https://klasma.github.io/Logging_0562/klagomål/A 26888-2023 FSC-klagomål.docx", "A 26888-2023")</f>
        <v/>
      </c>
      <c r="W241">
        <f>HYPERLINK("https://klasma.github.io/Logging_0562/klagomålsmail/A 26888-2023 FSC-klagomål mail.docx", "A 26888-2023")</f>
        <v/>
      </c>
      <c r="X241">
        <f>HYPERLINK("https://klasma.github.io/Logging_0562/tillsyn/A 26888-2023 tillsynsbegäran.docx", "A 26888-2023")</f>
        <v/>
      </c>
      <c r="Y241">
        <f>HYPERLINK("https://klasma.github.io/Logging_0562/tillsynsmail/A 26888-2023 tillsynsbegäran mail.docx", "A 26888-2023")</f>
        <v/>
      </c>
      <c r="Z241">
        <f>HYPERLINK("https://klasma.github.io/Logging_0562/fåglar/A 26888-2023 prioriterade fågelarter.docx", "A 26888-2023")</f>
        <v/>
      </c>
    </row>
    <row r="242" ht="15" customHeight="1">
      <c r="A242" t="inlineStr">
        <is>
          <t>A 33570-2023</t>
        </is>
      </c>
      <c r="B242" s="1" t="n">
        <v>45131</v>
      </c>
      <c r="C242" s="1" t="n">
        <v>45710</v>
      </c>
      <c r="D242" t="inlineStr">
        <is>
          <t>ÖSTERGÖTLANDS LÄN</t>
        </is>
      </c>
      <c r="E242" t="inlineStr">
        <is>
          <t>ÅTVIDABERG</t>
        </is>
      </c>
      <c r="G242" t="n">
        <v>10.6</v>
      </c>
      <c r="H242" t="n">
        <v>1</v>
      </c>
      <c r="I242" t="n">
        <v>0</v>
      </c>
      <c r="J242" t="n">
        <v>0</v>
      </c>
      <c r="K242" t="n">
        <v>2</v>
      </c>
      <c r="L242" t="n">
        <v>0</v>
      </c>
      <c r="M242" t="n">
        <v>0</v>
      </c>
      <c r="N242" t="n">
        <v>0</v>
      </c>
      <c r="O242" t="n">
        <v>2</v>
      </c>
      <c r="P242" t="n">
        <v>2</v>
      </c>
      <c r="Q242" t="n">
        <v>2</v>
      </c>
      <c r="R242" s="2" t="inlineStr">
        <is>
          <t>Hypebaeus flavipes
Läderbagge</t>
        </is>
      </c>
      <c r="S242">
        <f>HYPERLINK("https://klasma.github.io/Logging_0561/artfynd/A 33570-2023 artfynd.xlsx", "A 33570-2023")</f>
        <v/>
      </c>
      <c r="T242">
        <f>HYPERLINK("https://klasma.github.io/Logging_0561/kartor/A 33570-2023 karta.png", "A 33570-2023")</f>
        <v/>
      </c>
      <c r="V242">
        <f>HYPERLINK("https://klasma.github.io/Logging_0561/klagomål/A 33570-2023 FSC-klagomål.docx", "A 33570-2023")</f>
        <v/>
      </c>
      <c r="W242">
        <f>HYPERLINK("https://klasma.github.io/Logging_0561/klagomålsmail/A 33570-2023 FSC-klagomål mail.docx", "A 33570-2023")</f>
        <v/>
      </c>
      <c r="X242">
        <f>HYPERLINK("https://klasma.github.io/Logging_0561/tillsyn/A 33570-2023 tillsynsbegäran.docx", "A 33570-2023")</f>
        <v/>
      </c>
      <c r="Y242">
        <f>HYPERLINK("https://klasma.github.io/Logging_0561/tillsynsmail/A 33570-2023 tillsynsbegäran mail.docx", "A 33570-2023")</f>
        <v/>
      </c>
    </row>
    <row r="243" ht="15" customHeight="1">
      <c r="A243" t="inlineStr">
        <is>
          <t>A 34179-2023</t>
        </is>
      </c>
      <c r="B243" s="1" t="n">
        <v>45138</v>
      </c>
      <c r="C243" s="1" t="n">
        <v>45710</v>
      </c>
      <c r="D243" t="inlineStr">
        <is>
          <t>ÖSTERGÖTLANDS LÄN</t>
        </is>
      </c>
      <c r="E243" t="inlineStr">
        <is>
          <t>YDRE</t>
        </is>
      </c>
      <c r="G243" t="n">
        <v>4.7</v>
      </c>
      <c r="H243" t="n">
        <v>2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Mattlummer
Revlummer</t>
        </is>
      </c>
      <c r="S243">
        <f>HYPERLINK("https://klasma.github.io/Logging_0512/artfynd/A 34179-2023 artfynd.xlsx", "A 34179-2023")</f>
        <v/>
      </c>
      <c r="T243">
        <f>HYPERLINK("https://klasma.github.io/Logging_0512/kartor/A 34179-2023 karta.png", "A 34179-2023")</f>
        <v/>
      </c>
      <c r="V243">
        <f>HYPERLINK("https://klasma.github.io/Logging_0512/klagomål/A 34179-2023 FSC-klagomål.docx", "A 34179-2023")</f>
        <v/>
      </c>
      <c r="W243">
        <f>HYPERLINK("https://klasma.github.io/Logging_0512/klagomålsmail/A 34179-2023 FSC-klagomål mail.docx", "A 34179-2023")</f>
        <v/>
      </c>
      <c r="X243">
        <f>HYPERLINK("https://klasma.github.io/Logging_0512/tillsyn/A 34179-2023 tillsynsbegäran.docx", "A 34179-2023")</f>
        <v/>
      </c>
      <c r="Y243">
        <f>HYPERLINK("https://klasma.github.io/Logging_0512/tillsynsmail/A 34179-2023 tillsynsbegäran mail.docx", "A 34179-2023")</f>
        <v/>
      </c>
    </row>
    <row r="244" ht="15" customHeight="1">
      <c r="A244" t="inlineStr">
        <is>
          <t>A 38913-2023</t>
        </is>
      </c>
      <c r="B244" s="1" t="n">
        <v>45163</v>
      </c>
      <c r="C244" s="1" t="n">
        <v>45710</v>
      </c>
      <c r="D244" t="inlineStr">
        <is>
          <t>ÖSTERGÖTLANDS LÄN</t>
        </is>
      </c>
      <c r="E244" t="inlineStr">
        <is>
          <t>LINKÖPING</t>
        </is>
      </c>
      <c r="G244" t="n">
        <v>2.7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Skogsbräsma
Revlummer</t>
        </is>
      </c>
      <c r="S244">
        <f>HYPERLINK("https://klasma.github.io/Logging_0580/artfynd/A 38913-2023 artfynd.xlsx", "A 38913-2023")</f>
        <v/>
      </c>
      <c r="T244">
        <f>HYPERLINK("https://klasma.github.io/Logging_0580/kartor/A 38913-2023 karta.png", "A 38913-2023")</f>
        <v/>
      </c>
      <c r="V244">
        <f>HYPERLINK("https://klasma.github.io/Logging_0580/klagomål/A 38913-2023 FSC-klagomål.docx", "A 38913-2023")</f>
        <v/>
      </c>
      <c r="W244">
        <f>HYPERLINK("https://klasma.github.io/Logging_0580/klagomålsmail/A 38913-2023 FSC-klagomål mail.docx", "A 38913-2023")</f>
        <v/>
      </c>
      <c r="X244">
        <f>HYPERLINK("https://klasma.github.io/Logging_0580/tillsyn/A 38913-2023 tillsynsbegäran.docx", "A 38913-2023")</f>
        <v/>
      </c>
      <c r="Y244">
        <f>HYPERLINK("https://klasma.github.io/Logging_0580/tillsynsmail/A 38913-2023 tillsynsbegäran mail.docx", "A 38913-2023")</f>
        <v/>
      </c>
    </row>
    <row r="245" ht="15" customHeight="1">
      <c r="A245" t="inlineStr">
        <is>
          <t>A 38978-2023</t>
        </is>
      </c>
      <c r="B245" s="1" t="n">
        <v>45163</v>
      </c>
      <c r="C245" s="1" t="n">
        <v>45710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8.9</v>
      </c>
      <c r="H245" t="n">
        <v>1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Björktrast
Småflikig brosklav</t>
        </is>
      </c>
      <c r="S245">
        <f>HYPERLINK("https://klasma.github.io/Logging_0581/artfynd/A 38978-2023 artfynd.xlsx", "A 38978-2023")</f>
        <v/>
      </c>
      <c r="T245">
        <f>HYPERLINK("https://klasma.github.io/Logging_0581/kartor/A 38978-2023 karta.png", "A 38978-2023")</f>
        <v/>
      </c>
      <c r="V245">
        <f>HYPERLINK("https://klasma.github.io/Logging_0581/klagomål/A 38978-2023 FSC-klagomål.docx", "A 38978-2023")</f>
        <v/>
      </c>
      <c r="W245">
        <f>HYPERLINK("https://klasma.github.io/Logging_0581/klagomålsmail/A 38978-2023 FSC-klagomål mail.docx", "A 38978-2023")</f>
        <v/>
      </c>
      <c r="X245">
        <f>HYPERLINK("https://klasma.github.io/Logging_0581/tillsyn/A 38978-2023 tillsynsbegäran.docx", "A 38978-2023")</f>
        <v/>
      </c>
      <c r="Y245">
        <f>HYPERLINK("https://klasma.github.io/Logging_0581/tillsynsmail/A 38978-2023 tillsynsbegäran mail.docx", "A 38978-2023")</f>
        <v/>
      </c>
      <c r="Z245">
        <f>HYPERLINK("https://klasma.github.io/Logging_0581/fåglar/A 38978-2023 prioriterade fågelarter.docx", "A 38978-2023")</f>
        <v/>
      </c>
    </row>
    <row r="246" ht="15" customHeight="1">
      <c r="A246" t="inlineStr">
        <is>
          <t>A 38988-2023</t>
        </is>
      </c>
      <c r="B246" s="1" t="n">
        <v>45163</v>
      </c>
      <c r="C246" s="1" t="n">
        <v>45710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0.8</v>
      </c>
      <c r="H246" t="n">
        <v>2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Svartvit flugsnappare
Korallrot</t>
        </is>
      </c>
      <c r="S246">
        <f>HYPERLINK("https://klasma.github.io/Logging_0581/artfynd/A 38988-2023 artfynd.xlsx", "A 38988-2023")</f>
        <v/>
      </c>
      <c r="T246">
        <f>HYPERLINK("https://klasma.github.io/Logging_0581/kartor/A 38988-2023 karta.png", "A 38988-2023")</f>
        <v/>
      </c>
      <c r="V246">
        <f>HYPERLINK("https://klasma.github.io/Logging_0581/klagomål/A 38988-2023 FSC-klagomål.docx", "A 38988-2023")</f>
        <v/>
      </c>
      <c r="W246">
        <f>HYPERLINK("https://klasma.github.io/Logging_0581/klagomålsmail/A 38988-2023 FSC-klagomål mail.docx", "A 38988-2023")</f>
        <v/>
      </c>
      <c r="X246">
        <f>HYPERLINK("https://klasma.github.io/Logging_0581/tillsyn/A 38988-2023 tillsynsbegäran.docx", "A 38988-2023")</f>
        <v/>
      </c>
      <c r="Y246">
        <f>HYPERLINK("https://klasma.github.io/Logging_0581/tillsynsmail/A 38988-2023 tillsynsbegäran mail.docx", "A 38988-2023")</f>
        <v/>
      </c>
      <c r="Z246">
        <f>HYPERLINK("https://klasma.github.io/Logging_0581/fåglar/A 38988-2023 prioriterade fågelarter.docx", "A 38988-2023")</f>
        <v/>
      </c>
    </row>
    <row r="247" ht="15" customHeight="1">
      <c r="A247" t="inlineStr">
        <is>
          <t>A 40509-2023</t>
        </is>
      </c>
      <c r="B247" s="1" t="n">
        <v>45170</v>
      </c>
      <c r="C247" s="1" t="n">
        <v>45710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Kyrkan</t>
        </is>
      </c>
      <c r="G247" t="n">
        <v>3.4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Fällmossa
Blåsippa</t>
        </is>
      </c>
      <c r="S247">
        <f>HYPERLINK("https://klasma.github.io/Logging_0560/artfynd/A 40509-2023 artfynd.xlsx", "A 40509-2023")</f>
        <v/>
      </c>
      <c r="T247">
        <f>HYPERLINK("https://klasma.github.io/Logging_0560/kartor/A 40509-2023 karta.png", "A 40509-2023")</f>
        <v/>
      </c>
      <c r="V247">
        <f>HYPERLINK("https://klasma.github.io/Logging_0560/klagomål/A 40509-2023 FSC-klagomål.docx", "A 40509-2023")</f>
        <v/>
      </c>
      <c r="W247">
        <f>HYPERLINK("https://klasma.github.io/Logging_0560/klagomålsmail/A 40509-2023 FSC-klagomål mail.docx", "A 40509-2023")</f>
        <v/>
      </c>
      <c r="X247">
        <f>HYPERLINK("https://klasma.github.io/Logging_0560/tillsyn/A 40509-2023 tillsynsbegäran.docx", "A 40509-2023")</f>
        <v/>
      </c>
      <c r="Y247">
        <f>HYPERLINK("https://klasma.github.io/Logging_0560/tillsynsmail/A 40509-2023 tillsynsbegäran mail.docx", "A 40509-2023")</f>
        <v/>
      </c>
    </row>
    <row r="248" ht="15" customHeight="1">
      <c r="A248" t="inlineStr">
        <is>
          <t>A 41751-2023</t>
        </is>
      </c>
      <c r="B248" s="1" t="n">
        <v>45176</v>
      </c>
      <c r="C248" s="1" t="n">
        <v>45710</v>
      </c>
      <c r="D248" t="inlineStr">
        <is>
          <t>ÖSTERGÖTLANDS LÄN</t>
        </is>
      </c>
      <c r="E248" t="inlineStr">
        <is>
          <t>LINKÖPING</t>
        </is>
      </c>
      <c r="G248" t="n">
        <v>1.5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Svinrot
Grönvit nattviol</t>
        </is>
      </c>
      <c r="S248">
        <f>HYPERLINK("https://klasma.github.io/Logging_0580/artfynd/A 41751-2023 artfynd.xlsx", "A 41751-2023")</f>
        <v/>
      </c>
      <c r="T248">
        <f>HYPERLINK("https://klasma.github.io/Logging_0580/kartor/A 41751-2023 karta.png", "A 41751-2023")</f>
        <v/>
      </c>
      <c r="V248">
        <f>HYPERLINK("https://klasma.github.io/Logging_0580/klagomål/A 41751-2023 FSC-klagomål.docx", "A 41751-2023")</f>
        <v/>
      </c>
      <c r="W248">
        <f>HYPERLINK("https://klasma.github.io/Logging_0580/klagomålsmail/A 41751-2023 FSC-klagomål mail.docx", "A 41751-2023")</f>
        <v/>
      </c>
      <c r="X248">
        <f>HYPERLINK("https://klasma.github.io/Logging_0580/tillsyn/A 41751-2023 tillsynsbegäran.docx", "A 41751-2023")</f>
        <v/>
      </c>
      <c r="Y248">
        <f>HYPERLINK("https://klasma.github.io/Logging_0580/tillsynsmail/A 41751-2023 tillsynsbegäran mail.docx", "A 41751-2023")</f>
        <v/>
      </c>
    </row>
    <row r="249" ht="15" customHeight="1">
      <c r="A249" t="inlineStr">
        <is>
          <t>A 42858-2023</t>
        </is>
      </c>
      <c r="B249" s="1" t="n">
        <v>45177</v>
      </c>
      <c r="C249" s="1" t="n">
        <v>45710</v>
      </c>
      <c r="D249" t="inlineStr">
        <is>
          <t>ÖSTERGÖTLANDS LÄN</t>
        </is>
      </c>
      <c r="E249" t="inlineStr">
        <is>
          <t>LINKÖPING</t>
        </is>
      </c>
      <c r="G249" t="n">
        <v>5.3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Svinrot
Skogsödla</t>
        </is>
      </c>
      <c r="S249">
        <f>HYPERLINK("https://klasma.github.io/Logging_0580/artfynd/A 42858-2023 artfynd.xlsx", "A 42858-2023")</f>
        <v/>
      </c>
      <c r="T249">
        <f>HYPERLINK("https://klasma.github.io/Logging_0580/kartor/A 42858-2023 karta.png", "A 42858-2023")</f>
        <v/>
      </c>
      <c r="V249">
        <f>HYPERLINK("https://klasma.github.io/Logging_0580/klagomål/A 42858-2023 FSC-klagomål.docx", "A 42858-2023")</f>
        <v/>
      </c>
      <c r="W249">
        <f>HYPERLINK("https://klasma.github.io/Logging_0580/klagomålsmail/A 42858-2023 FSC-klagomål mail.docx", "A 42858-2023")</f>
        <v/>
      </c>
      <c r="X249">
        <f>HYPERLINK("https://klasma.github.io/Logging_0580/tillsyn/A 42858-2023 tillsynsbegäran.docx", "A 42858-2023")</f>
        <v/>
      </c>
      <c r="Y249">
        <f>HYPERLINK("https://klasma.github.io/Logging_0580/tillsynsmail/A 42858-2023 tillsynsbegäran mail.docx", "A 42858-2023")</f>
        <v/>
      </c>
    </row>
    <row r="250" ht="15" customHeight="1">
      <c r="A250" t="inlineStr">
        <is>
          <t>A 46154-2023</t>
        </is>
      </c>
      <c r="B250" s="1" t="n">
        <v>45196</v>
      </c>
      <c r="C250" s="1" t="n">
        <v>45710</v>
      </c>
      <c r="D250" t="inlineStr">
        <is>
          <t>ÖSTERGÖTLANDS LÄN</t>
        </is>
      </c>
      <c r="E250" t="inlineStr">
        <is>
          <t>KINDA</t>
        </is>
      </c>
      <c r="G250" t="n">
        <v>6.6</v>
      </c>
      <c r="H250" t="n">
        <v>1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Dvärgkällmossa
Grön sköldmossa</t>
        </is>
      </c>
      <c r="S250">
        <f>HYPERLINK("https://klasma.github.io/Logging_0513/artfynd/A 46154-2023 artfynd.xlsx", "A 46154-2023")</f>
        <v/>
      </c>
      <c r="T250">
        <f>HYPERLINK("https://klasma.github.io/Logging_0513/kartor/A 46154-2023 karta.png", "A 46154-2023")</f>
        <v/>
      </c>
      <c r="V250">
        <f>HYPERLINK("https://klasma.github.io/Logging_0513/klagomål/A 46154-2023 FSC-klagomål.docx", "A 46154-2023")</f>
        <v/>
      </c>
      <c r="W250">
        <f>HYPERLINK("https://klasma.github.io/Logging_0513/klagomålsmail/A 46154-2023 FSC-klagomål mail.docx", "A 46154-2023")</f>
        <v/>
      </c>
      <c r="X250">
        <f>HYPERLINK("https://klasma.github.io/Logging_0513/tillsyn/A 46154-2023 tillsynsbegäran.docx", "A 46154-2023")</f>
        <v/>
      </c>
      <c r="Y250">
        <f>HYPERLINK("https://klasma.github.io/Logging_0513/tillsynsmail/A 46154-2023 tillsynsbegäran mail.docx", "A 46154-2023")</f>
        <v/>
      </c>
    </row>
    <row r="251" ht="15" customHeight="1">
      <c r="A251" t="inlineStr">
        <is>
          <t>A 47669-2023</t>
        </is>
      </c>
      <c r="B251" s="1" t="n">
        <v>45203</v>
      </c>
      <c r="C251" s="1" t="n">
        <v>45710</v>
      </c>
      <c r="D251" t="inlineStr">
        <is>
          <t>ÖSTERGÖTLANDS LÄN</t>
        </is>
      </c>
      <c r="E251" t="inlineStr">
        <is>
          <t>MJÖLBY</t>
        </is>
      </c>
      <c r="G251" t="n">
        <v>10.5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Tibast
Blåsippa</t>
        </is>
      </c>
      <c r="S251">
        <f>HYPERLINK("https://klasma.github.io/Logging_0586/artfynd/A 47669-2023 artfynd.xlsx", "A 47669-2023")</f>
        <v/>
      </c>
      <c r="T251">
        <f>HYPERLINK("https://klasma.github.io/Logging_0586/kartor/A 47669-2023 karta.png", "A 47669-2023")</f>
        <v/>
      </c>
      <c r="V251">
        <f>HYPERLINK("https://klasma.github.io/Logging_0586/klagomål/A 47669-2023 FSC-klagomål.docx", "A 47669-2023")</f>
        <v/>
      </c>
      <c r="W251">
        <f>HYPERLINK("https://klasma.github.io/Logging_0586/klagomålsmail/A 47669-2023 FSC-klagomål mail.docx", "A 47669-2023")</f>
        <v/>
      </c>
      <c r="X251">
        <f>HYPERLINK("https://klasma.github.io/Logging_0586/tillsyn/A 47669-2023 tillsynsbegäran.docx", "A 47669-2023")</f>
        <v/>
      </c>
      <c r="Y251">
        <f>HYPERLINK("https://klasma.github.io/Logging_0586/tillsynsmail/A 47669-2023 tillsynsbegäran mail.docx", "A 47669-2023")</f>
        <v/>
      </c>
    </row>
    <row r="252" ht="15" customHeight="1">
      <c r="A252" t="inlineStr">
        <is>
          <t>A 48628-2023</t>
        </is>
      </c>
      <c r="B252" s="1" t="n">
        <v>45208</v>
      </c>
      <c r="C252" s="1" t="n">
        <v>45710</v>
      </c>
      <c r="D252" t="inlineStr">
        <is>
          <t>ÖSTERGÖTLANDS LÄN</t>
        </is>
      </c>
      <c r="E252" t="inlineStr">
        <is>
          <t>KINDA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Skogsalm
Ask</t>
        </is>
      </c>
      <c r="S252">
        <f>HYPERLINK("https://klasma.github.io/Logging_0513/artfynd/A 48628-2023 artfynd.xlsx", "A 48628-2023")</f>
        <v/>
      </c>
      <c r="T252">
        <f>HYPERLINK("https://klasma.github.io/Logging_0513/kartor/A 48628-2023 karta.png", "A 48628-2023")</f>
        <v/>
      </c>
      <c r="V252">
        <f>HYPERLINK("https://klasma.github.io/Logging_0513/klagomål/A 48628-2023 FSC-klagomål.docx", "A 48628-2023")</f>
        <v/>
      </c>
      <c r="W252">
        <f>HYPERLINK("https://klasma.github.io/Logging_0513/klagomålsmail/A 48628-2023 FSC-klagomål mail.docx", "A 48628-2023")</f>
        <v/>
      </c>
      <c r="X252">
        <f>HYPERLINK("https://klasma.github.io/Logging_0513/tillsyn/A 48628-2023 tillsynsbegäran.docx", "A 48628-2023")</f>
        <v/>
      </c>
      <c r="Y252">
        <f>HYPERLINK("https://klasma.github.io/Logging_0513/tillsynsmail/A 48628-2023 tillsynsbegäran mail.docx", "A 48628-2023")</f>
        <v/>
      </c>
    </row>
    <row r="253" ht="15" customHeight="1">
      <c r="A253" t="inlineStr">
        <is>
          <t>A 49428-2023</t>
        </is>
      </c>
      <c r="B253" s="1" t="n">
        <v>45211</v>
      </c>
      <c r="C253" s="1" t="n">
        <v>45710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5.8</v>
      </c>
      <c r="H253" t="n">
        <v>0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Motaggsvamp
Dropptaggsvamp</t>
        </is>
      </c>
      <c r="S253">
        <f>HYPERLINK("https://klasma.github.io/Logging_0581/artfynd/A 49428-2023 artfynd.xlsx", "A 49428-2023")</f>
        <v/>
      </c>
      <c r="T253">
        <f>HYPERLINK("https://klasma.github.io/Logging_0581/kartor/A 49428-2023 karta.png", "A 49428-2023")</f>
        <v/>
      </c>
      <c r="V253">
        <f>HYPERLINK("https://klasma.github.io/Logging_0581/klagomål/A 49428-2023 FSC-klagomål.docx", "A 49428-2023")</f>
        <v/>
      </c>
      <c r="W253">
        <f>HYPERLINK("https://klasma.github.io/Logging_0581/klagomålsmail/A 49428-2023 FSC-klagomål mail.docx", "A 49428-2023")</f>
        <v/>
      </c>
      <c r="X253">
        <f>HYPERLINK("https://klasma.github.io/Logging_0581/tillsyn/A 49428-2023 tillsynsbegäran.docx", "A 49428-2023")</f>
        <v/>
      </c>
      <c r="Y253">
        <f>HYPERLINK("https://klasma.github.io/Logging_0581/tillsynsmail/A 49428-2023 tillsynsbegäran mail.docx", "A 49428-2023")</f>
        <v/>
      </c>
    </row>
    <row r="254" ht="15" customHeight="1">
      <c r="A254" t="inlineStr">
        <is>
          <t>A 50404-2023</t>
        </is>
      </c>
      <c r="B254" s="1" t="n">
        <v>45216</v>
      </c>
      <c r="C254" s="1" t="n">
        <v>45710</v>
      </c>
      <c r="D254" t="inlineStr">
        <is>
          <t>ÖSTERGÖTLANDS LÄN</t>
        </is>
      </c>
      <c r="E254" t="inlineStr">
        <is>
          <t>LINKÖPING</t>
        </is>
      </c>
      <c r="G254" t="n">
        <v>1.2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Hasselticka
Gullviva</t>
        </is>
      </c>
      <c r="S254">
        <f>HYPERLINK("https://klasma.github.io/Logging_0580/artfynd/A 50404-2023 artfynd.xlsx", "A 50404-2023")</f>
        <v/>
      </c>
      <c r="T254">
        <f>HYPERLINK("https://klasma.github.io/Logging_0580/kartor/A 50404-2023 karta.png", "A 50404-2023")</f>
        <v/>
      </c>
      <c r="V254">
        <f>HYPERLINK("https://klasma.github.io/Logging_0580/klagomål/A 50404-2023 FSC-klagomål.docx", "A 50404-2023")</f>
        <v/>
      </c>
      <c r="W254">
        <f>HYPERLINK("https://klasma.github.io/Logging_0580/klagomålsmail/A 50404-2023 FSC-klagomål mail.docx", "A 50404-2023")</f>
        <v/>
      </c>
      <c r="X254">
        <f>HYPERLINK("https://klasma.github.io/Logging_0580/tillsyn/A 50404-2023 tillsynsbegäran.docx", "A 50404-2023")</f>
        <v/>
      </c>
      <c r="Y254">
        <f>HYPERLINK("https://klasma.github.io/Logging_0580/tillsynsmail/A 50404-2023 tillsynsbegäran mail.docx", "A 50404-2023")</f>
        <v/>
      </c>
    </row>
    <row r="255" ht="15" customHeight="1">
      <c r="A255" t="inlineStr">
        <is>
          <t>A 54673-2023</t>
        </is>
      </c>
      <c r="B255" s="1" t="n">
        <v>45235</v>
      </c>
      <c r="C255" s="1" t="n">
        <v>45710</v>
      </c>
      <c r="D255" t="inlineStr">
        <is>
          <t>ÖSTERGÖTLANDS LÄN</t>
        </is>
      </c>
      <c r="E255" t="inlineStr">
        <is>
          <t>KINDA</t>
        </is>
      </c>
      <c r="G255" t="n">
        <v>2.7</v>
      </c>
      <c r="H255" t="n">
        <v>0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Hasselticka
Sårläka</t>
        </is>
      </c>
      <c r="S255">
        <f>HYPERLINK("https://klasma.github.io/Logging_0513/artfynd/A 54673-2023 artfynd.xlsx", "A 54673-2023")</f>
        <v/>
      </c>
      <c r="T255">
        <f>HYPERLINK("https://klasma.github.io/Logging_0513/kartor/A 54673-2023 karta.png", "A 54673-2023")</f>
        <v/>
      </c>
      <c r="V255">
        <f>HYPERLINK("https://klasma.github.io/Logging_0513/klagomål/A 54673-2023 FSC-klagomål.docx", "A 54673-2023")</f>
        <v/>
      </c>
      <c r="W255">
        <f>HYPERLINK("https://klasma.github.io/Logging_0513/klagomålsmail/A 54673-2023 FSC-klagomål mail.docx", "A 54673-2023")</f>
        <v/>
      </c>
      <c r="X255">
        <f>HYPERLINK("https://klasma.github.io/Logging_0513/tillsyn/A 54673-2023 tillsynsbegäran.docx", "A 54673-2023")</f>
        <v/>
      </c>
      <c r="Y255">
        <f>HYPERLINK("https://klasma.github.io/Logging_0513/tillsynsmail/A 54673-2023 tillsynsbegäran mail.docx", "A 54673-2023")</f>
        <v/>
      </c>
    </row>
    <row r="256" ht="15" customHeight="1">
      <c r="A256" t="inlineStr">
        <is>
          <t>A 55712-2023</t>
        </is>
      </c>
      <c r="B256" s="1" t="n">
        <v>45239</v>
      </c>
      <c r="C256" s="1" t="n">
        <v>45710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11.1</v>
      </c>
      <c r="H256" t="n">
        <v>0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Svartvit taggsvamp
Sårläka</t>
        </is>
      </c>
      <c r="S256">
        <f>HYPERLINK("https://klasma.github.io/Logging_0582/artfynd/A 55712-2023 artfynd.xlsx", "A 55712-2023")</f>
        <v/>
      </c>
      <c r="T256">
        <f>HYPERLINK("https://klasma.github.io/Logging_0582/kartor/A 55712-2023 karta.png", "A 55712-2023")</f>
        <v/>
      </c>
      <c r="V256">
        <f>HYPERLINK("https://klasma.github.io/Logging_0582/klagomål/A 55712-2023 FSC-klagomål.docx", "A 55712-2023")</f>
        <v/>
      </c>
      <c r="W256">
        <f>HYPERLINK("https://klasma.github.io/Logging_0582/klagomålsmail/A 55712-2023 FSC-klagomål mail.docx", "A 55712-2023")</f>
        <v/>
      </c>
      <c r="X256">
        <f>HYPERLINK("https://klasma.github.io/Logging_0582/tillsyn/A 55712-2023 tillsynsbegäran.docx", "A 55712-2023")</f>
        <v/>
      </c>
      <c r="Y256">
        <f>HYPERLINK("https://klasma.github.io/Logging_0582/tillsynsmail/A 55712-2023 tillsynsbegäran mail.docx", "A 55712-2023")</f>
        <v/>
      </c>
    </row>
    <row r="257" ht="15" customHeight="1">
      <c r="A257" t="inlineStr">
        <is>
          <t>A 60171-2023</t>
        </is>
      </c>
      <c r="B257" s="1" t="n">
        <v>45258</v>
      </c>
      <c r="C257" s="1" t="n">
        <v>45710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1.7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Tallticka
Blomkålssvamp</t>
        </is>
      </c>
      <c r="S257">
        <f>HYPERLINK("https://klasma.github.io/Logging_0581/artfynd/A 60171-2023 artfynd.xlsx", "A 60171-2023")</f>
        <v/>
      </c>
      <c r="T257">
        <f>HYPERLINK("https://klasma.github.io/Logging_0581/kartor/A 60171-2023 karta.png", "A 60171-2023")</f>
        <v/>
      </c>
      <c r="V257">
        <f>HYPERLINK("https://klasma.github.io/Logging_0581/klagomål/A 60171-2023 FSC-klagomål.docx", "A 60171-2023")</f>
        <v/>
      </c>
      <c r="W257">
        <f>HYPERLINK("https://klasma.github.io/Logging_0581/klagomålsmail/A 60171-2023 FSC-klagomål mail.docx", "A 60171-2023")</f>
        <v/>
      </c>
      <c r="X257">
        <f>HYPERLINK("https://klasma.github.io/Logging_0581/tillsyn/A 60171-2023 tillsynsbegäran.docx", "A 60171-2023")</f>
        <v/>
      </c>
      <c r="Y257">
        <f>HYPERLINK("https://klasma.github.io/Logging_0581/tillsynsmail/A 60171-2023 tillsynsbegäran mail.docx", "A 60171-2023")</f>
        <v/>
      </c>
    </row>
    <row r="258" ht="15" customHeight="1">
      <c r="A258" t="inlineStr">
        <is>
          <t>A 63381-2023</t>
        </is>
      </c>
      <c r="B258" s="1" t="n">
        <v>45274</v>
      </c>
      <c r="C258" s="1" t="n">
        <v>45710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15.6</v>
      </c>
      <c r="H258" t="n">
        <v>2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Blåsippa
Mattlummer</t>
        </is>
      </c>
      <c r="S258">
        <f>HYPERLINK("https://klasma.github.io/Logging_0582/artfynd/A 63381-2023 artfynd.xlsx", "A 63381-2023")</f>
        <v/>
      </c>
      <c r="T258">
        <f>HYPERLINK("https://klasma.github.io/Logging_0582/kartor/A 63381-2023 karta.png", "A 63381-2023")</f>
        <v/>
      </c>
      <c r="V258">
        <f>HYPERLINK("https://klasma.github.io/Logging_0582/klagomål/A 63381-2023 FSC-klagomål.docx", "A 63381-2023")</f>
        <v/>
      </c>
      <c r="W258">
        <f>HYPERLINK("https://klasma.github.io/Logging_0582/klagomålsmail/A 63381-2023 FSC-klagomål mail.docx", "A 63381-2023")</f>
        <v/>
      </c>
      <c r="X258">
        <f>HYPERLINK("https://klasma.github.io/Logging_0582/tillsyn/A 63381-2023 tillsynsbegäran.docx", "A 63381-2023")</f>
        <v/>
      </c>
      <c r="Y258">
        <f>HYPERLINK("https://klasma.github.io/Logging_0582/tillsynsmail/A 63381-2023 tillsynsbegäran mail.docx", "A 63381-2023")</f>
        <v/>
      </c>
    </row>
    <row r="259" ht="15" customHeight="1">
      <c r="A259" t="inlineStr">
        <is>
          <t>A 64369-2023</t>
        </is>
      </c>
      <c r="B259" s="1" t="n">
        <v>45280</v>
      </c>
      <c r="C259" s="1" t="n">
        <v>45710</v>
      </c>
      <c r="D259" t="inlineStr">
        <is>
          <t>ÖSTERGÖTLANDS LÄN</t>
        </is>
      </c>
      <c r="E259" t="inlineStr">
        <is>
          <t>VALDEMARSVIK</t>
        </is>
      </c>
      <c r="G259" t="n">
        <v>7.5</v>
      </c>
      <c r="H259" t="n">
        <v>2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Adam och eva
Gullviva</t>
        </is>
      </c>
      <c r="S259">
        <f>HYPERLINK("https://klasma.github.io/Logging_0563/artfynd/A 64369-2023 artfynd.xlsx", "A 64369-2023")</f>
        <v/>
      </c>
      <c r="T259">
        <f>HYPERLINK("https://klasma.github.io/Logging_0563/kartor/A 64369-2023 karta.png", "A 64369-2023")</f>
        <v/>
      </c>
      <c r="V259">
        <f>HYPERLINK("https://klasma.github.io/Logging_0563/klagomål/A 64369-2023 FSC-klagomål.docx", "A 64369-2023")</f>
        <v/>
      </c>
      <c r="W259">
        <f>HYPERLINK("https://klasma.github.io/Logging_0563/klagomålsmail/A 64369-2023 FSC-klagomål mail.docx", "A 64369-2023")</f>
        <v/>
      </c>
      <c r="X259">
        <f>HYPERLINK("https://klasma.github.io/Logging_0563/tillsyn/A 64369-2023 tillsynsbegäran.docx", "A 64369-2023")</f>
        <v/>
      </c>
      <c r="Y259">
        <f>HYPERLINK("https://klasma.github.io/Logging_0563/tillsynsmail/A 64369-2023 tillsynsbegäran mail.docx", "A 64369-2023")</f>
        <v/>
      </c>
    </row>
    <row r="260" ht="15" customHeight="1">
      <c r="A260" t="inlineStr">
        <is>
          <t>A 878-2024</t>
        </is>
      </c>
      <c r="B260" s="1" t="n">
        <v>45301</v>
      </c>
      <c r="C260" s="1" t="n">
        <v>45710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1</v>
      </c>
      <c r="L260" t="n">
        <v>1</v>
      </c>
      <c r="M260" t="n">
        <v>0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Tofsfibbla
Växeltandsfibbla</t>
        </is>
      </c>
      <c r="S260">
        <f>HYPERLINK("https://klasma.github.io/Logging_0513/artfynd/A 878-2024 artfynd.xlsx", "A 878-2024")</f>
        <v/>
      </c>
      <c r="T260">
        <f>HYPERLINK("https://klasma.github.io/Logging_0513/kartor/A 878-2024 karta.png", "A 878-2024")</f>
        <v/>
      </c>
      <c r="V260">
        <f>HYPERLINK("https://klasma.github.io/Logging_0513/klagomål/A 878-2024 FSC-klagomål.docx", "A 878-2024")</f>
        <v/>
      </c>
      <c r="W260">
        <f>HYPERLINK("https://klasma.github.io/Logging_0513/klagomålsmail/A 878-2024 FSC-klagomål mail.docx", "A 878-2024")</f>
        <v/>
      </c>
      <c r="X260">
        <f>HYPERLINK("https://klasma.github.io/Logging_0513/tillsyn/A 878-2024 tillsynsbegäran.docx", "A 878-2024")</f>
        <v/>
      </c>
      <c r="Y260">
        <f>HYPERLINK("https://klasma.github.io/Logging_0513/tillsynsmail/A 878-2024 tillsynsbegäran mail.docx", "A 878-2024")</f>
        <v/>
      </c>
    </row>
    <row r="261" ht="15" customHeight="1">
      <c r="A261" t="inlineStr">
        <is>
          <t>A 1904-2024</t>
        </is>
      </c>
      <c r="B261" s="1" t="n">
        <v>45308</v>
      </c>
      <c r="C261" s="1" t="n">
        <v>45710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Stubbspretmossa
Vanlig padda</t>
        </is>
      </c>
      <c r="S261">
        <f>HYPERLINK("https://klasma.github.io/Logging_0560/artfynd/A 1904-2024 artfynd.xlsx", "A 1904-2024")</f>
        <v/>
      </c>
      <c r="T261">
        <f>HYPERLINK("https://klasma.github.io/Logging_0560/kartor/A 1904-2024 karta.png", "A 1904-2024")</f>
        <v/>
      </c>
      <c r="V261">
        <f>HYPERLINK("https://klasma.github.io/Logging_0560/klagomål/A 1904-2024 FSC-klagomål.docx", "A 1904-2024")</f>
        <v/>
      </c>
      <c r="W261">
        <f>HYPERLINK("https://klasma.github.io/Logging_0560/klagomålsmail/A 1904-2024 FSC-klagomål mail.docx", "A 1904-2024")</f>
        <v/>
      </c>
      <c r="X261">
        <f>HYPERLINK("https://klasma.github.io/Logging_0560/tillsyn/A 1904-2024 tillsynsbegäran.docx", "A 1904-2024")</f>
        <v/>
      </c>
      <c r="Y261">
        <f>HYPERLINK("https://klasma.github.io/Logging_0560/tillsynsmail/A 1904-2024 tillsynsbegäran mail.docx", "A 1904-2024")</f>
        <v/>
      </c>
    </row>
    <row r="262" ht="15" customHeight="1">
      <c r="A262" t="inlineStr">
        <is>
          <t>A 3078-2024</t>
        </is>
      </c>
      <c r="B262" s="1" t="n">
        <v>45316</v>
      </c>
      <c r="C262" s="1" t="n">
        <v>45710</v>
      </c>
      <c r="D262" t="inlineStr">
        <is>
          <t>ÖSTERGÖTLANDS LÄN</t>
        </is>
      </c>
      <c r="E262" t="inlineStr">
        <is>
          <t>LINKÖPING</t>
        </is>
      </c>
      <c r="G262" t="n">
        <v>12.6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Svinrot
Fällmossa</t>
        </is>
      </c>
      <c r="S262">
        <f>HYPERLINK("https://klasma.github.io/Logging_0580/artfynd/A 3078-2024 artfynd.xlsx", "A 3078-2024")</f>
        <v/>
      </c>
      <c r="T262">
        <f>HYPERLINK("https://klasma.github.io/Logging_0580/kartor/A 3078-2024 karta.png", "A 3078-2024")</f>
        <v/>
      </c>
      <c r="V262">
        <f>HYPERLINK("https://klasma.github.io/Logging_0580/klagomål/A 3078-2024 FSC-klagomål.docx", "A 3078-2024")</f>
        <v/>
      </c>
      <c r="W262">
        <f>HYPERLINK("https://klasma.github.io/Logging_0580/klagomålsmail/A 3078-2024 FSC-klagomål mail.docx", "A 3078-2024")</f>
        <v/>
      </c>
      <c r="X262">
        <f>HYPERLINK("https://klasma.github.io/Logging_0580/tillsyn/A 3078-2024 tillsynsbegäran.docx", "A 3078-2024")</f>
        <v/>
      </c>
      <c r="Y262">
        <f>HYPERLINK("https://klasma.github.io/Logging_0580/tillsynsmail/A 3078-2024 tillsynsbegäran mail.docx", "A 3078-2024")</f>
        <v/>
      </c>
    </row>
    <row r="263" ht="15" customHeight="1">
      <c r="A263" t="inlineStr">
        <is>
          <t>A 3596-2024</t>
        </is>
      </c>
      <c r="B263" s="1" t="n">
        <v>45320</v>
      </c>
      <c r="C263" s="1" t="n">
        <v>45710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6.9</v>
      </c>
      <c r="H263" t="n">
        <v>1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Ask
Kungsörn</t>
        </is>
      </c>
      <c r="S263">
        <f>HYPERLINK("https://klasma.github.io/Logging_0562/artfynd/A 3596-2024 artfynd.xlsx", "A 3596-2024")</f>
        <v/>
      </c>
      <c r="T263">
        <f>HYPERLINK("https://klasma.github.io/Logging_0562/kartor/A 3596-2024 karta.png", "A 3596-2024")</f>
        <v/>
      </c>
      <c r="V263">
        <f>HYPERLINK("https://klasma.github.io/Logging_0562/klagomål/A 3596-2024 FSC-klagomål.docx", "A 3596-2024")</f>
        <v/>
      </c>
      <c r="W263">
        <f>HYPERLINK("https://klasma.github.io/Logging_0562/klagomålsmail/A 3596-2024 FSC-klagomål mail.docx", "A 3596-2024")</f>
        <v/>
      </c>
      <c r="X263">
        <f>HYPERLINK("https://klasma.github.io/Logging_0562/tillsyn/A 3596-2024 tillsynsbegäran.docx", "A 3596-2024")</f>
        <v/>
      </c>
      <c r="Y263">
        <f>HYPERLINK("https://klasma.github.io/Logging_0562/tillsynsmail/A 3596-2024 tillsynsbegäran mail.docx", "A 3596-2024")</f>
        <v/>
      </c>
      <c r="Z263">
        <f>HYPERLINK("https://klasma.github.io/Logging_0562/fåglar/A 3596-2024 prioriterade fågelarter.docx", "A 3596-2024")</f>
        <v/>
      </c>
    </row>
    <row r="264" ht="15" customHeight="1">
      <c r="A264" t="inlineStr">
        <is>
          <t>A 5774-2024</t>
        </is>
      </c>
      <c r="B264" s="1" t="n">
        <v>45335</v>
      </c>
      <c r="C264" s="1" t="n">
        <v>45710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Kyrkan</t>
        </is>
      </c>
      <c r="G264" t="n">
        <v>5.7</v>
      </c>
      <c r="H264" t="n">
        <v>2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Spillkråka
Fläcknycklar</t>
        </is>
      </c>
      <c r="S264">
        <f>HYPERLINK("https://klasma.github.io/Logging_0562/artfynd/A 5774-2024 artfynd.xlsx", "A 5774-2024")</f>
        <v/>
      </c>
      <c r="T264">
        <f>HYPERLINK("https://klasma.github.io/Logging_0562/kartor/A 5774-2024 karta.png", "A 5774-2024")</f>
        <v/>
      </c>
      <c r="V264">
        <f>HYPERLINK("https://klasma.github.io/Logging_0562/klagomål/A 5774-2024 FSC-klagomål.docx", "A 5774-2024")</f>
        <v/>
      </c>
      <c r="W264">
        <f>HYPERLINK("https://klasma.github.io/Logging_0562/klagomålsmail/A 5774-2024 FSC-klagomål mail.docx", "A 5774-2024")</f>
        <v/>
      </c>
      <c r="X264">
        <f>HYPERLINK("https://klasma.github.io/Logging_0562/tillsyn/A 5774-2024 tillsynsbegäran.docx", "A 5774-2024")</f>
        <v/>
      </c>
      <c r="Y264">
        <f>HYPERLINK("https://klasma.github.io/Logging_0562/tillsynsmail/A 5774-2024 tillsynsbegäran mail.docx", "A 5774-2024")</f>
        <v/>
      </c>
      <c r="Z264">
        <f>HYPERLINK("https://klasma.github.io/Logging_0562/fåglar/A 5774-2024 prioriterade fågelarter.docx", "A 5774-2024")</f>
        <v/>
      </c>
    </row>
    <row r="265" ht="15" customHeight="1">
      <c r="A265" t="inlineStr">
        <is>
          <t>A 7247-2024</t>
        </is>
      </c>
      <c r="B265" s="1" t="n">
        <v>45344</v>
      </c>
      <c r="C265" s="1" t="n">
        <v>45710</v>
      </c>
      <c r="D265" t="inlineStr">
        <is>
          <t>ÖSTERGÖTLANDS LÄN</t>
        </is>
      </c>
      <c r="E265" t="inlineStr">
        <is>
          <t>VALDEMARSVIK</t>
        </is>
      </c>
      <c r="G265" t="n">
        <v>2.6</v>
      </c>
      <c r="H265" t="n">
        <v>2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Entita
Talltita</t>
        </is>
      </c>
      <c r="S265">
        <f>HYPERLINK("https://klasma.github.io/Logging_0563/artfynd/A 7247-2024 artfynd.xlsx", "A 7247-2024")</f>
        <v/>
      </c>
      <c r="T265">
        <f>HYPERLINK("https://klasma.github.io/Logging_0563/kartor/A 7247-2024 karta.png", "A 7247-2024")</f>
        <v/>
      </c>
      <c r="V265">
        <f>HYPERLINK("https://klasma.github.io/Logging_0563/klagomål/A 7247-2024 FSC-klagomål.docx", "A 7247-2024")</f>
        <v/>
      </c>
      <c r="W265">
        <f>HYPERLINK("https://klasma.github.io/Logging_0563/klagomålsmail/A 7247-2024 FSC-klagomål mail.docx", "A 7247-2024")</f>
        <v/>
      </c>
      <c r="X265">
        <f>HYPERLINK("https://klasma.github.io/Logging_0563/tillsyn/A 7247-2024 tillsynsbegäran.docx", "A 7247-2024")</f>
        <v/>
      </c>
      <c r="Y265">
        <f>HYPERLINK("https://klasma.github.io/Logging_0563/tillsynsmail/A 7247-2024 tillsynsbegäran mail.docx", "A 7247-2024")</f>
        <v/>
      </c>
      <c r="Z265">
        <f>HYPERLINK("https://klasma.github.io/Logging_0563/fåglar/A 7247-2024 prioriterade fågelarter.docx", "A 7247-2024")</f>
        <v/>
      </c>
    </row>
    <row r="266" ht="15" customHeight="1">
      <c r="A266" t="inlineStr">
        <is>
          <t>A 9790-2024</t>
        </is>
      </c>
      <c r="B266" s="1" t="n">
        <v>45362</v>
      </c>
      <c r="C266" s="1" t="n">
        <v>45710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5.7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Vedticka
Mattlummer</t>
        </is>
      </c>
      <c r="S266">
        <f>HYPERLINK("https://klasma.github.io/Logging_0581/artfynd/A 9790-2024 artfynd.xlsx", "A 9790-2024")</f>
        <v/>
      </c>
      <c r="T266">
        <f>HYPERLINK("https://klasma.github.io/Logging_0581/kartor/A 9790-2024 karta.png", "A 9790-2024")</f>
        <v/>
      </c>
      <c r="V266">
        <f>HYPERLINK("https://klasma.github.io/Logging_0581/klagomål/A 9790-2024 FSC-klagomål.docx", "A 9790-2024")</f>
        <v/>
      </c>
      <c r="W266">
        <f>HYPERLINK("https://klasma.github.io/Logging_0581/klagomålsmail/A 9790-2024 FSC-klagomål mail.docx", "A 9790-2024")</f>
        <v/>
      </c>
      <c r="X266">
        <f>HYPERLINK("https://klasma.github.io/Logging_0581/tillsyn/A 9790-2024 tillsynsbegäran.docx", "A 9790-2024")</f>
        <v/>
      </c>
      <c r="Y266">
        <f>HYPERLINK("https://klasma.github.io/Logging_0581/tillsynsmail/A 9790-2024 tillsynsbegäran mail.docx", "A 9790-2024")</f>
        <v/>
      </c>
    </row>
    <row r="267" ht="15" customHeight="1">
      <c r="A267" t="inlineStr">
        <is>
          <t>A 10280-2024</t>
        </is>
      </c>
      <c r="B267" s="1" t="n">
        <v>45365</v>
      </c>
      <c r="C267" s="1" t="n">
        <v>45710</v>
      </c>
      <c r="D267" t="inlineStr">
        <is>
          <t>ÖSTERGÖTLANDS LÄN</t>
        </is>
      </c>
      <c r="E267" t="inlineStr">
        <is>
          <t>MJÖLBY</t>
        </is>
      </c>
      <c r="F267" t="inlineStr">
        <is>
          <t>Kyrkan</t>
        </is>
      </c>
      <c r="G267" t="n">
        <v>1.7</v>
      </c>
      <c r="H267" t="n">
        <v>1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Spillkråka
Vedskivlav</t>
        </is>
      </c>
      <c r="S267">
        <f>HYPERLINK("https://klasma.github.io/Logging_0586/artfynd/A 10280-2024 artfynd.xlsx", "A 10280-2024")</f>
        <v/>
      </c>
      <c r="T267">
        <f>HYPERLINK("https://klasma.github.io/Logging_0586/kartor/A 10280-2024 karta.png", "A 10280-2024")</f>
        <v/>
      </c>
      <c r="V267">
        <f>HYPERLINK("https://klasma.github.io/Logging_0586/klagomål/A 10280-2024 FSC-klagomål.docx", "A 10280-2024")</f>
        <v/>
      </c>
      <c r="W267">
        <f>HYPERLINK("https://klasma.github.io/Logging_0586/klagomålsmail/A 10280-2024 FSC-klagomål mail.docx", "A 10280-2024")</f>
        <v/>
      </c>
      <c r="X267">
        <f>HYPERLINK("https://klasma.github.io/Logging_0586/tillsyn/A 10280-2024 tillsynsbegäran.docx", "A 10280-2024")</f>
        <v/>
      </c>
      <c r="Y267">
        <f>HYPERLINK("https://klasma.github.io/Logging_0586/tillsynsmail/A 10280-2024 tillsynsbegäran mail.docx", "A 10280-2024")</f>
        <v/>
      </c>
      <c r="Z267">
        <f>HYPERLINK("https://klasma.github.io/Logging_0586/fåglar/A 10280-2024 prioriterade fågelarter.docx", "A 10280-2024")</f>
        <v/>
      </c>
    </row>
    <row r="268" ht="15" customHeight="1">
      <c r="A268" t="inlineStr">
        <is>
          <t>A 10257-2024</t>
        </is>
      </c>
      <c r="B268" s="1" t="n">
        <v>45365</v>
      </c>
      <c r="C268" s="1" t="n">
        <v>45710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3.7</v>
      </c>
      <c r="H268" t="n">
        <v>2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2</v>
      </c>
      <c r="R268" s="2" t="inlineStr">
        <is>
          <t>Knärot
Blåsippa</t>
        </is>
      </c>
      <c r="S268">
        <f>HYPERLINK("https://klasma.github.io/Logging_0562/artfynd/A 10257-2024 artfynd.xlsx", "A 10257-2024")</f>
        <v/>
      </c>
      <c r="T268">
        <f>HYPERLINK("https://klasma.github.io/Logging_0562/kartor/A 10257-2024 karta.png", "A 10257-2024")</f>
        <v/>
      </c>
      <c r="U268">
        <f>HYPERLINK("https://klasma.github.io/Logging_0562/knärot/A 10257-2024 karta knärot.png", "A 10257-2024")</f>
        <v/>
      </c>
      <c r="V268">
        <f>HYPERLINK("https://klasma.github.io/Logging_0562/klagomål/A 10257-2024 FSC-klagomål.docx", "A 10257-2024")</f>
        <v/>
      </c>
      <c r="W268">
        <f>HYPERLINK("https://klasma.github.io/Logging_0562/klagomålsmail/A 10257-2024 FSC-klagomål mail.docx", "A 10257-2024")</f>
        <v/>
      </c>
      <c r="X268">
        <f>HYPERLINK("https://klasma.github.io/Logging_0562/tillsyn/A 10257-2024 tillsynsbegäran.docx", "A 10257-2024")</f>
        <v/>
      </c>
      <c r="Y268">
        <f>HYPERLINK("https://klasma.github.io/Logging_0562/tillsynsmail/A 10257-2024 tillsynsbegäran mail.docx", "A 10257-2024")</f>
        <v/>
      </c>
    </row>
    <row r="269" ht="15" customHeight="1">
      <c r="A269" t="inlineStr">
        <is>
          <t>A 14213-2024</t>
        </is>
      </c>
      <c r="B269" s="1" t="n">
        <v>45393</v>
      </c>
      <c r="C269" s="1" t="n">
        <v>45710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2.4</v>
      </c>
      <c r="H269" t="n">
        <v>1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Vedskivlav
Grön sköldmossa</t>
        </is>
      </c>
      <c r="S269">
        <f>HYPERLINK("https://klasma.github.io/Logging_0562/artfynd/A 14213-2024 artfynd.xlsx", "A 14213-2024")</f>
        <v/>
      </c>
      <c r="T269">
        <f>HYPERLINK("https://klasma.github.io/Logging_0562/kartor/A 14213-2024 karta.png", "A 14213-2024")</f>
        <v/>
      </c>
      <c r="V269">
        <f>HYPERLINK("https://klasma.github.io/Logging_0562/klagomål/A 14213-2024 FSC-klagomål.docx", "A 14213-2024")</f>
        <v/>
      </c>
      <c r="W269">
        <f>HYPERLINK("https://klasma.github.io/Logging_0562/klagomålsmail/A 14213-2024 FSC-klagomål mail.docx", "A 14213-2024")</f>
        <v/>
      </c>
      <c r="X269">
        <f>HYPERLINK("https://klasma.github.io/Logging_0562/tillsyn/A 14213-2024 tillsynsbegäran.docx", "A 14213-2024")</f>
        <v/>
      </c>
      <c r="Y269">
        <f>HYPERLINK("https://klasma.github.io/Logging_0562/tillsynsmail/A 14213-2024 tillsynsbegäran mail.docx", "A 14213-2024")</f>
        <v/>
      </c>
    </row>
    <row r="270" ht="15" customHeight="1">
      <c r="A270" t="inlineStr">
        <is>
          <t>A 14879-2024</t>
        </is>
      </c>
      <c r="B270" s="1" t="n">
        <v>45398</v>
      </c>
      <c r="C270" s="1" t="n">
        <v>45710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1.7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Svart trolldruva
Grönvit nattviol</t>
        </is>
      </c>
      <c r="S270">
        <f>HYPERLINK("https://klasma.github.io/Logging_0580/artfynd/A 14879-2024 artfynd.xlsx", "A 14879-2024")</f>
        <v/>
      </c>
      <c r="T270">
        <f>HYPERLINK("https://klasma.github.io/Logging_0580/kartor/A 14879-2024 karta.png", "A 14879-2024")</f>
        <v/>
      </c>
      <c r="V270">
        <f>HYPERLINK("https://klasma.github.io/Logging_0580/klagomål/A 14879-2024 FSC-klagomål.docx", "A 14879-2024")</f>
        <v/>
      </c>
      <c r="W270">
        <f>HYPERLINK("https://klasma.github.io/Logging_0580/klagomålsmail/A 14879-2024 FSC-klagomål mail.docx", "A 14879-2024")</f>
        <v/>
      </c>
      <c r="X270">
        <f>HYPERLINK("https://klasma.github.io/Logging_0580/tillsyn/A 14879-2024 tillsynsbegäran.docx", "A 14879-2024")</f>
        <v/>
      </c>
      <c r="Y270">
        <f>HYPERLINK("https://klasma.github.io/Logging_0580/tillsynsmail/A 14879-2024 tillsynsbegäran mail.docx", "A 14879-2024")</f>
        <v/>
      </c>
    </row>
    <row r="271" ht="15" customHeight="1">
      <c r="A271" t="inlineStr">
        <is>
          <t>A 15028-2024</t>
        </is>
      </c>
      <c r="B271" s="1" t="n">
        <v>45399</v>
      </c>
      <c r="C271" s="1" t="n">
        <v>45710</v>
      </c>
      <c r="D271" t="inlineStr">
        <is>
          <t>ÖSTERGÖTLANDS LÄN</t>
        </is>
      </c>
      <c r="E271" t="inlineStr">
        <is>
          <t>KINDA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1</v>
      </c>
      <c r="N271" t="n">
        <v>0</v>
      </c>
      <c r="O271" t="n">
        <v>2</v>
      </c>
      <c r="P271" t="n">
        <v>2</v>
      </c>
      <c r="Q271" t="n">
        <v>2</v>
      </c>
      <c r="R271" s="2" t="inlineStr">
        <is>
          <t>Skogsalm
Ask</t>
        </is>
      </c>
      <c r="S271">
        <f>HYPERLINK("https://klasma.github.io/Logging_0513/artfynd/A 15028-2024 artfynd.xlsx", "A 15028-2024")</f>
        <v/>
      </c>
      <c r="T271">
        <f>HYPERLINK("https://klasma.github.io/Logging_0513/kartor/A 15028-2024 karta.png", "A 15028-2024")</f>
        <v/>
      </c>
      <c r="V271">
        <f>HYPERLINK("https://klasma.github.io/Logging_0513/klagomål/A 15028-2024 FSC-klagomål.docx", "A 15028-2024")</f>
        <v/>
      </c>
      <c r="W271">
        <f>HYPERLINK("https://klasma.github.io/Logging_0513/klagomålsmail/A 15028-2024 FSC-klagomål mail.docx", "A 15028-2024")</f>
        <v/>
      </c>
      <c r="X271">
        <f>HYPERLINK("https://klasma.github.io/Logging_0513/tillsyn/A 15028-2024 tillsynsbegäran.docx", "A 15028-2024")</f>
        <v/>
      </c>
      <c r="Y271">
        <f>HYPERLINK("https://klasma.github.io/Logging_0513/tillsynsmail/A 15028-2024 tillsynsbegäran mail.docx", "A 15028-2024")</f>
        <v/>
      </c>
    </row>
    <row r="272" ht="15" customHeight="1">
      <c r="A272" t="inlineStr">
        <is>
          <t>A 17429-2024</t>
        </is>
      </c>
      <c r="B272" s="1" t="n">
        <v>45415</v>
      </c>
      <c r="C272" s="1" t="n">
        <v>45710</v>
      </c>
      <c r="D272" t="inlineStr">
        <is>
          <t>ÖSTERGÖTLANDS LÄN</t>
        </is>
      </c>
      <c r="E272" t="inlineStr">
        <is>
          <t>ÅTVIDABERG</t>
        </is>
      </c>
      <c r="G272" t="n">
        <v>6</v>
      </c>
      <c r="H272" t="n">
        <v>2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2</v>
      </c>
      <c r="R272" s="2" t="inlineStr">
        <is>
          <t>Gölgroda
Ätlig groda</t>
        </is>
      </c>
      <c r="S272">
        <f>HYPERLINK("https://klasma.github.io/Logging_0561/artfynd/A 17429-2024 artfynd.xlsx", "A 17429-2024")</f>
        <v/>
      </c>
      <c r="T272">
        <f>HYPERLINK("https://klasma.github.io/Logging_0561/kartor/A 17429-2024 karta.png", "A 17429-2024")</f>
        <v/>
      </c>
      <c r="V272">
        <f>HYPERLINK("https://klasma.github.io/Logging_0561/klagomål/A 17429-2024 FSC-klagomål.docx", "A 17429-2024")</f>
        <v/>
      </c>
      <c r="W272">
        <f>HYPERLINK("https://klasma.github.io/Logging_0561/klagomålsmail/A 17429-2024 FSC-klagomål mail.docx", "A 17429-2024")</f>
        <v/>
      </c>
      <c r="X272">
        <f>HYPERLINK("https://klasma.github.io/Logging_0561/tillsyn/A 17429-2024 tillsynsbegäran.docx", "A 17429-2024")</f>
        <v/>
      </c>
      <c r="Y272">
        <f>HYPERLINK("https://klasma.github.io/Logging_0561/tillsynsmail/A 17429-2024 tillsynsbegäran mail.docx", "A 17429-2024")</f>
        <v/>
      </c>
    </row>
    <row r="273" ht="15" customHeight="1">
      <c r="A273" t="inlineStr">
        <is>
          <t>A 18209-2024</t>
        </is>
      </c>
      <c r="B273" s="1" t="n">
        <v>45420</v>
      </c>
      <c r="C273" s="1" t="n">
        <v>45710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7</v>
      </c>
      <c r="H273" t="n">
        <v>0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Blåmossa
Granbarkgnagare</t>
        </is>
      </c>
      <c r="S273">
        <f>HYPERLINK("https://klasma.github.io/Logging_0581/artfynd/A 18209-2024 artfynd.xlsx", "A 18209-2024")</f>
        <v/>
      </c>
      <c r="T273">
        <f>HYPERLINK("https://klasma.github.io/Logging_0581/kartor/A 18209-2024 karta.png", "A 18209-2024")</f>
        <v/>
      </c>
      <c r="V273">
        <f>HYPERLINK("https://klasma.github.io/Logging_0581/klagomål/A 18209-2024 FSC-klagomål.docx", "A 18209-2024")</f>
        <v/>
      </c>
      <c r="W273">
        <f>HYPERLINK("https://klasma.github.io/Logging_0581/klagomålsmail/A 18209-2024 FSC-klagomål mail.docx", "A 18209-2024")</f>
        <v/>
      </c>
      <c r="X273">
        <f>HYPERLINK("https://klasma.github.io/Logging_0581/tillsyn/A 18209-2024 tillsynsbegäran.docx", "A 18209-2024")</f>
        <v/>
      </c>
      <c r="Y273">
        <f>HYPERLINK("https://klasma.github.io/Logging_0581/tillsynsmail/A 18209-2024 tillsynsbegäran mail.docx", "A 18209-2024")</f>
        <v/>
      </c>
    </row>
    <row r="274" ht="15" customHeight="1">
      <c r="A274" t="inlineStr">
        <is>
          <t>A 20895-2024</t>
        </is>
      </c>
      <c r="B274" s="1" t="n">
        <v>45439</v>
      </c>
      <c r="C274" s="1" t="n">
        <v>45710</v>
      </c>
      <c r="D274" t="inlineStr">
        <is>
          <t>ÖSTERGÖTLANDS LÄN</t>
        </is>
      </c>
      <c r="E274" t="inlineStr">
        <is>
          <t>SÖDERKÖPING</t>
        </is>
      </c>
      <c r="G274" t="n">
        <v>6.6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Fläcknycklar
Revlummer</t>
        </is>
      </c>
      <c r="S274">
        <f>HYPERLINK("https://klasma.github.io/Logging_0582/artfynd/A 20895-2024 artfynd.xlsx", "A 20895-2024")</f>
        <v/>
      </c>
      <c r="T274">
        <f>HYPERLINK("https://klasma.github.io/Logging_0582/kartor/A 20895-2024 karta.png", "A 20895-2024")</f>
        <v/>
      </c>
      <c r="V274">
        <f>HYPERLINK("https://klasma.github.io/Logging_0582/klagomål/A 20895-2024 FSC-klagomål.docx", "A 20895-2024")</f>
        <v/>
      </c>
      <c r="W274">
        <f>HYPERLINK("https://klasma.github.io/Logging_0582/klagomålsmail/A 20895-2024 FSC-klagomål mail.docx", "A 20895-2024")</f>
        <v/>
      </c>
      <c r="X274">
        <f>HYPERLINK("https://klasma.github.io/Logging_0582/tillsyn/A 20895-2024 tillsynsbegäran.docx", "A 20895-2024")</f>
        <v/>
      </c>
      <c r="Y274">
        <f>HYPERLINK("https://klasma.github.io/Logging_0582/tillsynsmail/A 20895-2024 tillsynsbegäran mail.docx", "A 20895-2024")</f>
        <v/>
      </c>
    </row>
    <row r="275" ht="15" customHeight="1">
      <c r="A275" t="inlineStr">
        <is>
          <t>A 21068-2024</t>
        </is>
      </c>
      <c r="B275" s="1" t="n">
        <v>45439</v>
      </c>
      <c r="C275" s="1" t="n">
        <v>45710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7.3</v>
      </c>
      <c r="H275" t="n">
        <v>2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Havsörn
Kungsörn</t>
        </is>
      </c>
      <c r="S275">
        <f>HYPERLINK("https://klasma.github.io/Logging_0581/artfynd/A 21068-2024 artfynd.xlsx", "A 21068-2024")</f>
        <v/>
      </c>
      <c r="T275">
        <f>HYPERLINK("https://klasma.github.io/Logging_0581/kartor/A 21068-2024 karta.png", "A 21068-2024")</f>
        <v/>
      </c>
      <c r="V275">
        <f>HYPERLINK("https://klasma.github.io/Logging_0581/klagomål/A 21068-2024 FSC-klagomål.docx", "A 21068-2024")</f>
        <v/>
      </c>
      <c r="W275">
        <f>HYPERLINK("https://klasma.github.io/Logging_0581/klagomålsmail/A 21068-2024 FSC-klagomål mail.docx", "A 21068-2024")</f>
        <v/>
      </c>
      <c r="X275">
        <f>HYPERLINK("https://klasma.github.io/Logging_0581/tillsyn/A 21068-2024 tillsynsbegäran.docx", "A 21068-2024")</f>
        <v/>
      </c>
      <c r="Y275">
        <f>HYPERLINK("https://klasma.github.io/Logging_0581/tillsynsmail/A 21068-2024 tillsynsbegäran mail.docx", "A 21068-2024")</f>
        <v/>
      </c>
      <c r="Z275">
        <f>HYPERLINK("https://klasma.github.io/Logging_0581/fåglar/A 21068-2024 prioriterade fågelarter.docx", "A 21068-2024")</f>
        <v/>
      </c>
    </row>
    <row r="276" ht="15" customHeight="1">
      <c r="A276" t="inlineStr">
        <is>
          <t>A 21566-2024</t>
        </is>
      </c>
      <c r="B276" s="1" t="n">
        <v>45441</v>
      </c>
      <c r="C276" s="1" t="n">
        <v>45710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5.8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Tallticka
Blompraktbagge</t>
        </is>
      </c>
      <c r="S276">
        <f>HYPERLINK("https://klasma.github.io/Logging_0562/artfynd/A 21566-2024 artfynd.xlsx", "A 21566-2024")</f>
        <v/>
      </c>
      <c r="T276">
        <f>HYPERLINK("https://klasma.github.io/Logging_0562/kartor/A 21566-2024 karta.png", "A 21566-2024")</f>
        <v/>
      </c>
      <c r="V276">
        <f>HYPERLINK("https://klasma.github.io/Logging_0562/klagomål/A 21566-2024 FSC-klagomål.docx", "A 21566-2024")</f>
        <v/>
      </c>
      <c r="W276">
        <f>HYPERLINK("https://klasma.github.io/Logging_0562/klagomålsmail/A 21566-2024 FSC-klagomål mail.docx", "A 21566-2024")</f>
        <v/>
      </c>
      <c r="X276">
        <f>HYPERLINK("https://klasma.github.io/Logging_0562/tillsyn/A 21566-2024 tillsynsbegäran.docx", "A 21566-2024")</f>
        <v/>
      </c>
      <c r="Y276">
        <f>HYPERLINK("https://klasma.github.io/Logging_0562/tillsynsmail/A 21566-2024 tillsynsbegäran mail.docx", "A 21566-2024")</f>
        <v/>
      </c>
    </row>
    <row r="277" ht="15" customHeight="1">
      <c r="A277" t="inlineStr">
        <is>
          <t>A 22603-2024</t>
        </is>
      </c>
      <c r="B277" s="1" t="n">
        <v>45447</v>
      </c>
      <c r="C277" s="1" t="n">
        <v>45710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5.6</v>
      </c>
      <c r="H277" t="n">
        <v>0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Blodticka
Scharlakansskål</t>
        </is>
      </c>
      <c r="S277">
        <f>HYPERLINK("https://klasma.github.io/Logging_0562/artfynd/A 22603-2024 artfynd.xlsx", "A 22603-2024")</f>
        <v/>
      </c>
      <c r="T277">
        <f>HYPERLINK("https://klasma.github.io/Logging_0562/kartor/A 22603-2024 karta.png", "A 22603-2024")</f>
        <v/>
      </c>
      <c r="V277">
        <f>HYPERLINK("https://klasma.github.io/Logging_0562/klagomål/A 22603-2024 FSC-klagomål.docx", "A 22603-2024")</f>
        <v/>
      </c>
      <c r="W277">
        <f>HYPERLINK("https://klasma.github.io/Logging_0562/klagomålsmail/A 22603-2024 FSC-klagomål mail.docx", "A 22603-2024")</f>
        <v/>
      </c>
      <c r="X277">
        <f>HYPERLINK("https://klasma.github.io/Logging_0562/tillsyn/A 22603-2024 tillsynsbegäran.docx", "A 22603-2024")</f>
        <v/>
      </c>
      <c r="Y277">
        <f>HYPERLINK("https://klasma.github.io/Logging_0562/tillsynsmail/A 22603-2024 tillsynsbegäran mail.docx", "A 22603-2024")</f>
        <v/>
      </c>
    </row>
    <row r="278" ht="15" customHeight="1">
      <c r="A278" t="inlineStr">
        <is>
          <t>A 28075-2024</t>
        </is>
      </c>
      <c r="B278" s="1" t="n">
        <v>45476</v>
      </c>
      <c r="C278" s="1" t="n">
        <v>45710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Holmen skog AB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1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Ask
Slåtterfibbla</t>
        </is>
      </c>
      <c r="S278">
        <f>HYPERLINK("https://klasma.github.io/Logging_0583/artfynd/A 28075-2024 artfynd.xlsx", "A 28075-2024")</f>
        <v/>
      </c>
      <c r="T278">
        <f>HYPERLINK("https://klasma.github.io/Logging_0583/kartor/A 28075-2024 karta.png", "A 28075-2024")</f>
        <v/>
      </c>
      <c r="V278">
        <f>HYPERLINK("https://klasma.github.io/Logging_0583/klagomål/A 28075-2024 FSC-klagomål.docx", "A 28075-2024")</f>
        <v/>
      </c>
      <c r="W278">
        <f>HYPERLINK("https://klasma.github.io/Logging_0583/klagomålsmail/A 28075-2024 FSC-klagomål mail.docx", "A 28075-2024")</f>
        <v/>
      </c>
      <c r="X278">
        <f>HYPERLINK("https://klasma.github.io/Logging_0583/tillsyn/A 28075-2024 tillsynsbegäran.docx", "A 28075-2024")</f>
        <v/>
      </c>
      <c r="Y278">
        <f>HYPERLINK("https://klasma.github.io/Logging_0583/tillsynsmail/A 28075-2024 tillsynsbegäran mail.docx", "A 28075-2024")</f>
        <v/>
      </c>
    </row>
    <row r="279" ht="15" customHeight="1">
      <c r="A279" t="inlineStr">
        <is>
          <t>A 28395-2024</t>
        </is>
      </c>
      <c r="B279" s="1" t="n">
        <v>45477</v>
      </c>
      <c r="C279" s="1" t="n">
        <v>45710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Naturvårdsverket</t>
        </is>
      </c>
      <c r="G279" t="n">
        <v>0.6</v>
      </c>
      <c r="H279" t="n">
        <v>2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Talltita
Fläcknycklar</t>
        </is>
      </c>
      <c r="S279">
        <f>HYPERLINK("https://klasma.github.io/Logging_0562/artfynd/A 28395-2024 artfynd.xlsx", "A 28395-2024")</f>
        <v/>
      </c>
      <c r="T279">
        <f>HYPERLINK("https://klasma.github.io/Logging_0562/kartor/A 28395-2024 karta.png", "A 28395-2024")</f>
        <v/>
      </c>
      <c r="V279">
        <f>HYPERLINK("https://klasma.github.io/Logging_0562/klagomål/A 28395-2024 FSC-klagomål.docx", "A 28395-2024")</f>
        <v/>
      </c>
      <c r="W279">
        <f>HYPERLINK("https://klasma.github.io/Logging_0562/klagomålsmail/A 28395-2024 FSC-klagomål mail.docx", "A 28395-2024")</f>
        <v/>
      </c>
      <c r="X279">
        <f>HYPERLINK("https://klasma.github.io/Logging_0562/tillsyn/A 28395-2024 tillsynsbegäran.docx", "A 28395-2024")</f>
        <v/>
      </c>
      <c r="Y279">
        <f>HYPERLINK("https://klasma.github.io/Logging_0562/tillsynsmail/A 28395-2024 tillsynsbegäran mail.docx", "A 28395-2024")</f>
        <v/>
      </c>
      <c r="Z279">
        <f>HYPERLINK("https://klasma.github.io/Logging_0562/fåglar/A 28395-2024 prioriterade fågelarter.docx", "A 28395-2024")</f>
        <v/>
      </c>
    </row>
    <row r="280" ht="15" customHeight="1">
      <c r="A280" t="inlineStr">
        <is>
          <t>A 42539-2024</t>
        </is>
      </c>
      <c r="B280" s="1" t="n">
        <v>45565</v>
      </c>
      <c r="C280" s="1" t="n">
        <v>45710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7.4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Vårstarr
Gullviva</t>
        </is>
      </c>
      <c r="S280">
        <f>HYPERLINK("https://klasma.github.io/Logging_0561/artfynd/A 42539-2024 artfynd.xlsx", "A 42539-2024")</f>
        <v/>
      </c>
      <c r="T280">
        <f>HYPERLINK("https://klasma.github.io/Logging_0561/kartor/A 42539-2024 karta.png", "A 42539-2024")</f>
        <v/>
      </c>
      <c r="V280">
        <f>HYPERLINK("https://klasma.github.io/Logging_0561/klagomål/A 42539-2024 FSC-klagomål.docx", "A 42539-2024")</f>
        <v/>
      </c>
      <c r="W280">
        <f>HYPERLINK("https://klasma.github.io/Logging_0561/klagomålsmail/A 42539-2024 FSC-klagomål mail.docx", "A 42539-2024")</f>
        <v/>
      </c>
      <c r="X280">
        <f>HYPERLINK("https://klasma.github.io/Logging_0561/tillsyn/A 42539-2024 tillsynsbegäran.docx", "A 42539-2024")</f>
        <v/>
      </c>
      <c r="Y280">
        <f>HYPERLINK("https://klasma.github.io/Logging_0561/tillsynsmail/A 42539-2024 tillsynsbegäran mail.docx", "A 42539-2024")</f>
        <v/>
      </c>
    </row>
    <row r="281" ht="15" customHeight="1">
      <c r="A281" t="inlineStr">
        <is>
          <t>A 42463-2024</t>
        </is>
      </c>
      <c r="B281" s="1" t="n">
        <v>45565</v>
      </c>
      <c r="C281" s="1" t="n">
        <v>45710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2.1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Fällmossa
Blåsippa</t>
        </is>
      </c>
      <c r="S281">
        <f>HYPERLINK("https://klasma.github.io/Logging_0561/artfynd/A 42463-2024 artfynd.xlsx", "A 42463-2024")</f>
        <v/>
      </c>
      <c r="T281">
        <f>HYPERLINK("https://klasma.github.io/Logging_0561/kartor/A 42463-2024 karta.png", "A 42463-2024")</f>
        <v/>
      </c>
      <c r="V281">
        <f>HYPERLINK("https://klasma.github.io/Logging_0561/klagomål/A 42463-2024 FSC-klagomål.docx", "A 42463-2024")</f>
        <v/>
      </c>
      <c r="W281">
        <f>HYPERLINK("https://klasma.github.io/Logging_0561/klagomålsmail/A 42463-2024 FSC-klagomål mail.docx", "A 42463-2024")</f>
        <v/>
      </c>
      <c r="X281">
        <f>HYPERLINK("https://klasma.github.io/Logging_0561/tillsyn/A 42463-2024 tillsynsbegäran.docx", "A 42463-2024")</f>
        <v/>
      </c>
      <c r="Y281">
        <f>HYPERLINK("https://klasma.github.io/Logging_0561/tillsynsmail/A 42463-2024 tillsynsbegäran mail.docx", "A 42463-2024")</f>
        <v/>
      </c>
    </row>
    <row r="282" ht="15" customHeight="1">
      <c r="A282" t="inlineStr">
        <is>
          <t>A 43306-2024</t>
        </is>
      </c>
      <c r="B282" s="1" t="n">
        <v>45568</v>
      </c>
      <c r="C282" s="1" t="n">
        <v>45710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Vedskivlav
Mindre märgborre</t>
        </is>
      </c>
      <c r="S282">
        <f>HYPERLINK("https://klasma.github.io/Logging_0581/artfynd/A 43306-2024 artfynd.xlsx", "A 43306-2024")</f>
        <v/>
      </c>
      <c r="T282">
        <f>HYPERLINK("https://klasma.github.io/Logging_0581/kartor/A 43306-2024 karta.png", "A 43306-2024")</f>
        <v/>
      </c>
      <c r="V282">
        <f>HYPERLINK("https://klasma.github.io/Logging_0581/klagomål/A 43306-2024 FSC-klagomål.docx", "A 43306-2024")</f>
        <v/>
      </c>
      <c r="W282">
        <f>HYPERLINK("https://klasma.github.io/Logging_0581/klagomålsmail/A 43306-2024 FSC-klagomål mail.docx", "A 43306-2024")</f>
        <v/>
      </c>
      <c r="X282">
        <f>HYPERLINK("https://klasma.github.io/Logging_0581/tillsyn/A 43306-2024 tillsynsbegäran.docx", "A 43306-2024")</f>
        <v/>
      </c>
      <c r="Y282">
        <f>HYPERLINK("https://klasma.github.io/Logging_0581/tillsynsmail/A 43306-2024 tillsynsbegäran mail.docx", "A 43306-2024")</f>
        <v/>
      </c>
    </row>
    <row r="283" ht="15" customHeight="1">
      <c r="A283" t="inlineStr">
        <is>
          <t>A 46692-2024</t>
        </is>
      </c>
      <c r="B283" s="1" t="n">
        <v>45583</v>
      </c>
      <c r="C283" s="1" t="n">
        <v>45710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1.4</v>
      </c>
      <c r="H283" t="n">
        <v>0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Dvärgbägarlav
Flagellkvastmossa</t>
        </is>
      </c>
      <c r="S283">
        <f>HYPERLINK("https://klasma.github.io/Logging_0581/artfynd/A 46692-2024 artfynd.xlsx", "A 46692-2024")</f>
        <v/>
      </c>
      <c r="T283">
        <f>HYPERLINK("https://klasma.github.io/Logging_0581/kartor/A 46692-2024 karta.png", "A 46692-2024")</f>
        <v/>
      </c>
      <c r="V283">
        <f>HYPERLINK("https://klasma.github.io/Logging_0581/klagomål/A 46692-2024 FSC-klagomål.docx", "A 46692-2024")</f>
        <v/>
      </c>
      <c r="W283">
        <f>HYPERLINK("https://klasma.github.io/Logging_0581/klagomålsmail/A 46692-2024 FSC-klagomål mail.docx", "A 46692-2024")</f>
        <v/>
      </c>
      <c r="X283">
        <f>HYPERLINK("https://klasma.github.io/Logging_0581/tillsyn/A 46692-2024 tillsynsbegäran.docx", "A 46692-2024")</f>
        <v/>
      </c>
      <c r="Y283">
        <f>HYPERLINK("https://klasma.github.io/Logging_0581/tillsynsmail/A 46692-2024 tillsynsbegäran mail.docx", "A 46692-2024")</f>
        <v/>
      </c>
    </row>
    <row r="284" ht="15" customHeight="1">
      <c r="A284" t="inlineStr">
        <is>
          <t>A 47408-2024</t>
        </is>
      </c>
      <c r="B284" s="1" t="n">
        <v>45587</v>
      </c>
      <c r="C284" s="1" t="n">
        <v>45710</v>
      </c>
      <c r="D284" t="inlineStr">
        <is>
          <t>ÖSTERGÖTLANDS LÄN</t>
        </is>
      </c>
      <c r="E284" t="inlineStr">
        <is>
          <t>LINKÖPING</t>
        </is>
      </c>
      <c r="G284" t="n">
        <v>5</v>
      </c>
      <c r="H284" t="n">
        <v>1</v>
      </c>
      <c r="I284" t="n">
        <v>0</v>
      </c>
      <c r="J284" t="n">
        <v>1</v>
      </c>
      <c r="K284" t="n">
        <v>1</v>
      </c>
      <c r="L284" t="n">
        <v>0</v>
      </c>
      <c r="M284" t="n">
        <v>0</v>
      </c>
      <c r="N284" t="n">
        <v>0</v>
      </c>
      <c r="O284" t="n">
        <v>2</v>
      </c>
      <c r="P284" t="n">
        <v>1</v>
      </c>
      <c r="Q284" t="n">
        <v>2</v>
      </c>
      <c r="R284" s="2" t="inlineStr">
        <is>
          <t>Knärot
Tallticka</t>
        </is>
      </c>
      <c r="S284">
        <f>HYPERLINK("https://klasma.github.io/Logging_0580/artfynd/A 47408-2024 artfynd.xlsx", "A 47408-2024")</f>
        <v/>
      </c>
      <c r="T284">
        <f>HYPERLINK("https://klasma.github.io/Logging_0580/kartor/A 47408-2024 karta.png", "A 47408-2024")</f>
        <v/>
      </c>
      <c r="U284">
        <f>HYPERLINK("https://klasma.github.io/Logging_0580/knärot/A 47408-2024 karta knärot.png", "A 47408-2024")</f>
        <v/>
      </c>
      <c r="V284">
        <f>HYPERLINK("https://klasma.github.io/Logging_0580/klagomål/A 47408-2024 FSC-klagomål.docx", "A 47408-2024")</f>
        <v/>
      </c>
      <c r="W284">
        <f>HYPERLINK("https://klasma.github.io/Logging_0580/klagomålsmail/A 47408-2024 FSC-klagomål mail.docx", "A 47408-2024")</f>
        <v/>
      </c>
      <c r="X284">
        <f>HYPERLINK("https://klasma.github.io/Logging_0580/tillsyn/A 47408-2024 tillsynsbegäran.docx", "A 47408-2024")</f>
        <v/>
      </c>
      <c r="Y284">
        <f>HYPERLINK("https://klasma.github.io/Logging_0580/tillsynsmail/A 47408-2024 tillsynsbegäran mail.docx", "A 47408-2024")</f>
        <v/>
      </c>
    </row>
    <row r="285" ht="15" customHeight="1">
      <c r="A285" t="inlineStr">
        <is>
          <t>A 49188-2024</t>
        </is>
      </c>
      <c r="B285" s="1" t="n">
        <v>45595</v>
      </c>
      <c r="C285" s="1" t="n">
        <v>45710</v>
      </c>
      <c r="D285" t="inlineStr">
        <is>
          <t>ÖSTERGÖTLANDS LÄN</t>
        </is>
      </c>
      <c r="E285" t="inlineStr">
        <is>
          <t>LINKÖPING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HYPERLINK("https://klasma.github.io/Logging_0580/artfynd/A 49188-2024 artfynd.xlsx", "A 49188-2024")</f>
        <v/>
      </c>
      <c r="T285">
        <f>HYPERLINK("https://klasma.github.io/Logging_0580/kartor/A 49188-2024 karta.png", "A 49188-2024")</f>
        <v/>
      </c>
      <c r="V285">
        <f>HYPERLINK("https://klasma.github.io/Logging_0580/klagomål/A 49188-2024 FSC-klagomål.docx", "A 49188-2024")</f>
        <v/>
      </c>
      <c r="W285">
        <f>HYPERLINK("https://klasma.github.io/Logging_0580/klagomålsmail/A 49188-2024 FSC-klagomål mail.docx", "A 49188-2024")</f>
        <v/>
      </c>
      <c r="X285">
        <f>HYPERLINK("https://klasma.github.io/Logging_0580/tillsyn/A 49188-2024 tillsynsbegäran.docx", "A 49188-2024")</f>
        <v/>
      </c>
      <c r="Y285">
        <f>HYPERLINK("https://klasma.github.io/Logging_0580/tillsynsmail/A 49188-2024 tillsynsbegäran mail.docx", "A 49188-2024")</f>
        <v/>
      </c>
    </row>
    <row r="286" ht="15" customHeight="1">
      <c r="A286" t="inlineStr">
        <is>
          <t>A 49665-2024</t>
        </is>
      </c>
      <c r="B286" s="1" t="n">
        <v>45596</v>
      </c>
      <c r="C286" s="1" t="n">
        <v>45710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Kyrkan</t>
        </is>
      </c>
      <c r="G286" t="n">
        <v>7.2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Flagellkvastmossa
Mindre märgborre</t>
        </is>
      </c>
      <c r="S286">
        <f>HYPERLINK("https://klasma.github.io/Logging_0583/artfynd/A 49665-2024 artfynd.xlsx", "A 49665-2024")</f>
        <v/>
      </c>
      <c r="T286">
        <f>HYPERLINK("https://klasma.github.io/Logging_0583/kartor/A 49665-2024 karta.png", "A 49665-2024")</f>
        <v/>
      </c>
      <c r="V286">
        <f>HYPERLINK("https://klasma.github.io/Logging_0583/klagomål/A 49665-2024 FSC-klagomål.docx", "A 49665-2024")</f>
        <v/>
      </c>
      <c r="W286">
        <f>HYPERLINK("https://klasma.github.io/Logging_0583/klagomålsmail/A 49665-2024 FSC-klagomål mail.docx", "A 49665-2024")</f>
        <v/>
      </c>
      <c r="X286">
        <f>HYPERLINK("https://klasma.github.io/Logging_0583/tillsyn/A 49665-2024 tillsynsbegäran.docx", "A 49665-2024")</f>
        <v/>
      </c>
      <c r="Y286">
        <f>HYPERLINK("https://klasma.github.io/Logging_0583/tillsynsmail/A 49665-2024 tillsynsbegäran mail.docx", "A 49665-2024")</f>
        <v/>
      </c>
    </row>
    <row r="287" ht="15" customHeight="1">
      <c r="A287" t="inlineStr">
        <is>
          <t>A 49937-2024</t>
        </is>
      </c>
      <c r="B287" s="1" t="n">
        <v>45597</v>
      </c>
      <c r="C287" s="1" t="n">
        <v>45710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2.6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1</v>
      </c>
      <c r="N287" t="n">
        <v>0</v>
      </c>
      <c r="O287" t="n">
        <v>1</v>
      </c>
      <c r="P287" t="n">
        <v>1</v>
      </c>
      <c r="Q287" t="n">
        <v>2</v>
      </c>
      <c r="R287" s="2" t="inlineStr">
        <is>
          <t>Skogsalm
Tibast</t>
        </is>
      </c>
      <c r="S287">
        <f>HYPERLINK("https://klasma.github.io/Logging_0583/artfynd/A 49937-2024 artfynd.xlsx", "A 49937-2024")</f>
        <v/>
      </c>
      <c r="T287">
        <f>HYPERLINK("https://klasma.github.io/Logging_0583/kartor/A 49937-2024 karta.png", "A 49937-2024")</f>
        <v/>
      </c>
      <c r="V287">
        <f>HYPERLINK("https://klasma.github.io/Logging_0583/klagomål/A 49937-2024 FSC-klagomål.docx", "A 49937-2024")</f>
        <v/>
      </c>
      <c r="W287">
        <f>HYPERLINK("https://klasma.github.io/Logging_0583/klagomålsmail/A 49937-2024 FSC-klagomål mail.docx", "A 49937-2024")</f>
        <v/>
      </c>
      <c r="X287">
        <f>HYPERLINK("https://klasma.github.io/Logging_0583/tillsyn/A 49937-2024 tillsynsbegäran.docx", "A 49937-2024")</f>
        <v/>
      </c>
      <c r="Y287">
        <f>HYPERLINK("https://klasma.github.io/Logging_0583/tillsynsmail/A 49937-2024 tillsynsbegäran mail.docx", "A 49937-2024")</f>
        <v/>
      </c>
    </row>
    <row r="288" ht="15" customHeight="1">
      <c r="A288" t="inlineStr">
        <is>
          <t>A 50492-2024</t>
        </is>
      </c>
      <c r="B288" s="1" t="n">
        <v>45601</v>
      </c>
      <c r="C288" s="1" t="n">
        <v>45710</v>
      </c>
      <c r="D288" t="inlineStr">
        <is>
          <t>ÖSTERGÖTLANDS LÄN</t>
        </is>
      </c>
      <c r="E288" t="inlineStr">
        <is>
          <t>NORRKÖPING</t>
        </is>
      </c>
      <c r="G288" t="n">
        <v>1.8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Blåmossa</t>
        </is>
      </c>
      <c r="S288">
        <f>HYPERLINK("https://klasma.github.io/Logging_0581/artfynd/A 50492-2024 artfynd.xlsx", "A 50492-2024")</f>
        <v/>
      </c>
      <c r="T288">
        <f>HYPERLINK("https://klasma.github.io/Logging_0581/kartor/A 50492-2024 karta.png", "A 50492-2024")</f>
        <v/>
      </c>
      <c r="V288">
        <f>HYPERLINK("https://klasma.github.io/Logging_0581/klagomål/A 50492-2024 FSC-klagomål.docx", "A 50492-2024")</f>
        <v/>
      </c>
      <c r="W288">
        <f>HYPERLINK("https://klasma.github.io/Logging_0581/klagomålsmail/A 50492-2024 FSC-klagomål mail.docx", "A 50492-2024")</f>
        <v/>
      </c>
      <c r="X288">
        <f>HYPERLINK("https://klasma.github.io/Logging_0581/tillsyn/A 50492-2024 tillsynsbegäran.docx", "A 50492-2024")</f>
        <v/>
      </c>
      <c r="Y288">
        <f>HYPERLINK("https://klasma.github.io/Logging_0581/tillsynsmail/A 50492-2024 tillsynsbegäran mail.docx", "A 50492-2024")</f>
        <v/>
      </c>
    </row>
    <row r="289" ht="15" customHeight="1">
      <c r="A289" t="inlineStr">
        <is>
          <t>A 55344-2024</t>
        </is>
      </c>
      <c r="B289" s="1" t="n">
        <v>45621</v>
      </c>
      <c r="C289" s="1" t="n">
        <v>45710</v>
      </c>
      <c r="D289" t="inlineStr">
        <is>
          <t>ÖSTERGÖTLANDS LÄN</t>
        </is>
      </c>
      <c r="E289" t="inlineStr">
        <is>
          <t>LINKÖPING</t>
        </is>
      </c>
      <c r="G289" t="n">
        <v>6.6</v>
      </c>
      <c r="H289" t="n">
        <v>0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Kandelabersvamp
Stjärnnästing</t>
        </is>
      </c>
      <c r="S289">
        <f>HYPERLINK("https://klasma.github.io/Logging_0580/artfynd/A 55344-2024 artfynd.xlsx", "A 55344-2024")</f>
        <v/>
      </c>
      <c r="T289">
        <f>HYPERLINK("https://klasma.github.io/Logging_0580/kartor/A 55344-2024 karta.png", "A 55344-2024")</f>
        <v/>
      </c>
      <c r="V289">
        <f>HYPERLINK("https://klasma.github.io/Logging_0580/klagomål/A 55344-2024 FSC-klagomål.docx", "A 55344-2024")</f>
        <v/>
      </c>
      <c r="W289">
        <f>HYPERLINK("https://klasma.github.io/Logging_0580/klagomålsmail/A 55344-2024 FSC-klagomål mail.docx", "A 55344-2024")</f>
        <v/>
      </c>
      <c r="X289">
        <f>HYPERLINK("https://klasma.github.io/Logging_0580/tillsyn/A 55344-2024 tillsynsbegäran.docx", "A 55344-2024")</f>
        <v/>
      </c>
      <c r="Y289">
        <f>HYPERLINK("https://klasma.github.io/Logging_0580/tillsynsmail/A 55344-2024 tillsynsbegäran mail.docx", "A 55344-2024")</f>
        <v/>
      </c>
    </row>
    <row r="290" ht="15" customHeight="1">
      <c r="A290" t="inlineStr">
        <is>
          <t>A 56477-2024</t>
        </is>
      </c>
      <c r="B290" s="1" t="n">
        <v>45625</v>
      </c>
      <c r="C290" s="1" t="n">
        <v>45710</v>
      </c>
      <c r="D290" t="inlineStr">
        <is>
          <t>ÖSTERGÖTLANDS LÄN</t>
        </is>
      </c>
      <c r="E290" t="inlineStr">
        <is>
          <t>ÅTVIDABERG</t>
        </is>
      </c>
      <c r="G290" t="n">
        <v>3.2</v>
      </c>
      <c r="H290" t="n">
        <v>2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Grönsångare
Svartvit flugsnappare</t>
        </is>
      </c>
      <c r="S290">
        <f>HYPERLINK("https://klasma.github.io/Logging_0561/artfynd/A 56477-2024 artfynd.xlsx", "A 56477-2024")</f>
        <v/>
      </c>
      <c r="T290">
        <f>HYPERLINK("https://klasma.github.io/Logging_0561/kartor/A 56477-2024 karta.png", "A 56477-2024")</f>
        <v/>
      </c>
      <c r="V290">
        <f>HYPERLINK("https://klasma.github.io/Logging_0561/klagomål/A 56477-2024 FSC-klagomål.docx", "A 56477-2024")</f>
        <v/>
      </c>
      <c r="W290">
        <f>HYPERLINK("https://klasma.github.io/Logging_0561/klagomålsmail/A 56477-2024 FSC-klagomål mail.docx", "A 56477-2024")</f>
        <v/>
      </c>
      <c r="X290">
        <f>HYPERLINK("https://klasma.github.io/Logging_0561/tillsyn/A 56477-2024 tillsynsbegäran.docx", "A 56477-2024")</f>
        <v/>
      </c>
      <c r="Y290">
        <f>HYPERLINK("https://klasma.github.io/Logging_0561/tillsynsmail/A 56477-2024 tillsynsbegäran mail.docx", "A 56477-2024")</f>
        <v/>
      </c>
      <c r="Z290">
        <f>HYPERLINK("https://klasma.github.io/Logging_0561/fåglar/A 56477-2024 prioriterade fågelarter.docx", "A 56477-2024")</f>
        <v/>
      </c>
    </row>
    <row r="291" ht="15" customHeight="1">
      <c r="A291" t="inlineStr">
        <is>
          <t>A 60667-2024</t>
        </is>
      </c>
      <c r="B291" s="1" t="n">
        <v>45644</v>
      </c>
      <c r="C291" s="1" t="n">
        <v>45710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18.1</v>
      </c>
      <c r="H291" t="n">
        <v>1</v>
      </c>
      <c r="I291" t="n">
        <v>1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Knärot
Grönpyrola</t>
        </is>
      </c>
      <c r="S291">
        <f>HYPERLINK("https://klasma.github.io/Logging_0562/artfynd/A 60667-2024 artfynd.xlsx", "A 60667-2024")</f>
        <v/>
      </c>
      <c r="T291">
        <f>HYPERLINK("https://klasma.github.io/Logging_0562/kartor/A 60667-2024 karta.png", "A 60667-2024")</f>
        <v/>
      </c>
      <c r="U291">
        <f>HYPERLINK("https://klasma.github.io/Logging_0562/knärot/A 60667-2024 karta knärot.png", "A 60667-2024")</f>
        <v/>
      </c>
      <c r="V291">
        <f>HYPERLINK("https://klasma.github.io/Logging_0562/klagomål/A 60667-2024 FSC-klagomål.docx", "A 60667-2024")</f>
        <v/>
      </c>
      <c r="W291">
        <f>HYPERLINK("https://klasma.github.io/Logging_0562/klagomålsmail/A 60667-2024 FSC-klagomål mail.docx", "A 60667-2024")</f>
        <v/>
      </c>
      <c r="X291">
        <f>HYPERLINK("https://klasma.github.io/Logging_0562/tillsyn/A 60667-2024 tillsynsbegäran.docx", "A 60667-2024")</f>
        <v/>
      </c>
      <c r="Y291">
        <f>HYPERLINK("https://klasma.github.io/Logging_0562/tillsynsmail/A 60667-2024 tillsynsbegäran mail.docx", "A 60667-2024")</f>
        <v/>
      </c>
    </row>
    <row r="292" ht="15" customHeight="1">
      <c r="A292" t="inlineStr">
        <is>
          <t>A 60900-2024</t>
        </is>
      </c>
      <c r="B292" s="1" t="n">
        <v>45645</v>
      </c>
      <c r="C292" s="1" t="n">
        <v>45710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1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Talltita
Grönpyrola</t>
        </is>
      </c>
      <c r="S292">
        <f>HYPERLINK("https://klasma.github.io/Logging_0581/artfynd/A 60900-2024 artfynd.xlsx", "A 60900-2024")</f>
        <v/>
      </c>
      <c r="T292">
        <f>HYPERLINK("https://klasma.github.io/Logging_0581/kartor/A 60900-2024 karta.png", "A 60900-2024")</f>
        <v/>
      </c>
      <c r="V292">
        <f>HYPERLINK("https://klasma.github.io/Logging_0581/klagomål/A 60900-2024 FSC-klagomål.docx", "A 60900-2024")</f>
        <v/>
      </c>
      <c r="W292">
        <f>HYPERLINK("https://klasma.github.io/Logging_0581/klagomålsmail/A 60900-2024 FSC-klagomål mail.docx", "A 60900-2024")</f>
        <v/>
      </c>
      <c r="X292">
        <f>HYPERLINK("https://klasma.github.io/Logging_0581/tillsyn/A 60900-2024 tillsynsbegäran.docx", "A 60900-2024")</f>
        <v/>
      </c>
      <c r="Y292">
        <f>HYPERLINK("https://klasma.github.io/Logging_0581/tillsynsmail/A 60900-2024 tillsynsbegäran mail.docx", "A 60900-2024")</f>
        <v/>
      </c>
      <c r="Z292">
        <f>HYPERLINK("https://klasma.github.io/Logging_0581/fåglar/A 60900-2024 prioriterade fågelarter.docx", "A 60900-2024")</f>
        <v/>
      </c>
    </row>
    <row r="293" ht="15" customHeight="1">
      <c r="A293" t="inlineStr">
        <is>
          <t>A 594-2025</t>
        </is>
      </c>
      <c r="B293" s="1" t="n">
        <v>45664</v>
      </c>
      <c r="C293" s="1" t="n">
        <v>45710</v>
      </c>
      <c r="D293" t="inlineStr">
        <is>
          <t>ÖSTERGÖTLANDS LÄN</t>
        </is>
      </c>
      <c r="E293" t="inlineStr">
        <is>
          <t>LINKÖPING</t>
        </is>
      </c>
      <c r="G293" t="n">
        <v>11.7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Blekticka
Veckticka</t>
        </is>
      </c>
      <c r="S293">
        <f>HYPERLINK("https://klasma.github.io/Logging_0580/artfynd/A 594-2025 artfynd.xlsx", "A 594-2025")</f>
        <v/>
      </c>
      <c r="T293">
        <f>HYPERLINK("https://klasma.github.io/Logging_0580/kartor/A 594-2025 karta.png", "A 594-2025")</f>
        <v/>
      </c>
      <c r="V293">
        <f>HYPERLINK("https://klasma.github.io/Logging_0580/klagomål/A 594-2025 FSC-klagomål.docx", "A 594-2025")</f>
        <v/>
      </c>
      <c r="W293">
        <f>HYPERLINK("https://klasma.github.io/Logging_0580/klagomålsmail/A 594-2025 FSC-klagomål mail.docx", "A 594-2025")</f>
        <v/>
      </c>
      <c r="X293">
        <f>HYPERLINK("https://klasma.github.io/Logging_0580/tillsyn/A 594-2025 tillsynsbegäran.docx", "A 594-2025")</f>
        <v/>
      </c>
      <c r="Y293">
        <f>HYPERLINK("https://klasma.github.io/Logging_0580/tillsynsmail/A 594-2025 tillsynsbegäran mail.docx", "A 594-2025")</f>
        <v/>
      </c>
    </row>
    <row r="294" ht="15" customHeight="1">
      <c r="A294" t="inlineStr">
        <is>
          <t>A 1931-2025</t>
        </is>
      </c>
      <c r="B294" s="1" t="n">
        <v>45671</v>
      </c>
      <c r="C294" s="1" t="n">
        <v>45710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17.4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Grovticka
Nattviol</t>
        </is>
      </c>
      <c r="S294">
        <f>HYPERLINK("https://klasma.github.io/Logging_0583/artfynd/A 1931-2025 artfynd.xlsx", "A 1931-2025")</f>
        <v/>
      </c>
      <c r="T294">
        <f>HYPERLINK("https://klasma.github.io/Logging_0583/kartor/A 1931-2025 karta.png", "A 1931-2025")</f>
        <v/>
      </c>
      <c r="V294">
        <f>HYPERLINK("https://klasma.github.io/Logging_0583/klagomål/A 1931-2025 FSC-klagomål.docx", "A 1931-2025")</f>
        <v/>
      </c>
      <c r="W294">
        <f>HYPERLINK("https://klasma.github.io/Logging_0583/klagomålsmail/A 1931-2025 FSC-klagomål mail.docx", "A 1931-2025")</f>
        <v/>
      </c>
      <c r="X294">
        <f>HYPERLINK("https://klasma.github.io/Logging_0583/tillsyn/A 1931-2025 tillsynsbegäran.docx", "A 1931-2025")</f>
        <v/>
      </c>
      <c r="Y294">
        <f>HYPERLINK("https://klasma.github.io/Logging_0583/tillsynsmail/A 1931-2025 tillsynsbegäran mail.docx", "A 1931-2025")</f>
        <v/>
      </c>
    </row>
    <row r="295" ht="15" customHeight="1">
      <c r="A295" t="inlineStr">
        <is>
          <t>A 5809-2025</t>
        </is>
      </c>
      <c r="B295" s="1" t="n">
        <v>45694</v>
      </c>
      <c r="C295" s="1" t="n">
        <v>45710</v>
      </c>
      <c r="D295" t="inlineStr">
        <is>
          <t>ÖSTERGÖTLANDS LÄN</t>
        </is>
      </c>
      <c r="E295" t="inlineStr">
        <is>
          <t>NORRKÖPING</t>
        </is>
      </c>
      <c r="G295" t="n">
        <v>3.7</v>
      </c>
      <c r="H295" t="n">
        <v>2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Vanlig padda
Blåsippa</t>
        </is>
      </c>
      <c r="S295">
        <f>HYPERLINK("https://klasma.github.io/Logging_0581/artfynd/A 5809-2025 artfynd.xlsx", "A 5809-2025")</f>
        <v/>
      </c>
      <c r="T295">
        <f>HYPERLINK("https://klasma.github.io/Logging_0581/kartor/A 5809-2025 karta.png", "A 5809-2025")</f>
        <v/>
      </c>
      <c r="V295">
        <f>HYPERLINK("https://klasma.github.io/Logging_0581/klagomål/A 5809-2025 FSC-klagomål.docx", "A 5809-2025")</f>
        <v/>
      </c>
      <c r="W295">
        <f>HYPERLINK("https://klasma.github.io/Logging_0581/klagomålsmail/A 5809-2025 FSC-klagomål mail.docx", "A 5809-2025")</f>
        <v/>
      </c>
      <c r="X295">
        <f>HYPERLINK("https://klasma.github.io/Logging_0581/tillsyn/A 5809-2025 tillsynsbegäran.docx", "A 5809-2025")</f>
        <v/>
      </c>
      <c r="Y295">
        <f>HYPERLINK("https://klasma.github.io/Logging_0581/tillsynsmail/A 5809-2025 tillsynsbegäran mail.docx", "A 5809-2025")</f>
        <v/>
      </c>
    </row>
    <row r="296" ht="15" customHeight="1">
      <c r="A296" t="inlineStr">
        <is>
          <t>A 8392-2025</t>
        </is>
      </c>
      <c r="B296" s="1" t="n">
        <v>45709</v>
      </c>
      <c r="C296" s="1" t="n">
        <v>45710</v>
      </c>
      <c r="D296" t="inlineStr">
        <is>
          <t>ÖSTERGÖTLANDS LÄN</t>
        </is>
      </c>
      <c r="E296" t="inlineStr">
        <is>
          <t>MJÖLBY</t>
        </is>
      </c>
      <c r="G296" t="n">
        <v>2.3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Tallticka
Blåsippa</t>
        </is>
      </c>
      <c r="S296">
        <f>HYPERLINK("https://klasma.github.io/Logging_0586/artfynd/A 8392-2025 artfynd.xlsx", "A 8392-2025")</f>
        <v/>
      </c>
      <c r="T296">
        <f>HYPERLINK("https://klasma.github.io/Logging_0586/kartor/A 8392-2025 karta.png", "A 8392-2025")</f>
        <v/>
      </c>
      <c r="V296">
        <f>HYPERLINK("https://klasma.github.io/Logging_0586/klagomål/A 8392-2025 FSC-klagomål.docx", "A 8392-2025")</f>
        <v/>
      </c>
      <c r="W296">
        <f>HYPERLINK("https://klasma.github.io/Logging_0586/klagomålsmail/A 8392-2025 FSC-klagomål mail.docx", "A 8392-2025")</f>
        <v/>
      </c>
      <c r="X296">
        <f>HYPERLINK("https://klasma.github.io/Logging_0586/tillsyn/A 8392-2025 tillsynsbegäran.docx", "A 8392-2025")</f>
        <v/>
      </c>
      <c r="Y296">
        <f>HYPERLINK("https://klasma.github.io/Logging_0586/tillsynsmail/A 8392-2025 tillsynsbegäran mail.docx", "A 8392-2025")</f>
        <v/>
      </c>
    </row>
    <row r="297" ht="15" customHeight="1">
      <c r="A297" t="inlineStr">
        <is>
          <t>A 19407-2019</t>
        </is>
      </c>
      <c r="B297" s="1" t="n">
        <v>43565</v>
      </c>
      <c r="C297" s="1" t="n">
        <v>45710</v>
      </c>
      <c r="D297" t="inlineStr">
        <is>
          <t>ÖSTERGÖTLANDS LÄN</t>
        </is>
      </c>
      <c r="E297" t="inlineStr">
        <is>
          <t>FINSPÅNG</t>
        </is>
      </c>
      <c r="G297" t="n">
        <v>10.5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19407-2019 artfynd.xlsx", "A 19407-2019")</f>
        <v/>
      </c>
      <c r="T297">
        <f>HYPERLINK("https://klasma.github.io/Logging_0562/kartor/A 19407-2019 karta.png", "A 19407-2019")</f>
        <v/>
      </c>
      <c r="V297">
        <f>HYPERLINK("https://klasma.github.io/Logging_0562/klagomål/A 19407-2019 FSC-klagomål.docx", "A 19407-2019")</f>
        <v/>
      </c>
      <c r="W297">
        <f>HYPERLINK("https://klasma.github.io/Logging_0562/klagomålsmail/A 19407-2019 FSC-klagomål mail.docx", "A 19407-2019")</f>
        <v/>
      </c>
      <c r="X297">
        <f>HYPERLINK("https://klasma.github.io/Logging_0562/tillsyn/A 19407-2019 tillsynsbegäran.docx", "A 19407-2019")</f>
        <v/>
      </c>
      <c r="Y297">
        <f>HYPERLINK("https://klasma.github.io/Logging_0562/tillsynsmail/A 19407-2019 tillsynsbegäran mail.docx", "A 19407-2019")</f>
        <v/>
      </c>
    </row>
    <row r="298" ht="15" customHeight="1">
      <c r="A298" t="inlineStr">
        <is>
          <t>A 20149-2019</t>
        </is>
      </c>
      <c r="B298" s="1" t="n">
        <v>43570</v>
      </c>
      <c r="C298" s="1" t="n">
        <v>45710</v>
      </c>
      <c r="D298" t="inlineStr">
        <is>
          <t>ÖSTERGÖTLANDS LÄN</t>
        </is>
      </c>
      <c r="E298" t="inlineStr">
        <is>
          <t>VALDEMARSVIK</t>
        </is>
      </c>
      <c r="F298" t="inlineStr">
        <is>
          <t>Övriga Aktiebolag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Vippärt</t>
        </is>
      </c>
      <c r="S298">
        <f>HYPERLINK("https://klasma.github.io/Logging_0563/artfynd/A 20149-2019 artfynd.xlsx", "A 20149-2019")</f>
        <v/>
      </c>
      <c r="T298">
        <f>HYPERLINK("https://klasma.github.io/Logging_0563/kartor/A 20149-2019 karta.png", "A 20149-2019")</f>
        <v/>
      </c>
      <c r="V298">
        <f>HYPERLINK("https://klasma.github.io/Logging_0563/klagomål/A 20149-2019 FSC-klagomål.docx", "A 20149-2019")</f>
        <v/>
      </c>
      <c r="W298">
        <f>HYPERLINK("https://klasma.github.io/Logging_0563/klagomålsmail/A 20149-2019 FSC-klagomål mail.docx", "A 20149-2019")</f>
        <v/>
      </c>
      <c r="X298">
        <f>HYPERLINK("https://klasma.github.io/Logging_0563/tillsyn/A 20149-2019 tillsynsbegäran.docx", "A 20149-2019")</f>
        <v/>
      </c>
      <c r="Y298">
        <f>HYPERLINK("https://klasma.github.io/Logging_0563/tillsynsmail/A 20149-2019 tillsynsbegäran mail.docx", "A 20149-2019")</f>
        <v/>
      </c>
    </row>
    <row r="299" ht="15" customHeight="1">
      <c r="A299" t="inlineStr">
        <is>
          <t>A 22210-2019</t>
        </is>
      </c>
      <c r="B299" s="1" t="n">
        <v>43585</v>
      </c>
      <c r="C299" s="1" t="n">
        <v>45710</v>
      </c>
      <c r="D299" t="inlineStr">
        <is>
          <t>ÖSTERGÖTLANDS LÄN</t>
        </is>
      </c>
      <c r="E299" t="inlineStr">
        <is>
          <t>KINDA</t>
        </is>
      </c>
      <c r="G299" t="n">
        <v>6.5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Bergjohannesört</t>
        </is>
      </c>
      <c r="S299">
        <f>HYPERLINK("https://klasma.github.io/Logging_0513/artfynd/A 22210-2019 artfynd.xlsx", "A 22210-2019")</f>
        <v/>
      </c>
      <c r="T299">
        <f>HYPERLINK("https://klasma.github.io/Logging_0513/kartor/A 22210-2019 karta.png", "A 22210-2019")</f>
        <v/>
      </c>
      <c r="V299">
        <f>HYPERLINK("https://klasma.github.io/Logging_0513/klagomål/A 22210-2019 FSC-klagomål.docx", "A 22210-2019")</f>
        <v/>
      </c>
      <c r="W299">
        <f>HYPERLINK("https://klasma.github.io/Logging_0513/klagomålsmail/A 22210-2019 FSC-klagomål mail.docx", "A 22210-2019")</f>
        <v/>
      </c>
      <c r="X299">
        <f>HYPERLINK("https://klasma.github.io/Logging_0513/tillsyn/A 22210-2019 tillsynsbegäran.docx", "A 22210-2019")</f>
        <v/>
      </c>
      <c r="Y299">
        <f>HYPERLINK("https://klasma.github.io/Logging_0513/tillsynsmail/A 22210-2019 tillsynsbegäran mail.docx", "A 22210-2019")</f>
        <v/>
      </c>
    </row>
    <row r="300" ht="15" customHeight="1">
      <c r="A300" t="inlineStr">
        <is>
          <t>A 24547-2019</t>
        </is>
      </c>
      <c r="B300" s="1" t="n">
        <v>43600</v>
      </c>
      <c r="C300" s="1" t="n">
        <v>45710</v>
      </c>
      <c r="D300" t="inlineStr">
        <is>
          <t>ÖSTERGÖTLANDS LÄN</t>
        </is>
      </c>
      <c r="E300" t="inlineStr">
        <is>
          <t>FINSPÅNG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Råglosta</t>
        </is>
      </c>
      <c r="S300">
        <f>HYPERLINK("https://klasma.github.io/Logging_0562/artfynd/A 24547-2019 artfynd.xlsx", "A 24547-2019")</f>
        <v/>
      </c>
      <c r="T300">
        <f>HYPERLINK("https://klasma.github.io/Logging_0562/kartor/A 24547-2019 karta.png", "A 24547-2019")</f>
        <v/>
      </c>
      <c r="V300">
        <f>HYPERLINK("https://klasma.github.io/Logging_0562/klagomål/A 24547-2019 FSC-klagomål.docx", "A 24547-2019")</f>
        <v/>
      </c>
      <c r="W300">
        <f>HYPERLINK("https://klasma.github.io/Logging_0562/klagomålsmail/A 24547-2019 FSC-klagomål mail.docx", "A 24547-2019")</f>
        <v/>
      </c>
      <c r="X300">
        <f>HYPERLINK("https://klasma.github.io/Logging_0562/tillsyn/A 24547-2019 tillsynsbegäran.docx", "A 24547-2019")</f>
        <v/>
      </c>
      <c r="Y300">
        <f>HYPERLINK("https://klasma.github.io/Logging_0562/tillsynsmail/A 24547-2019 tillsynsbegäran mail.docx", "A 24547-2019")</f>
        <v/>
      </c>
    </row>
    <row r="301" ht="15" customHeight="1">
      <c r="A301" t="inlineStr">
        <is>
          <t>A 24668-2019</t>
        </is>
      </c>
      <c r="B301" s="1" t="n">
        <v>43601</v>
      </c>
      <c r="C301" s="1" t="n">
        <v>45710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9.4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HYPERLINK("https://klasma.github.io/Logging_0581/artfynd/A 24668-2019 artfynd.xlsx", "A 24668-2019")</f>
        <v/>
      </c>
      <c r="T301">
        <f>HYPERLINK("https://klasma.github.io/Logging_0581/kartor/A 24668-2019 karta.png", "A 24668-2019")</f>
        <v/>
      </c>
      <c r="V301">
        <f>HYPERLINK("https://klasma.github.io/Logging_0581/klagomål/A 24668-2019 FSC-klagomål.docx", "A 24668-2019")</f>
        <v/>
      </c>
      <c r="W301">
        <f>HYPERLINK("https://klasma.github.io/Logging_0581/klagomålsmail/A 24668-2019 FSC-klagomål mail.docx", "A 24668-2019")</f>
        <v/>
      </c>
      <c r="X301">
        <f>HYPERLINK("https://klasma.github.io/Logging_0581/tillsyn/A 24668-2019 tillsynsbegäran.docx", "A 24668-2019")</f>
        <v/>
      </c>
      <c r="Y301">
        <f>HYPERLINK("https://klasma.github.io/Logging_0581/tillsynsmail/A 24668-2019 tillsynsbegäran mail.docx", "A 24668-2019")</f>
        <v/>
      </c>
    </row>
    <row r="302" ht="15" customHeight="1">
      <c r="A302" t="inlineStr">
        <is>
          <t>A 24841-2019</t>
        </is>
      </c>
      <c r="B302" s="1" t="n">
        <v>43602</v>
      </c>
      <c r="C302" s="1" t="n">
        <v>45710</v>
      </c>
      <c r="D302" t="inlineStr">
        <is>
          <t>ÖSTERGÖTLANDS LÄN</t>
        </is>
      </c>
      <c r="E302" t="inlineStr">
        <is>
          <t>NORRKÖPING</t>
        </is>
      </c>
      <c r="G302" t="n">
        <v>7.4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HYPERLINK("https://klasma.github.io/Logging_0581/artfynd/A 24841-2019 artfynd.xlsx", "A 24841-2019")</f>
        <v/>
      </c>
      <c r="T302">
        <f>HYPERLINK("https://klasma.github.io/Logging_0581/kartor/A 24841-2019 karta.png", "A 24841-2019")</f>
        <v/>
      </c>
      <c r="V302">
        <f>HYPERLINK("https://klasma.github.io/Logging_0581/klagomål/A 24841-2019 FSC-klagomål.docx", "A 24841-2019")</f>
        <v/>
      </c>
      <c r="W302">
        <f>HYPERLINK("https://klasma.github.io/Logging_0581/klagomålsmail/A 24841-2019 FSC-klagomål mail.docx", "A 24841-2019")</f>
        <v/>
      </c>
      <c r="X302">
        <f>HYPERLINK("https://klasma.github.io/Logging_0581/tillsyn/A 24841-2019 tillsynsbegäran.docx", "A 24841-2019")</f>
        <v/>
      </c>
      <c r="Y302">
        <f>HYPERLINK("https://klasma.github.io/Logging_0581/tillsynsmail/A 24841-2019 tillsynsbegäran mail.docx", "A 24841-2019")</f>
        <v/>
      </c>
    </row>
    <row r="303" ht="15" customHeight="1">
      <c r="A303" t="inlineStr">
        <is>
          <t>A 25312-2019</t>
        </is>
      </c>
      <c r="B303" s="1" t="n">
        <v>43606</v>
      </c>
      <c r="C303" s="1" t="n">
        <v>45710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9.6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HYPERLINK("https://klasma.github.io/Logging_0560/artfynd/A 25312-2019 artfynd.xlsx", "A 25312-2019")</f>
        <v/>
      </c>
      <c r="T303">
        <f>HYPERLINK("https://klasma.github.io/Logging_0560/kartor/A 25312-2019 karta.png", "A 25312-2019")</f>
        <v/>
      </c>
      <c r="V303">
        <f>HYPERLINK("https://klasma.github.io/Logging_0560/klagomål/A 25312-2019 FSC-klagomål.docx", "A 25312-2019")</f>
        <v/>
      </c>
      <c r="W303">
        <f>HYPERLINK("https://klasma.github.io/Logging_0560/klagomålsmail/A 25312-2019 FSC-klagomål mail.docx", "A 25312-2019")</f>
        <v/>
      </c>
      <c r="X303">
        <f>HYPERLINK("https://klasma.github.io/Logging_0560/tillsyn/A 25312-2019 tillsynsbegäran.docx", "A 25312-2019")</f>
        <v/>
      </c>
      <c r="Y303">
        <f>HYPERLINK("https://klasma.github.io/Logging_0560/tillsynsmail/A 25312-2019 tillsynsbegäran mail.docx", "A 25312-2019")</f>
        <v/>
      </c>
    </row>
    <row r="304" ht="15" customHeight="1">
      <c r="A304" t="inlineStr">
        <is>
          <t>A 26223-2019</t>
        </is>
      </c>
      <c r="B304" s="1" t="n">
        <v>43609</v>
      </c>
      <c r="C304" s="1" t="n">
        <v>45710</v>
      </c>
      <c r="D304" t="inlineStr">
        <is>
          <t>ÖSTERGÖTLANDS LÄN</t>
        </is>
      </c>
      <c r="E304" t="inlineStr">
        <is>
          <t>FINSPÅNG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Råglosta</t>
        </is>
      </c>
      <c r="S304">
        <f>HYPERLINK("https://klasma.github.io/Logging_0562/artfynd/A 26223-2019 artfynd.xlsx", "A 26223-2019")</f>
        <v/>
      </c>
      <c r="T304">
        <f>HYPERLINK("https://klasma.github.io/Logging_0562/kartor/A 26223-2019 karta.png", "A 26223-2019")</f>
        <v/>
      </c>
      <c r="V304">
        <f>HYPERLINK("https://klasma.github.io/Logging_0562/klagomål/A 26223-2019 FSC-klagomål.docx", "A 26223-2019")</f>
        <v/>
      </c>
      <c r="W304">
        <f>HYPERLINK("https://klasma.github.io/Logging_0562/klagomålsmail/A 26223-2019 FSC-klagomål mail.docx", "A 26223-2019")</f>
        <v/>
      </c>
      <c r="X304">
        <f>HYPERLINK("https://klasma.github.io/Logging_0562/tillsyn/A 26223-2019 tillsynsbegäran.docx", "A 26223-2019")</f>
        <v/>
      </c>
      <c r="Y304">
        <f>HYPERLINK("https://klasma.github.io/Logging_0562/tillsynsmail/A 26223-2019 tillsynsbegäran mail.docx", "A 26223-2019")</f>
        <v/>
      </c>
    </row>
    <row r="305" ht="15" customHeight="1">
      <c r="A305" t="inlineStr">
        <is>
          <t>A 26227-2019</t>
        </is>
      </c>
      <c r="B305" s="1" t="n">
        <v>43609</v>
      </c>
      <c r="C305" s="1" t="n">
        <v>45710</v>
      </c>
      <c r="D305" t="inlineStr">
        <is>
          <t>ÖSTERGÖTLANDS LÄN</t>
        </is>
      </c>
      <c r="E305" t="inlineStr">
        <is>
          <t>FINSPÅNG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Råglosta</t>
        </is>
      </c>
      <c r="S305">
        <f>HYPERLINK("https://klasma.github.io/Logging_0562/artfynd/A 26227-2019 artfynd.xlsx", "A 26227-2019")</f>
        <v/>
      </c>
      <c r="T305">
        <f>HYPERLINK("https://klasma.github.io/Logging_0562/kartor/A 26227-2019 karta.png", "A 26227-2019")</f>
        <v/>
      </c>
      <c r="V305">
        <f>HYPERLINK("https://klasma.github.io/Logging_0562/klagomål/A 26227-2019 FSC-klagomål.docx", "A 26227-2019")</f>
        <v/>
      </c>
      <c r="W305">
        <f>HYPERLINK("https://klasma.github.io/Logging_0562/klagomålsmail/A 26227-2019 FSC-klagomål mail.docx", "A 26227-2019")</f>
        <v/>
      </c>
      <c r="X305">
        <f>HYPERLINK("https://klasma.github.io/Logging_0562/tillsyn/A 26227-2019 tillsynsbegäran.docx", "A 26227-2019")</f>
        <v/>
      </c>
      <c r="Y305">
        <f>HYPERLINK("https://klasma.github.io/Logging_0562/tillsynsmail/A 26227-2019 tillsynsbegäran mail.docx", "A 26227-2019")</f>
        <v/>
      </c>
    </row>
    <row r="306" ht="15" customHeight="1">
      <c r="A306" t="inlineStr">
        <is>
          <t>A 30060-2019</t>
        </is>
      </c>
      <c r="B306" s="1" t="n">
        <v>43633</v>
      </c>
      <c r="C306" s="1" t="n">
        <v>45710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7.5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Skogsklocka</t>
        </is>
      </c>
      <c r="S306">
        <f>HYPERLINK("https://klasma.github.io/Logging_0583/artfynd/A 30060-2019 artfynd.xlsx", "A 30060-2019")</f>
        <v/>
      </c>
      <c r="T306">
        <f>HYPERLINK("https://klasma.github.io/Logging_0583/kartor/A 30060-2019 karta.png", "A 30060-2019")</f>
        <v/>
      </c>
      <c r="V306">
        <f>HYPERLINK("https://klasma.github.io/Logging_0583/klagomål/A 30060-2019 FSC-klagomål.docx", "A 30060-2019")</f>
        <v/>
      </c>
      <c r="W306">
        <f>HYPERLINK("https://klasma.github.io/Logging_0583/klagomålsmail/A 30060-2019 FSC-klagomål mail.docx", "A 30060-2019")</f>
        <v/>
      </c>
      <c r="X306">
        <f>HYPERLINK("https://klasma.github.io/Logging_0583/tillsyn/A 30060-2019 tillsynsbegäran.docx", "A 30060-2019")</f>
        <v/>
      </c>
      <c r="Y306">
        <f>HYPERLINK("https://klasma.github.io/Logging_0583/tillsynsmail/A 30060-2019 tillsynsbegäran mail.docx", "A 30060-2019")</f>
        <v/>
      </c>
    </row>
    <row r="307" ht="15" customHeight="1">
      <c r="A307" t="inlineStr">
        <is>
          <t>A 30229-2019</t>
        </is>
      </c>
      <c r="B307" s="1" t="n">
        <v>43633</v>
      </c>
      <c r="C307" s="1" t="n">
        <v>45710</v>
      </c>
      <c r="D307" t="inlineStr">
        <is>
          <t>ÖSTERGÖTLANDS LÄN</t>
        </is>
      </c>
      <c r="E307" t="inlineStr">
        <is>
          <t>FINSPÅNG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HYPERLINK("https://klasma.github.io/Logging_0562/artfynd/A 30229-2019 artfynd.xlsx", "A 30229-2019")</f>
        <v/>
      </c>
      <c r="T307">
        <f>HYPERLINK("https://klasma.github.io/Logging_0562/kartor/A 30229-2019 karta.png", "A 30229-2019")</f>
        <v/>
      </c>
      <c r="V307">
        <f>HYPERLINK("https://klasma.github.io/Logging_0562/klagomål/A 30229-2019 FSC-klagomål.docx", "A 30229-2019")</f>
        <v/>
      </c>
      <c r="W307">
        <f>HYPERLINK("https://klasma.github.io/Logging_0562/klagomålsmail/A 30229-2019 FSC-klagomål mail.docx", "A 30229-2019")</f>
        <v/>
      </c>
      <c r="X307">
        <f>HYPERLINK("https://klasma.github.io/Logging_0562/tillsyn/A 30229-2019 tillsynsbegäran.docx", "A 30229-2019")</f>
        <v/>
      </c>
      <c r="Y307">
        <f>HYPERLINK("https://klasma.github.io/Logging_0562/tillsynsmail/A 30229-2019 tillsynsbegäran mail.docx", "A 30229-2019")</f>
        <v/>
      </c>
    </row>
    <row r="308" ht="15" customHeight="1">
      <c r="A308" t="inlineStr">
        <is>
          <t>A 30987-2019</t>
        </is>
      </c>
      <c r="B308" s="1" t="n">
        <v>43640</v>
      </c>
      <c r="C308" s="1" t="n">
        <v>45710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HYPERLINK("https://klasma.github.io/Logging_0581/artfynd/A 30987-2019 artfynd.xlsx", "A 30987-2019")</f>
        <v/>
      </c>
      <c r="T308">
        <f>HYPERLINK("https://klasma.github.io/Logging_0581/kartor/A 30987-2019 karta.png", "A 30987-2019")</f>
        <v/>
      </c>
      <c r="V308">
        <f>HYPERLINK("https://klasma.github.io/Logging_0581/klagomål/A 30987-2019 FSC-klagomål.docx", "A 30987-2019")</f>
        <v/>
      </c>
      <c r="W308">
        <f>HYPERLINK("https://klasma.github.io/Logging_0581/klagomålsmail/A 30987-2019 FSC-klagomål mail.docx", "A 30987-2019")</f>
        <v/>
      </c>
      <c r="X308">
        <f>HYPERLINK("https://klasma.github.io/Logging_0581/tillsyn/A 30987-2019 tillsynsbegäran.docx", "A 30987-2019")</f>
        <v/>
      </c>
      <c r="Y308">
        <f>HYPERLINK("https://klasma.github.io/Logging_0581/tillsynsmail/A 30987-2019 tillsynsbegäran mail.docx", "A 30987-2019")</f>
        <v/>
      </c>
    </row>
    <row r="309" ht="15" customHeight="1">
      <c r="A309" t="inlineStr">
        <is>
          <t>A 32282-2019</t>
        </is>
      </c>
      <c r="B309" s="1" t="n">
        <v>43644</v>
      </c>
      <c r="C309" s="1" t="n">
        <v>45710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Flagellkvastmossa</t>
        </is>
      </c>
      <c r="S309">
        <f>HYPERLINK("https://klasma.github.io/Logging_0561/artfynd/A 32282-2019 artfynd.xlsx", "A 32282-2019")</f>
        <v/>
      </c>
      <c r="T309">
        <f>HYPERLINK("https://klasma.github.io/Logging_0561/kartor/A 32282-2019 karta.png", "A 32282-2019")</f>
        <v/>
      </c>
      <c r="V309">
        <f>HYPERLINK("https://klasma.github.io/Logging_0561/klagomål/A 32282-2019 FSC-klagomål.docx", "A 32282-2019")</f>
        <v/>
      </c>
      <c r="W309">
        <f>HYPERLINK("https://klasma.github.io/Logging_0561/klagomålsmail/A 32282-2019 FSC-klagomål mail.docx", "A 32282-2019")</f>
        <v/>
      </c>
      <c r="X309">
        <f>HYPERLINK("https://klasma.github.io/Logging_0561/tillsyn/A 32282-2019 tillsynsbegäran.docx", "A 32282-2019")</f>
        <v/>
      </c>
      <c r="Y309">
        <f>HYPERLINK("https://klasma.github.io/Logging_0561/tillsynsmail/A 32282-2019 tillsynsbegäran mail.docx", "A 32282-2019")</f>
        <v/>
      </c>
    </row>
    <row r="310" ht="15" customHeight="1">
      <c r="A310" t="inlineStr">
        <is>
          <t>A 34632-2019</t>
        </is>
      </c>
      <c r="B310" s="1" t="n">
        <v>43657</v>
      </c>
      <c r="C310" s="1" t="n">
        <v>45710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1.3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Mattlummer</t>
        </is>
      </c>
      <c r="S310">
        <f>HYPERLINK("https://klasma.github.io/Logging_0562/artfynd/A 34632-2019 artfynd.xlsx", "A 34632-2019")</f>
        <v/>
      </c>
      <c r="T310">
        <f>HYPERLINK("https://klasma.github.io/Logging_0562/kartor/A 34632-2019 karta.png", "A 34632-2019")</f>
        <v/>
      </c>
      <c r="V310">
        <f>HYPERLINK("https://klasma.github.io/Logging_0562/klagomål/A 34632-2019 FSC-klagomål.docx", "A 34632-2019")</f>
        <v/>
      </c>
      <c r="W310">
        <f>HYPERLINK("https://klasma.github.io/Logging_0562/klagomålsmail/A 34632-2019 FSC-klagomål mail.docx", "A 34632-2019")</f>
        <v/>
      </c>
      <c r="X310">
        <f>HYPERLINK("https://klasma.github.io/Logging_0562/tillsyn/A 34632-2019 tillsynsbegäran.docx", "A 34632-2019")</f>
        <v/>
      </c>
      <c r="Y310">
        <f>HYPERLINK("https://klasma.github.io/Logging_0562/tillsynsmail/A 34632-2019 tillsynsbegäran mail.docx", "A 34632-2019")</f>
        <v/>
      </c>
    </row>
    <row r="311" ht="15" customHeight="1">
      <c r="A311" t="inlineStr">
        <is>
          <t>A 35863-2019</t>
        </is>
      </c>
      <c r="B311" s="1" t="n">
        <v>43665</v>
      </c>
      <c r="C311" s="1" t="n">
        <v>45710</v>
      </c>
      <c r="D311" t="inlineStr">
        <is>
          <t>ÖSTERGÖTLANDS LÄN</t>
        </is>
      </c>
      <c r="E311" t="inlineStr">
        <is>
          <t>YDRE</t>
        </is>
      </c>
      <c r="G311" t="n">
        <v>10.3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HYPERLINK("https://klasma.github.io/Logging_0512/artfynd/A 35863-2019 artfynd.xlsx", "A 35863-2019")</f>
        <v/>
      </c>
      <c r="T311">
        <f>HYPERLINK("https://klasma.github.io/Logging_0512/kartor/A 35863-2019 karta.png", "A 35863-2019")</f>
        <v/>
      </c>
      <c r="U311">
        <f>HYPERLINK("https://klasma.github.io/Logging_0512/knärot/A 35863-2019 karta knärot.png", "A 35863-2019")</f>
        <v/>
      </c>
      <c r="V311">
        <f>HYPERLINK("https://klasma.github.io/Logging_0512/klagomål/A 35863-2019 FSC-klagomål.docx", "A 35863-2019")</f>
        <v/>
      </c>
      <c r="W311">
        <f>HYPERLINK("https://klasma.github.io/Logging_0512/klagomålsmail/A 35863-2019 FSC-klagomål mail.docx", "A 35863-2019")</f>
        <v/>
      </c>
      <c r="X311">
        <f>HYPERLINK("https://klasma.github.io/Logging_0512/tillsyn/A 35863-2019 tillsynsbegäran.docx", "A 35863-2019")</f>
        <v/>
      </c>
      <c r="Y311">
        <f>HYPERLINK("https://klasma.github.io/Logging_0512/tillsynsmail/A 35863-2019 tillsynsbegäran mail.docx", "A 35863-2019")</f>
        <v/>
      </c>
    </row>
    <row r="312" ht="15" customHeight="1">
      <c r="A312" t="inlineStr">
        <is>
          <t>A 43518-2019</t>
        </is>
      </c>
      <c r="B312" s="1" t="n">
        <v>43706</v>
      </c>
      <c r="C312" s="1" t="n">
        <v>45710</v>
      </c>
      <c r="D312" t="inlineStr">
        <is>
          <t>ÖSTERGÖTLANDS LÄN</t>
        </is>
      </c>
      <c r="E312" t="inlineStr">
        <is>
          <t>LINKÖPING</t>
        </is>
      </c>
      <c r="G312" t="n">
        <v>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Rävticka</t>
        </is>
      </c>
      <c r="S312">
        <f>HYPERLINK("https://klasma.github.io/Logging_0580/artfynd/A 43518-2019 artfynd.xlsx", "A 43518-2019")</f>
        <v/>
      </c>
      <c r="T312">
        <f>HYPERLINK("https://klasma.github.io/Logging_0580/kartor/A 43518-2019 karta.png", "A 43518-2019")</f>
        <v/>
      </c>
      <c r="V312">
        <f>HYPERLINK("https://klasma.github.io/Logging_0580/klagomål/A 43518-2019 FSC-klagomål.docx", "A 43518-2019")</f>
        <v/>
      </c>
      <c r="W312">
        <f>HYPERLINK("https://klasma.github.io/Logging_0580/klagomålsmail/A 43518-2019 FSC-klagomål mail.docx", "A 43518-2019")</f>
        <v/>
      </c>
      <c r="X312">
        <f>HYPERLINK("https://klasma.github.io/Logging_0580/tillsyn/A 43518-2019 tillsynsbegäran.docx", "A 43518-2019")</f>
        <v/>
      </c>
      <c r="Y312">
        <f>HYPERLINK("https://klasma.github.io/Logging_0580/tillsynsmail/A 43518-2019 tillsynsbegäran mail.docx", "A 43518-2019")</f>
        <v/>
      </c>
    </row>
    <row r="313" ht="15" customHeight="1">
      <c r="A313" t="inlineStr">
        <is>
          <t>A 44773-2019</t>
        </is>
      </c>
      <c r="B313" s="1" t="n">
        <v>43712</v>
      </c>
      <c r="C313" s="1" t="n">
        <v>45710</v>
      </c>
      <c r="D313" t="inlineStr">
        <is>
          <t>ÖSTERGÖTLANDS LÄN</t>
        </is>
      </c>
      <c r="E313" t="inlineStr">
        <is>
          <t>LINKÖPING</t>
        </is>
      </c>
      <c r="G313" t="n">
        <v>0.7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Törnskata</t>
        </is>
      </c>
      <c r="S313">
        <f>HYPERLINK("https://klasma.github.io/Logging_0580/artfynd/A 44773-2019 artfynd.xlsx", "A 44773-2019")</f>
        <v/>
      </c>
      <c r="T313">
        <f>HYPERLINK("https://klasma.github.io/Logging_0580/kartor/A 44773-2019 karta.png", "A 44773-2019")</f>
        <v/>
      </c>
      <c r="V313">
        <f>HYPERLINK("https://klasma.github.io/Logging_0580/klagomål/A 44773-2019 FSC-klagomål.docx", "A 44773-2019")</f>
        <v/>
      </c>
      <c r="W313">
        <f>HYPERLINK("https://klasma.github.io/Logging_0580/klagomålsmail/A 44773-2019 FSC-klagomål mail.docx", "A 44773-2019")</f>
        <v/>
      </c>
      <c r="X313">
        <f>HYPERLINK("https://klasma.github.io/Logging_0580/tillsyn/A 44773-2019 tillsynsbegäran.docx", "A 44773-2019")</f>
        <v/>
      </c>
      <c r="Y313">
        <f>HYPERLINK("https://klasma.github.io/Logging_0580/tillsynsmail/A 44773-2019 tillsynsbegäran mail.docx", "A 44773-2019")</f>
        <v/>
      </c>
      <c r="Z313">
        <f>HYPERLINK("https://klasma.github.io/Logging_0580/fåglar/A 44773-2019 prioriterade fågelarter.docx", "A 44773-2019")</f>
        <v/>
      </c>
    </row>
    <row r="314" ht="15" customHeight="1">
      <c r="A314" t="inlineStr">
        <is>
          <t>A 46755-2019</t>
        </is>
      </c>
      <c r="B314" s="1" t="n">
        <v>43720</v>
      </c>
      <c r="C314" s="1" t="n">
        <v>45710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Kommuner</t>
        </is>
      </c>
      <c r="G314" t="n">
        <v>2.7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Näktergal</t>
        </is>
      </c>
      <c r="S314">
        <f>HYPERLINK("https://klasma.github.io/Logging_0581/artfynd/A 46755-2019 artfynd.xlsx", "A 46755-2019")</f>
        <v/>
      </c>
      <c r="T314">
        <f>HYPERLINK("https://klasma.github.io/Logging_0581/kartor/A 46755-2019 karta.png", "A 46755-2019")</f>
        <v/>
      </c>
      <c r="V314">
        <f>HYPERLINK("https://klasma.github.io/Logging_0581/klagomål/A 46755-2019 FSC-klagomål.docx", "A 46755-2019")</f>
        <v/>
      </c>
      <c r="W314">
        <f>HYPERLINK("https://klasma.github.io/Logging_0581/klagomålsmail/A 46755-2019 FSC-klagomål mail.docx", "A 46755-2019")</f>
        <v/>
      </c>
      <c r="X314">
        <f>HYPERLINK("https://klasma.github.io/Logging_0581/tillsyn/A 46755-2019 tillsynsbegäran.docx", "A 46755-2019")</f>
        <v/>
      </c>
      <c r="Y314">
        <f>HYPERLINK("https://klasma.github.io/Logging_0581/tillsynsmail/A 46755-2019 tillsynsbegäran mail.docx", "A 46755-2019")</f>
        <v/>
      </c>
      <c r="Z314">
        <f>HYPERLINK("https://klasma.github.io/Logging_0581/fåglar/A 46755-2019 prioriterade fågelarter.docx", "A 46755-2019")</f>
        <v/>
      </c>
    </row>
    <row r="315" ht="15" customHeight="1">
      <c r="A315" t="inlineStr">
        <is>
          <t>A 49148-2019</t>
        </is>
      </c>
      <c r="B315" s="1" t="n">
        <v>43731</v>
      </c>
      <c r="C315" s="1" t="n">
        <v>45710</v>
      </c>
      <c r="D315" t="inlineStr">
        <is>
          <t>ÖSTERGÖTLANDS LÄN</t>
        </is>
      </c>
      <c r="E315" t="inlineStr">
        <is>
          <t>LINKÖPING</t>
        </is>
      </c>
      <c r="G315" t="n">
        <v>11.6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Tallticka</t>
        </is>
      </c>
      <c r="S315">
        <f>HYPERLINK("https://klasma.github.io/Logging_0580/artfynd/A 49148-2019 artfynd.xlsx", "A 49148-2019")</f>
        <v/>
      </c>
      <c r="T315">
        <f>HYPERLINK("https://klasma.github.io/Logging_0580/kartor/A 49148-2019 karta.png", "A 49148-2019")</f>
        <v/>
      </c>
      <c r="V315">
        <f>HYPERLINK("https://klasma.github.io/Logging_0580/klagomål/A 49148-2019 FSC-klagomål.docx", "A 49148-2019")</f>
        <v/>
      </c>
      <c r="W315">
        <f>HYPERLINK("https://klasma.github.io/Logging_0580/klagomålsmail/A 49148-2019 FSC-klagomål mail.docx", "A 49148-2019")</f>
        <v/>
      </c>
      <c r="X315">
        <f>HYPERLINK("https://klasma.github.io/Logging_0580/tillsyn/A 49148-2019 tillsynsbegäran.docx", "A 49148-2019")</f>
        <v/>
      </c>
      <c r="Y315">
        <f>HYPERLINK("https://klasma.github.io/Logging_0580/tillsynsmail/A 49148-2019 tillsynsbegäran mail.docx", "A 49148-2019")</f>
        <v/>
      </c>
    </row>
    <row r="316" ht="15" customHeight="1">
      <c r="A316" t="inlineStr">
        <is>
          <t>A 49427-2019</t>
        </is>
      </c>
      <c r="B316" s="1" t="n">
        <v>43732</v>
      </c>
      <c r="C316" s="1" t="n">
        <v>45710</v>
      </c>
      <c r="D316" t="inlineStr">
        <is>
          <t>ÖSTERGÖTLANDS LÄN</t>
        </is>
      </c>
      <c r="E316" t="inlineStr">
        <is>
          <t>MJÖLBY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HYPERLINK("https://klasma.github.io/Logging_0586/artfynd/A 49427-2019 artfynd.xlsx", "A 49427-2019")</f>
        <v/>
      </c>
      <c r="T316">
        <f>HYPERLINK("https://klasma.github.io/Logging_0586/kartor/A 49427-2019 karta.png", "A 49427-2019")</f>
        <v/>
      </c>
      <c r="V316">
        <f>HYPERLINK("https://klasma.github.io/Logging_0586/klagomål/A 49427-2019 FSC-klagomål.docx", "A 49427-2019")</f>
        <v/>
      </c>
      <c r="W316">
        <f>HYPERLINK("https://klasma.github.io/Logging_0586/klagomålsmail/A 49427-2019 FSC-klagomål mail.docx", "A 49427-2019")</f>
        <v/>
      </c>
      <c r="X316">
        <f>HYPERLINK("https://klasma.github.io/Logging_0586/tillsyn/A 49427-2019 tillsynsbegäran.docx", "A 49427-2019")</f>
        <v/>
      </c>
      <c r="Y316">
        <f>HYPERLINK("https://klasma.github.io/Logging_0586/tillsynsmail/A 49427-2019 tillsynsbegäran mail.docx", "A 49427-2019")</f>
        <v/>
      </c>
    </row>
    <row r="317" ht="15" customHeight="1">
      <c r="A317" t="inlineStr">
        <is>
          <t>A 49510-2019</t>
        </is>
      </c>
      <c r="B317" s="1" t="n">
        <v>43732</v>
      </c>
      <c r="C317" s="1" t="n">
        <v>45710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Skogsklocka</t>
        </is>
      </c>
      <c r="S317">
        <f>HYPERLINK("https://klasma.github.io/Logging_0560/artfynd/A 49510-2019 artfynd.xlsx", "A 49510-2019")</f>
        <v/>
      </c>
      <c r="T317">
        <f>HYPERLINK("https://klasma.github.io/Logging_0560/kartor/A 49510-2019 karta.png", "A 49510-2019")</f>
        <v/>
      </c>
      <c r="V317">
        <f>HYPERLINK("https://klasma.github.io/Logging_0560/klagomål/A 49510-2019 FSC-klagomål.docx", "A 49510-2019")</f>
        <v/>
      </c>
      <c r="W317">
        <f>HYPERLINK("https://klasma.github.io/Logging_0560/klagomålsmail/A 49510-2019 FSC-klagomål mail.docx", "A 49510-2019")</f>
        <v/>
      </c>
      <c r="X317">
        <f>HYPERLINK("https://klasma.github.io/Logging_0560/tillsyn/A 49510-2019 tillsynsbegäran.docx", "A 49510-2019")</f>
        <v/>
      </c>
      <c r="Y317">
        <f>HYPERLINK("https://klasma.github.io/Logging_0560/tillsynsmail/A 49510-2019 tillsynsbegäran mail.docx", "A 49510-2019")</f>
        <v/>
      </c>
    </row>
    <row r="318" ht="15" customHeight="1">
      <c r="A318" t="inlineStr">
        <is>
          <t>A 49556-2019</t>
        </is>
      </c>
      <c r="B318" s="1" t="n">
        <v>43732</v>
      </c>
      <c r="C318" s="1" t="n">
        <v>45710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Bronshjon</t>
        </is>
      </c>
      <c r="S318">
        <f>HYPERLINK("https://klasma.github.io/Logging_0580/artfynd/A 49556-2019 artfynd.xlsx", "A 49556-2019")</f>
        <v/>
      </c>
      <c r="T318">
        <f>HYPERLINK("https://klasma.github.io/Logging_0580/kartor/A 49556-2019 karta.png", "A 49556-2019")</f>
        <v/>
      </c>
      <c r="V318">
        <f>HYPERLINK("https://klasma.github.io/Logging_0580/klagomål/A 49556-2019 FSC-klagomål.docx", "A 49556-2019")</f>
        <v/>
      </c>
      <c r="W318">
        <f>HYPERLINK("https://klasma.github.io/Logging_0580/klagomålsmail/A 49556-2019 FSC-klagomål mail.docx", "A 49556-2019")</f>
        <v/>
      </c>
      <c r="X318">
        <f>HYPERLINK("https://klasma.github.io/Logging_0580/tillsyn/A 49556-2019 tillsynsbegäran.docx", "A 49556-2019")</f>
        <v/>
      </c>
      <c r="Y318">
        <f>HYPERLINK("https://klasma.github.io/Logging_0580/tillsynsmail/A 49556-2019 tillsynsbegäran mail.docx", "A 49556-2019")</f>
        <v/>
      </c>
    </row>
    <row r="319" ht="15" customHeight="1">
      <c r="A319" t="inlineStr">
        <is>
          <t>A 49494-2019</t>
        </is>
      </c>
      <c r="B319" s="1" t="n">
        <v>43732</v>
      </c>
      <c r="C319" s="1" t="n">
        <v>45710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HYPERLINK("https://klasma.github.io/Logging_0562/artfynd/A 49494-2019 artfynd.xlsx", "A 49494-2019")</f>
        <v/>
      </c>
      <c r="T319">
        <f>HYPERLINK("https://klasma.github.io/Logging_0562/kartor/A 49494-2019 karta.png", "A 49494-2019")</f>
        <v/>
      </c>
      <c r="V319">
        <f>HYPERLINK("https://klasma.github.io/Logging_0562/klagomål/A 49494-2019 FSC-klagomål.docx", "A 49494-2019")</f>
        <v/>
      </c>
      <c r="W319">
        <f>HYPERLINK("https://klasma.github.io/Logging_0562/klagomålsmail/A 49494-2019 FSC-klagomål mail.docx", "A 49494-2019")</f>
        <v/>
      </c>
      <c r="X319">
        <f>HYPERLINK("https://klasma.github.io/Logging_0562/tillsyn/A 49494-2019 tillsynsbegäran.docx", "A 49494-2019")</f>
        <v/>
      </c>
      <c r="Y319">
        <f>HYPERLINK("https://klasma.github.io/Logging_0562/tillsynsmail/A 49494-2019 tillsynsbegäran mail.docx", "A 49494-2019")</f>
        <v/>
      </c>
    </row>
    <row r="320" ht="15" customHeight="1">
      <c r="A320" t="inlineStr">
        <is>
          <t>A 54164-2019</t>
        </is>
      </c>
      <c r="B320" s="1" t="n">
        <v>43752</v>
      </c>
      <c r="C320" s="1" t="n">
        <v>45710</v>
      </c>
      <c r="D320" t="inlineStr">
        <is>
          <t>ÖSTERGÖTLANDS LÄN</t>
        </is>
      </c>
      <c r="E320" t="inlineStr">
        <is>
          <t>LINKÖPING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HYPERLINK("https://klasma.github.io/Logging_0580/artfynd/A 54164-2019 artfynd.xlsx", "A 54164-2019")</f>
        <v/>
      </c>
      <c r="T320">
        <f>HYPERLINK("https://klasma.github.io/Logging_0580/kartor/A 54164-2019 karta.png", "A 54164-2019")</f>
        <v/>
      </c>
      <c r="V320">
        <f>HYPERLINK("https://klasma.github.io/Logging_0580/klagomål/A 54164-2019 FSC-klagomål.docx", "A 54164-2019")</f>
        <v/>
      </c>
      <c r="W320">
        <f>HYPERLINK("https://klasma.github.io/Logging_0580/klagomålsmail/A 54164-2019 FSC-klagomål mail.docx", "A 54164-2019")</f>
        <v/>
      </c>
      <c r="X320">
        <f>HYPERLINK("https://klasma.github.io/Logging_0580/tillsyn/A 54164-2019 tillsynsbegäran.docx", "A 54164-2019")</f>
        <v/>
      </c>
      <c r="Y320">
        <f>HYPERLINK("https://klasma.github.io/Logging_0580/tillsynsmail/A 54164-2019 tillsynsbegäran mail.docx", "A 54164-2019")</f>
        <v/>
      </c>
    </row>
    <row r="321" ht="15" customHeight="1">
      <c r="A321" t="inlineStr">
        <is>
          <t>A 55658-2019</t>
        </is>
      </c>
      <c r="B321" s="1" t="n">
        <v>43760</v>
      </c>
      <c r="C321" s="1" t="n">
        <v>45710</v>
      </c>
      <c r="D321" t="inlineStr">
        <is>
          <t>ÖSTERGÖTLANDS LÄN</t>
        </is>
      </c>
      <c r="E321" t="inlineStr">
        <is>
          <t>FINSPÅNG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Raggbock</t>
        </is>
      </c>
      <c r="S321">
        <f>HYPERLINK("https://klasma.github.io/Logging_0562/artfynd/A 55658-2019 artfynd.xlsx", "A 55658-2019")</f>
        <v/>
      </c>
      <c r="T321">
        <f>HYPERLINK("https://klasma.github.io/Logging_0562/kartor/A 55658-2019 karta.png", "A 55658-2019")</f>
        <v/>
      </c>
      <c r="V321">
        <f>HYPERLINK("https://klasma.github.io/Logging_0562/klagomål/A 55658-2019 FSC-klagomål.docx", "A 55658-2019")</f>
        <v/>
      </c>
      <c r="W321">
        <f>HYPERLINK("https://klasma.github.io/Logging_0562/klagomålsmail/A 55658-2019 FSC-klagomål mail.docx", "A 55658-2019")</f>
        <v/>
      </c>
      <c r="X321">
        <f>HYPERLINK("https://klasma.github.io/Logging_0562/tillsyn/A 55658-2019 tillsynsbegäran.docx", "A 55658-2019")</f>
        <v/>
      </c>
      <c r="Y321">
        <f>HYPERLINK("https://klasma.github.io/Logging_0562/tillsynsmail/A 55658-2019 tillsynsbegäran mail.docx", "A 55658-2019")</f>
        <v/>
      </c>
    </row>
    <row r="322" ht="15" customHeight="1">
      <c r="A322" t="inlineStr">
        <is>
          <t>A 61702-2019</t>
        </is>
      </c>
      <c r="B322" s="1" t="n">
        <v>43784</v>
      </c>
      <c r="C322" s="1" t="n">
        <v>45710</v>
      </c>
      <c r="D322" t="inlineStr">
        <is>
          <t>ÖSTERGÖTLANDS LÄN</t>
        </is>
      </c>
      <c r="E322" t="inlineStr">
        <is>
          <t>LINKÖPING</t>
        </is>
      </c>
      <c r="G322" t="n">
        <v>15.2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Kandelabersvamp</t>
        </is>
      </c>
      <c r="S322">
        <f>HYPERLINK("https://klasma.github.io/Logging_0580/artfynd/A 61702-2019 artfynd.xlsx", "A 61702-2019")</f>
        <v/>
      </c>
      <c r="T322">
        <f>HYPERLINK("https://klasma.github.io/Logging_0580/kartor/A 61702-2019 karta.png", "A 61702-2019")</f>
        <v/>
      </c>
      <c r="V322">
        <f>HYPERLINK("https://klasma.github.io/Logging_0580/klagomål/A 61702-2019 FSC-klagomål.docx", "A 61702-2019")</f>
        <v/>
      </c>
      <c r="W322">
        <f>HYPERLINK("https://klasma.github.io/Logging_0580/klagomålsmail/A 61702-2019 FSC-klagomål mail.docx", "A 61702-2019")</f>
        <v/>
      </c>
      <c r="X322">
        <f>HYPERLINK("https://klasma.github.io/Logging_0580/tillsyn/A 61702-2019 tillsynsbegäran.docx", "A 61702-2019")</f>
        <v/>
      </c>
      <c r="Y322">
        <f>HYPERLINK("https://klasma.github.io/Logging_0580/tillsynsmail/A 61702-2019 tillsynsbegäran mail.docx", "A 61702-2019")</f>
        <v/>
      </c>
    </row>
    <row r="323" ht="15" customHeight="1">
      <c r="A323" t="inlineStr">
        <is>
          <t>A 66093-2019</t>
        </is>
      </c>
      <c r="B323" s="1" t="n">
        <v>43807</v>
      </c>
      <c r="C323" s="1" t="n">
        <v>45710</v>
      </c>
      <c r="D323" t="inlineStr">
        <is>
          <t>ÖSTERGÖTLANDS LÄN</t>
        </is>
      </c>
      <c r="E323" t="inlineStr">
        <is>
          <t>KINDA</t>
        </is>
      </c>
      <c r="G323" t="n">
        <v>3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Grönpyrola</t>
        </is>
      </c>
      <c r="S323">
        <f>HYPERLINK("https://klasma.github.io/Logging_0513/artfynd/A 66093-2019 artfynd.xlsx", "A 66093-2019")</f>
        <v/>
      </c>
      <c r="T323">
        <f>HYPERLINK("https://klasma.github.io/Logging_0513/kartor/A 66093-2019 karta.png", "A 66093-2019")</f>
        <v/>
      </c>
      <c r="V323">
        <f>HYPERLINK("https://klasma.github.io/Logging_0513/klagomål/A 66093-2019 FSC-klagomål.docx", "A 66093-2019")</f>
        <v/>
      </c>
      <c r="W323">
        <f>HYPERLINK("https://klasma.github.io/Logging_0513/klagomålsmail/A 66093-2019 FSC-klagomål mail.docx", "A 66093-2019")</f>
        <v/>
      </c>
      <c r="X323">
        <f>HYPERLINK("https://klasma.github.io/Logging_0513/tillsyn/A 66093-2019 tillsynsbegäran.docx", "A 66093-2019")</f>
        <v/>
      </c>
      <c r="Y323">
        <f>HYPERLINK("https://klasma.github.io/Logging_0513/tillsynsmail/A 66093-2019 tillsynsbegäran mail.docx", "A 66093-2019")</f>
        <v/>
      </c>
    </row>
    <row r="324" ht="15" customHeight="1">
      <c r="A324" t="inlineStr">
        <is>
          <t>A 67658-2019</t>
        </is>
      </c>
      <c r="B324" s="1" t="n">
        <v>43809</v>
      </c>
      <c r="C324" s="1" t="n">
        <v>45710</v>
      </c>
      <c r="D324" t="inlineStr">
        <is>
          <t>ÖSTERGÖTLANDS LÄN</t>
        </is>
      </c>
      <c r="E324" t="inlineStr">
        <is>
          <t>KINDA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HYPERLINK("https://klasma.github.io/Logging_0513/artfynd/A 67658-2019 artfynd.xlsx", "A 67658-2019")</f>
        <v/>
      </c>
      <c r="T324">
        <f>HYPERLINK("https://klasma.github.io/Logging_0513/kartor/A 67658-2019 karta.png", "A 67658-2019")</f>
        <v/>
      </c>
      <c r="V324">
        <f>HYPERLINK("https://klasma.github.io/Logging_0513/klagomål/A 67658-2019 FSC-klagomål.docx", "A 67658-2019")</f>
        <v/>
      </c>
      <c r="W324">
        <f>HYPERLINK("https://klasma.github.io/Logging_0513/klagomålsmail/A 67658-2019 FSC-klagomål mail.docx", "A 67658-2019")</f>
        <v/>
      </c>
      <c r="X324">
        <f>HYPERLINK("https://klasma.github.io/Logging_0513/tillsyn/A 67658-2019 tillsynsbegäran.docx", "A 67658-2019")</f>
        <v/>
      </c>
      <c r="Y324">
        <f>HYPERLINK("https://klasma.github.io/Logging_0513/tillsynsmail/A 67658-2019 tillsynsbegäran mail.docx", "A 67658-2019")</f>
        <v/>
      </c>
    </row>
    <row r="325" ht="15" customHeight="1">
      <c r="A325" t="inlineStr">
        <is>
          <t>A 2350-2020</t>
        </is>
      </c>
      <c r="B325" s="1" t="n">
        <v>43846</v>
      </c>
      <c r="C325" s="1" t="n">
        <v>45710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5.7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Ullticka</t>
        </is>
      </c>
      <c r="S325">
        <f>HYPERLINK("https://klasma.github.io/Logging_0562/artfynd/A 2350-2020 artfynd.xlsx", "A 2350-2020")</f>
        <v/>
      </c>
      <c r="T325">
        <f>HYPERLINK("https://klasma.github.io/Logging_0562/kartor/A 2350-2020 karta.png", "A 2350-2020")</f>
        <v/>
      </c>
      <c r="V325">
        <f>HYPERLINK("https://klasma.github.io/Logging_0562/klagomål/A 2350-2020 FSC-klagomål.docx", "A 2350-2020")</f>
        <v/>
      </c>
      <c r="W325">
        <f>HYPERLINK("https://klasma.github.io/Logging_0562/klagomålsmail/A 2350-2020 FSC-klagomål mail.docx", "A 2350-2020")</f>
        <v/>
      </c>
      <c r="X325">
        <f>HYPERLINK("https://klasma.github.io/Logging_0562/tillsyn/A 2350-2020 tillsynsbegäran.docx", "A 2350-2020")</f>
        <v/>
      </c>
      <c r="Y325">
        <f>HYPERLINK("https://klasma.github.io/Logging_0562/tillsynsmail/A 2350-2020 tillsynsbegäran mail.docx", "A 2350-2020")</f>
        <v/>
      </c>
    </row>
    <row r="326" ht="15" customHeight="1">
      <c r="A326" t="inlineStr">
        <is>
          <t>A 3021-2020</t>
        </is>
      </c>
      <c r="B326" s="1" t="n">
        <v>43851</v>
      </c>
      <c r="C326" s="1" t="n">
        <v>45710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Skogsklocka</t>
        </is>
      </c>
      <c r="S326">
        <f>HYPERLINK("https://klasma.github.io/Logging_0562/artfynd/A 3021-2020 artfynd.xlsx", "A 3021-2020")</f>
        <v/>
      </c>
      <c r="T326">
        <f>HYPERLINK("https://klasma.github.io/Logging_0562/kartor/A 3021-2020 karta.png", "A 3021-2020")</f>
        <v/>
      </c>
      <c r="V326">
        <f>HYPERLINK("https://klasma.github.io/Logging_0562/klagomål/A 3021-2020 FSC-klagomål.docx", "A 3021-2020")</f>
        <v/>
      </c>
      <c r="W326">
        <f>HYPERLINK("https://klasma.github.io/Logging_0562/klagomålsmail/A 3021-2020 FSC-klagomål mail.docx", "A 3021-2020")</f>
        <v/>
      </c>
      <c r="X326">
        <f>HYPERLINK("https://klasma.github.io/Logging_0562/tillsyn/A 3021-2020 tillsynsbegäran.docx", "A 3021-2020")</f>
        <v/>
      </c>
      <c r="Y326">
        <f>HYPERLINK("https://klasma.github.io/Logging_0562/tillsynsmail/A 3021-2020 tillsynsbegäran mail.docx", "A 3021-2020")</f>
        <v/>
      </c>
    </row>
    <row r="327" ht="15" customHeight="1">
      <c r="A327" t="inlineStr">
        <is>
          <t>A 7241-2020</t>
        </is>
      </c>
      <c r="B327" s="1" t="n">
        <v>43871</v>
      </c>
      <c r="C327" s="1" t="n">
        <v>45710</v>
      </c>
      <c r="D327" t="inlineStr">
        <is>
          <t>ÖSTERGÖTLANDS LÄN</t>
        </is>
      </c>
      <c r="E327" t="inlineStr">
        <is>
          <t>ÅTVIDABERG</t>
        </is>
      </c>
      <c r="G327" t="n">
        <v>3.8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Skogsknipprot</t>
        </is>
      </c>
      <c r="S327">
        <f>HYPERLINK("https://klasma.github.io/Logging_0561/artfynd/A 7241-2020 artfynd.xlsx", "A 7241-2020")</f>
        <v/>
      </c>
      <c r="T327">
        <f>HYPERLINK("https://klasma.github.io/Logging_0561/kartor/A 7241-2020 karta.png", "A 7241-2020")</f>
        <v/>
      </c>
      <c r="V327">
        <f>HYPERLINK("https://klasma.github.io/Logging_0561/klagomål/A 7241-2020 FSC-klagomål.docx", "A 7241-2020")</f>
        <v/>
      </c>
      <c r="W327">
        <f>HYPERLINK("https://klasma.github.io/Logging_0561/klagomålsmail/A 7241-2020 FSC-klagomål mail.docx", "A 7241-2020")</f>
        <v/>
      </c>
      <c r="X327">
        <f>HYPERLINK("https://klasma.github.io/Logging_0561/tillsyn/A 7241-2020 tillsynsbegäran.docx", "A 7241-2020")</f>
        <v/>
      </c>
      <c r="Y327">
        <f>HYPERLINK("https://klasma.github.io/Logging_0561/tillsynsmail/A 7241-2020 tillsynsbegäran mail.docx", "A 7241-2020")</f>
        <v/>
      </c>
    </row>
    <row r="328" ht="15" customHeight="1">
      <c r="A328" t="inlineStr">
        <is>
          <t>A 7268-2020</t>
        </is>
      </c>
      <c r="B328" s="1" t="n">
        <v>43871</v>
      </c>
      <c r="C328" s="1" t="n">
        <v>45710</v>
      </c>
      <c r="D328" t="inlineStr">
        <is>
          <t>ÖSTERGÖTLANDS LÄN</t>
        </is>
      </c>
      <c r="E328" t="inlineStr">
        <is>
          <t>VADSTENA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Bohuslind</t>
        </is>
      </c>
      <c r="S328">
        <f>HYPERLINK("https://klasma.github.io/Logging_0584/artfynd/A 7268-2020 artfynd.xlsx", "A 7268-2020")</f>
        <v/>
      </c>
      <c r="T328">
        <f>HYPERLINK("https://klasma.github.io/Logging_0584/kartor/A 7268-2020 karta.png", "A 7268-2020")</f>
        <v/>
      </c>
      <c r="V328">
        <f>HYPERLINK("https://klasma.github.io/Logging_0584/klagomål/A 7268-2020 FSC-klagomål.docx", "A 7268-2020")</f>
        <v/>
      </c>
      <c r="W328">
        <f>HYPERLINK("https://klasma.github.io/Logging_0584/klagomålsmail/A 7268-2020 FSC-klagomål mail.docx", "A 7268-2020")</f>
        <v/>
      </c>
      <c r="X328">
        <f>HYPERLINK("https://klasma.github.io/Logging_0584/tillsyn/A 7268-2020 tillsynsbegäran.docx", "A 7268-2020")</f>
        <v/>
      </c>
      <c r="Y328">
        <f>HYPERLINK("https://klasma.github.io/Logging_0584/tillsynsmail/A 7268-2020 tillsynsbegäran mail.docx", "A 7268-2020")</f>
        <v/>
      </c>
    </row>
    <row r="329" ht="15" customHeight="1">
      <c r="A329" t="inlineStr">
        <is>
          <t>A 9074-2020</t>
        </is>
      </c>
      <c r="B329" s="1" t="n">
        <v>43879</v>
      </c>
      <c r="C329" s="1" t="n">
        <v>45710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3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Svart trolldruva</t>
        </is>
      </c>
      <c r="S329">
        <f>HYPERLINK("https://klasma.github.io/Logging_0513/artfynd/A 9074-2020 artfynd.xlsx", "A 9074-2020")</f>
        <v/>
      </c>
      <c r="T329">
        <f>HYPERLINK("https://klasma.github.io/Logging_0513/kartor/A 9074-2020 karta.png", "A 9074-2020")</f>
        <v/>
      </c>
      <c r="V329">
        <f>HYPERLINK("https://klasma.github.io/Logging_0513/klagomål/A 9074-2020 FSC-klagomål.docx", "A 9074-2020")</f>
        <v/>
      </c>
      <c r="W329">
        <f>HYPERLINK("https://klasma.github.io/Logging_0513/klagomålsmail/A 9074-2020 FSC-klagomål mail.docx", "A 9074-2020")</f>
        <v/>
      </c>
      <c r="X329">
        <f>HYPERLINK("https://klasma.github.io/Logging_0513/tillsyn/A 9074-2020 tillsynsbegäran.docx", "A 9074-2020")</f>
        <v/>
      </c>
      <c r="Y329">
        <f>HYPERLINK("https://klasma.github.io/Logging_0513/tillsynsmail/A 9074-2020 tillsynsbegäran mail.docx", "A 9074-2020")</f>
        <v/>
      </c>
    </row>
    <row r="330" ht="15" customHeight="1">
      <c r="A330" t="inlineStr">
        <is>
          <t>A 9820-2020</t>
        </is>
      </c>
      <c r="B330" s="1" t="n">
        <v>43881</v>
      </c>
      <c r="C330" s="1" t="n">
        <v>45710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24.8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Ekticka</t>
        </is>
      </c>
      <c r="S330">
        <f>HYPERLINK("https://klasma.github.io/Logging_0580/artfynd/A 9820-2020 artfynd.xlsx", "A 9820-2020")</f>
        <v/>
      </c>
      <c r="T330">
        <f>HYPERLINK("https://klasma.github.io/Logging_0580/kartor/A 9820-2020 karta.png", "A 9820-2020")</f>
        <v/>
      </c>
      <c r="V330">
        <f>HYPERLINK("https://klasma.github.io/Logging_0580/klagomål/A 9820-2020 FSC-klagomål.docx", "A 9820-2020")</f>
        <v/>
      </c>
      <c r="W330">
        <f>HYPERLINK("https://klasma.github.io/Logging_0580/klagomålsmail/A 9820-2020 FSC-klagomål mail.docx", "A 9820-2020")</f>
        <v/>
      </c>
      <c r="X330">
        <f>HYPERLINK("https://klasma.github.io/Logging_0580/tillsyn/A 9820-2020 tillsynsbegäran.docx", "A 9820-2020")</f>
        <v/>
      </c>
      <c r="Y330">
        <f>HYPERLINK("https://klasma.github.io/Logging_0580/tillsynsmail/A 9820-2020 tillsynsbegäran mail.docx", "A 9820-2020")</f>
        <v/>
      </c>
    </row>
    <row r="331" ht="15" customHeight="1">
      <c r="A331" t="inlineStr">
        <is>
          <t>A 10926-2020</t>
        </is>
      </c>
      <c r="B331" s="1" t="n">
        <v>43889</v>
      </c>
      <c r="C331" s="1" t="n">
        <v>45710</v>
      </c>
      <c r="D331" t="inlineStr">
        <is>
          <t>ÖSTERGÖTLANDS LÄN</t>
        </is>
      </c>
      <c r="E331" t="inlineStr">
        <is>
          <t>MOTALA</t>
        </is>
      </c>
      <c r="G331" t="n">
        <v>2.4</v>
      </c>
      <c r="H331" t="n">
        <v>1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Buskvicker</t>
        </is>
      </c>
      <c r="S331">
        <f>HYPERLINK("https://klasma.github.io/Logging_0583/artfynd/A 10926-2020 artfynd.xlsx", "A 10926-2020")</f>
        <v/>
      </c>
      <c r="T331">
        <f>HYPERLINK("https://klasma.github.io/Logging_0583/kartor/A 10926-2020 karta.png", "A 10926-2020")</f>
        <v/>
      </c>
      <c r="V331">
        <f>HYPERLINK("https://klasma.github.io/Logging_0583/klagomål/A 10926-2020 FSC-klagomål.docx", "A 10926-2020")</f>
        <v/>
      </c>
      <c r="W331">
        <f>HYPERLINK("https://klasma.github.io/Logging_0583/klagomålsmail/A 10926-2020 FSC-klagomål mail.docx", "A 10926-2020")</f>
        <v/>
      </c>
      <c r="X331">
        <f>HYPERLINK("https://klasma.github.io/Logging_0583/tillsyn/A 10926-2020 tillsynsbegäran.docx", "A 10926-2020")</f>
        <v/>
      </c>
      <c r="Y331">
        <f>HYPERLINK("https://klasma.github.io/Logging_0583/tillsynsmail/A 10926-2020 tillsynsbegäran mail.docx", "A 10926-2020")</f>
        <v/>
      </c>
    </row>
    <row r="332" ht="15" customHeight="1">
      <c r="A332" t="inlineStr">
        <is>
          <t>A 14835-2020</t>
        </is>
      </c>
      <c r="B332" s="1" t="n">
        <v>43909</v>
      </c>
      <c r="C332" s="1" t="n">
        <v>45710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Vedtrappmossa</t>
        </is>
      </c>
      <c r="S332">
        <f>HYPERLINK("https://klasma.github.io/Logging_0562/artfynd/A 14835-2020 artfynd.xlsx", "A 14835-2020")</f>
        <v/>
      </c>
      <c r="T332">
        <f>HYPERLINK("https://klasma.github.io/Logging_0562/kartor/A 14835-2020 karta.png", "A 14835-2020")</f>
        <v/>
      </c>
      <c r="V332">
        <f>HYPERLINK("https://klasma.github.io/Logging_0562/klagomål/A 14835-2020 FSC-klagomål.docx", "A 14835-2020")</f>
        <v/>
      </c>
      <c r="W332">
        <f>HYPERLINK("https://klasma.github.io/Logging_0562/klagomålsmail/A 14835-2020 FSC-klagomål mail.docx", "A 14835-2020")</f>
        <v/>
      </c>
      <c r="X332">
        <f>HYPERLINK("https://klasma.github.io/Logging_0562/tillsyn/A 14835-2020 tillsynsbegäran.docx", "A 14835-2020")</f>
        <v/>
      </c>
      <c r="Y332">
        <f>HYPERLINK("https://klasma.github.io/Logging_0562/tillsynsmail/A 14835-2020 tillsynsbegäran mail.docx", "A 14835-2020")</f>
        <v/>
      </c>
    </row>
    <row r="333" ht="15" customHeight="1">
      <c r="A333" t="inlineStr">
        <is>
          <t>A 14959-2020</t>
        </is>
      </c>
      <c r="B333" s="1" t="n">
        <v>43910</v>
      </c>
      <c r="C333" s="1" t="n">
        <v>45710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Smal guldkornsfibbla</t>
        </is>
      </c>
      <c r="S333">
        <f>HYPERLINK("https://klasma.github.io/Logging_0512/artfynd/A 14959-2020 artfynd.xlsx", "A 14959-2020")</f>
        <v/>
      </c>
      <c r="T333">
        <f>HYPERLINK("https://klasma.github.io/Logging_0512/kartor/A 14959-2020 karta.png", "A 14959-2020")</f>
        <v/>
      </c>
      <c r="V333">
        <f>HYPERLINK("https://klasma.github.io/Logging_0512/klagomål/A 14959-2020 FSC-klagomål.docx", "A 14959-2020")</f>
        <v/>
      </c>
      <c r="W333">
        <f>HYPERLINK("https://klasma.github.io/Logging_0512/klagomålsmail/A 14959-2020 FSC-klagomål mail.docx", "A 14959-2020")</f>
        <v/>
      </c>
      <c r="X333">
        <f>HYPERLINK("https://klasma.github.io/Logging_0512/tillsyn/A 14959-2020 tillsynsbegäran.docx", "A 14959-2020")</f>
        <v/>
      </c>
      <c r="Y333">
        <f>HYPERLINK("https://klasma.github.io/Logging_0512/tillsynsmail/A 14959-2020 tillsynsbegäran mail.docx", "A 14959-2020")</f>
        <v/>
      </c>
    </row>
    <row r="334" ht="15" customHeight="1">
      <c r="A334" t="inlineStr">
        <is>
          <t>A 15742-2020</t>
        </is>
      </c>
      <c r="B334" s="1" t="n">
        <v>43915</v>
      </c>
      <c r="C334" s="1" t="n">
        <v>45710</v>
      </c>
      <c r="D334" t="inlineStr">
        <is>
          <t>ÖSTERGÖTLANDS LÄN</t>
        </is>
      </c>
      <c r="E334" t="inlineStr">
        <is>
          <t>LINKÖPING</t>
        </is>
      </c>
      <c r="G334" t="n">
        <v>1.6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Skogsbräsma</t>
        </is>
      </c>
      <c r="S334">
        <f>HYPERLINK("https://klasma.github.io/Logging_0580/artfynd/A 15742-2020 artfynd.xlsx", "A 15742-2020")</f>
        <v/>
      </c>
      <c r="T334">
        <f>HYPERLINK("https://klasma.github.io/Logging_0580/kartor/A 15742-2020 karta.png", "A 15742-2020")</f>
        <v/>
      </c>
      <c r="V334">
        <f>HYPERLINK("https://klasma.github.io/Logging_0580/klagomål/A 15742-2020 FSC-klagomål.docx", "A 15742-2020")</f>
        <v/>
      </c>
      <c r="W334">
        <f>HYPERLINK("https://klasma.github.io/Logging_0580/klagomålsmail/A 15742-2020 FSC-klagomål mail.docx", "A 15742-2020")</f>
        <v/>
      </c>
      <c r="X334">
        <f>HYPERLINK("https://klasma.github.io/Logging_0580/tillsyn/A 15742-2020 tillsynsbegäran.docx", "A 15742-2020")</f>
        <v/>
      </c>
      <c r="Y334">
        <f>HYPERLINK("https://klasma.github.io/Logging_0580/tillsynsmail/A 15742-2020 tillsynsbegäran mail.docx", "A 15742-2020")</f>
        <v/>
      </c>
    </row>
    <row r="335" ht="15" customHeight="1">
      <c r="A335" t="inlineStr">
        <is>
          <t>A 16730-2020</t>
        </is>
      </c>
      <c r="B335" s="1" t="n">
        <v>43920</v>
      </c>
      <c r="C335" s="1" t="n">
        <v>45710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Skuggmossa</t>
        </is>
      </c>
      <c r="S335">
        <f>HYPERLINK("https://klasma.github.io/Logging_0583/artfynd/A 16730-2020 artfynd.xlsx", "A 16730-2020")</f>
        <v/>
      </c>
      <c r="T335">
        <f>HYPERLINK("https://klasma.github.io/Logging_0583/kartor/A 16730-2020 karta.png", "A 16730-2020")</f>
        <v/>
      </c>
      <c r="V335">
        <f>HYPERLINK("https://klasma.github.io/Logging_0583/klagomål/A 16730-2020 FSC-klagomål.docx", "A 16730-2020")</f>
        <v/>
      </c>
      <c r="W335">
        <f>HYPERLINK("https://klasma.github.io/Logging_0583/klagomålsmail/A 16730-2020 FSC-klagomål mail.docx", "A 16730-2020")</f>
        <v/>
      </c>
      <c r="X335">
        <f>HYPERLINK("https://klasma.github.io/Logging_0583/tillsyn/A 16730-2020 tillsynsbegäran.docx", "A 16730-2020")</f>
        <v/>
      </c>
      <c r="Y335">
        <f>HYPERLINK("https://klasma.github.io/Logging_0583/tillsynsmail/A 16730-2020 tillsynsbegäran mail.docx", "A 16730-2020")</f>
        <v/>
      </c>
    </row>
    <row r="336" ht="15" customHeight="1">
      <c r="A336" t="inlineStr">
        <is>
          <t>A 18902-2020</t>
        </is>
      </c>
      <c r="B336" s="1" t="n">
        <v>43935</v>
      </c>
      <c r="C336" s="1" t="n">
        <v>45710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HYPERLINK("https://klasma.github.io/Logging_0581/artfynd/A 18902-2020 artfynd.xlsx", "A 18902-2020")</f>
        <v/>
      </c>
      <c r="T336">
        <f>HYPERLINK("https://klasma.github.io/Logging_0581/kartor/A 18902-2020 karta.png", "A 18902-2020")</f>
        <v/>
      </c>
      <c r="V336">
        <f>HYPERLINK("https://klasma.github.io/Logging_0581/klagomål/A 18902-2020 FSC-klagomål.docx", "A 18902-2020")</f>
        <v/>
      </c>
      <c r="W336">
        <f>HYPERLINK("https://klasma.github.io/Logging_0581/klagomålsmail/A 18902-2020 FSC-klagomål mail.docx", "A 18902-2020")</f>
        <v/>
      </c>
      <c r="X336">
        <f>HYPERLINK("https://klasma.github.io/Logging_0581/tillsyn/A 18902-2020 tillsynsbegäran.docx", "A 18902-2020")</f>
        <v/>
      </c>
      <c r="Y336">
        <f>HYPERLINK("https://klasma.github.io/Logging_0581/tillsynsmail/A 18902-2020 tillsynsbegäran mail.docx", "A 18902-2020")</f>
        <v/>
      </c>
    </row>
    <row r="337" ht="15" customHeight="1">
      <c r="A337" t="inlineStr">
        <is>
          <t>A 19096-2020</t>
        </is>
      </c>
      <c r="B337" s="1" t="n">
        <v>43936</v>
      </c>
      <c r="C337" s="1" t="n">
        <v>45710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HYPERLINK("https://klasma.github.io/Logging_0583/artfynd/A 19096-2020 artfynd.xlsx", "A 19096-2020")</f>
        <v/>
      </c>
      <c r="T337">
        <f>HYPERLINK("https://klasma.github.io/Logging_0583/kartor/A 19096-2020 karta.png", "A 19096-2020")</f>
        <v/>
      </c>
      <c r="V337">
        <f>HYPERLINK("https://klasma.github.io/Logging_0583/klagomål/A 19096-2020 FSC-klagomål.docx", "A 19096-2020")</f>
        <v/>
      </c>
      <c r="W337">
        <f>HYPERLINK("https://klasma.github.io/Logging_0583/klagomålsmail/A 19096-2020 FSC-klagomål mail.docx", "A 19096-2020")</f>
        <v/>
      </c>
      <c r="X337">
        <f>HYPERLINK("https://klasma.github.io/Logging_0583/tillsyn/A 19096-2020 tillsynsbegäran.docx", "A 19096-2020")</f>
        <v/>
      </c>
      <c r="Y337">
        <f>HYPERLINK("https://klasma.github.io/Logging_0583/tillsynsmail/A 19096-2020 tillsynsbegäran mail.docx", "A 19096-2020")</f>
        <v/>
      </c>
    </row>
    <row r="338" ht="15" customHeight="1">
      <c r="A338" t="inlineStr">
        <is>
          <t>A 24118-2020</t>
        </is>
      </c>
      <c r="B338" s="1" t="n">
        <v>43973</v>
      </c>
      <c r="C338" s="1" t="n">
        <v>45710</v>
      </c>
      <c r="D338" t="inlineStr">
        <is>
          <t>ÖSTERGÖTLANDS LÄN</t>
        </is>
      </c>
      <c r="E338" t="inlineStr">
        <is>
          <t>VALDEMARSVIK</t>
        </is>
      </c>
      <c r="G338" t="n">
        <v>2.5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Sårläka</t>
        </is>
      </c>
      <c r="S338">
        <f>HYPERLINK("https://klasma.github.io/Logging_0563/artfynd/A 24118-2020 artfynd.xlsx", "A 24118-2020")</f>
        <v/>
      </c>
      <c r="T338">
        <f>HYPERLINK("https://klasma.github.io/Logging_0563/kartor/A 24118-2020 karta.png", "A 24118-2020")</f>
        <v/>
      </c>
      <c r="V338">
        <f>HYPERLINK("https://klasma.github.io/Logging_0563/klagomål/A 24118-2020 FSC-klagomål.docx", "A 24118-2020")</f>
        <v/>
      </c>
      <c r="W338">
        <f>HYPERLINK("https://klasma.github.io/Logging_0563/klagomålsmail/A 24118-2020 FSC-klagomål mail.docx", "A 24118-2020")</f>
        <v/>
      </c>
      <c r="X338">
        <f>HYPERLINK("https://klasma.github.io/Logging_0563/tillsyn/A 24118-2020 tillsynsbegäran.docx", "A 24118-2020")</f>
        <v/>
      </c>
      <c r="Y338">
        <f>HYPERLINK("https://klasma.github.io/Logging_0563/tillsynsmail/A 24118-2020 tillsynsbegäran mail.docx", "A 24118-2020")</f>
        <v/>
      </c>
    </row>
    <row r="339" ht="15" customHeight="1">
      <c r="A339" t="inlineStr">
        <is>
          <t>A 26728-2020</t>
        </is>
      </c>
      <c r="B339" s="1" t="n">
        <v>43990</v>
      </c>
      <c r="C339" s="1" t="n">
        <v>45710</v>
      </c>
      <c r="D339" t="inlineStr">
        <is>
          <t>ÖSTERGÖTLANDS LÄN</t>
        </is>
      </c>
      <c r="E339" t="inlineStr">
        <is>
          <t>KINDA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Motaggsvamp</t>
        </is>
      </c>
      <c r="S339">
        <f>HYPERLINK("https://klasma.github.io/Logging_0513/artfynd/A 26728-2020 artfynd.xlsx", "A 26728-2020")</f>
        <v/>
      </c>
      <c r="T339">
        <f>HYPERLINK("https://klasma.github.io/Logging_0513/kartor/A 26728-2020 karta.png", "A 26728-2020")</f>
        <v/>
      </c>
      <c r="V339">
        <f>HYPERLINK("https://klasma.github.io/Logging_0513/klagomål/A 26728-2020 FSC-klagomål.docx", "A 26728-2020")</f>
        <v/>
      </c>
      <c r="W339">
        <f>HYPERLINK("https://klasma.github.io/Logging_0513/klagomålsmail/A 26728-2020 FSC-klagomål mail.docx", "A 26728-2020")</f>
        <v/>
      </c>
      <c r="X339">
        <f>HYPERLINK("https://klasma.github.io/Logging_0513/tillsyn/A 26728-2020 tillsynsbegäran.docx", "A 26728-2020")</f>
        <v/>
      </c>
      <c r="Y339">
        <f>HYPERLINK("https://klasma.github.io/Logging_0513/tillsynsmail/A 26728-2020 tillsynsbegäran mail.docx", "A 26728-2020")</f>
        <v/>
      </c>
    </row>
    <row r="340" ht="15" customHeight="1">
      <c r="A340" t="inlineStr">
        <is>
          <t>A 27514-2020</t>
        </is>
      </c>
      <c r="B340" s="1" t="n">
        <v>43993</v>
      </c>
      <c r="C340" s="1" t="n">
        <v>45710</v>
      </c>
      <c r="D340" t="inlineStr">
        <is>
          <t>ÖSTERGÖTLANDS LÄN</t>
        </is>
      </c>
      <c r="E340" t="inlineStr">
        <is>
          <t>SÖDERKÖPING</t>
        </is>
      </c>
      <c r="G340" t="n">
        <v>3.8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Tjockfotad fingersvamp</t>
        </is>
      </c>
      <c r="S340">
        <f>HYPERLINK("https://klasma.github.io/Logging_0582/artfynd/A 27514-2020 artfynd.xlsx", "A 27514-2020")</f>
        <v/>
      </c>
      <c r="T340">
        <f>HYPERLINK("https://klasma.github.io/Logging_0582/kartor/A 27514-2020 karta.png", "A 27514-2020")</f>
        <v/>
      </c>
      <c r="V340">
        <f>HYPERLINK("https://klasma.github.io/Logging_0582/klagomål/A 27514-2020 FSC-klagomål.docx", "A 27514-2020")</f>
        <v/>
      </c>
      <c r="W340">
        <f>HYPERLINK("https://klasma.github.io/Logging_0582/klagomålsmail/A 27514-2020 FSC-klagomål mail.docx", "A 27514-2020")</f>
        <v/>
      </c>
      <c r="X340">
        <f>HYPERLINK("https://klasma.github.io/Logging_0582/tillsyn/A 27514-2020 tillsynsbegäran.docx", "A 27514-2020")</f>
        <v/>
      </c>
      <c r="Y340">
        <f>HYPERLINK("https://klasma.github.io/Logging_0582/tillsynsmail/A 27514-2020 tillsynsbegäran mail.docx", "A 27514-2020")</f>
        <v/>
      </c>
    </row>
    <row r="341" ht="15" customHeight="1">
      <c r="A341" t="inlineStr">
        <is>
          <t>A 30273-2020</t>
        </is>
      </c>
      <c r="B341" s="1" t="n">
        <v>44007</v>
      </c>
      <c r="C341" s="1" t="n">
        <v>45710</v>
      </c>
      <c r="D341" t="inlineStr">
        <is>
          <t>ÖSTERGÖTLANDS LÄN</t>
        </is>
      </c>
      <c r="E341" t="inlineStr">
        <is>
          <t>ÅTVIDABERG</t>
        </is>
      </c>
      <c r="G341" t="n">
        <v>1.3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Granticka</t>
        </is>
      </c>
      <c r="S341">
        <f>HYPERLINK("https://klasma.github.io/Logging_0561/artfynd/A 30273-2020 artfynd.xlsx", "A 30273-2020")</f>
        <v/>
      </c>
      <c r="T341">
        <f>HYPERLINK("https://klasma.github.io/Logging_0561/kartor/A 30273-2020 karta.png", "A 30273-2020")</f>
        <v/>
      </c>
      <c r="V341">
        <f>HYPERLINK("https://klasma.github.io/Logging_0561/klagomål/A 30273-2020 FSC-klagomål.docx", "A 30273-2020")</f>
        <v/>
      </c>
      <c r="W341">
        <f>HYPERLINK("https://klasma.github.io/Logging_0561/klagomålsmail/A 30273-2020 FSC-klagomål mail.docx", "A 30273-2020")</f>
        <v/>
      </c>
      <c r="X341">
        <f>HYPERLINK("https://klasma.github.io/Logging_0561/tillsyn/A 30273-2020 tillsynsbegäran.docx", "A 30273-2020")</f>
        <v/>
      </c>
      <c r="Y341">
        <f>HYPERLINK("https://klasma.github.io/Logging_0561/tillsynsmail/A 30273-2020 tillsynsbegäran mail.docx", "A 30273-2020")</f>
        <v/>
      </c>
    </row>
    <row r="342" ht="15" customHeight="1">
      <c r="A342" t="inlineStr">
        <is>
          <t>A 31912-2020</t>
        </is>
      </c>
      <c r="B342" s="1" t="n">
        <v>44014</v>
      </c>
      <c r="C342" s="1" t="n">
        <v>45710</v>
      </c>
      <c r="D342" t="inlineStr">
        <is>
          <t>ÖSTERGÖTLANDS LÄN</t>
        </is>
      </c>
      <c r="E342" t="inlineStr">
        <is>
          <t>MJÖLBY</t>
        </is>
      </c>
      <c r="G342" t="n">
        <v>14.2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Underviol</t>
        </is>
      </c>
      <c r="S342">
        <f>HYPERLINK("https://klasma.github.io/Logging_0586/artfynd/A 31912-2020 artfynd.xlsx", "A 31912-2020")</f>
        <v/>
      </c>
      <c r="T342">
        <f>HYPERLINK("https://klasma.github.io/Logging_0586/kartor/A 31912-2020 karta.png", "A 31912-2020")</f>
        <v/>
      </c>
      <c r="V342">
        <f>HYPERLINK("https://klasma.github.io/Logging_0586/klagomål/A 31912-2020 FSC-klagomål.docx", "A 31912-2020")</f>
        <v/>
      </c>
      <c r="W342">
        <f>HYPERLINK("https://klasma.github.io/Logging_0586/klagomålsmail/A 31912-2020 FSC-klagomål mail.docx", "A 31912-2020")</f>
        <v/>
      </c>
      <c r="X342">
        <f>HYPERLINK("https://klasma.github.io/Logging_0586/tillsyn/A 31912-2020 tillsynsbegäran.docx", "A 31912-2020")</f>
        <v/>
      </c>
      <c r="Y342">
        <f>HYPERLINK("https://klasma.github.io/Logging_0586/tillsynsmail/A 31912-2020 tillsynsbegäran mail.docx", "A 31912-2020")</f>
        <v/>
      </c>
    </row>
    <row r="343" ht="15" customHeight="1">
      <c r="A343" t="inlineStr">
        <is>
          <t>A 34236-2020</t>
        </is>
      </c>
      <c r="B343" s="1" t="n">
        <v>44029</v>
      </c>
      <c r="C343" s="1" t="n">
        <v>45710</v>
      </c>
      <c r="D343" t="inlineStr">
        <is>
          <t>ÖSTERGÖTLANDS LÄN</t>
        </is>
      </c>
      <c r="E343" t="inlineStr">
        <is>
          <t>VALDEMARSVIK</t>
        </is>
      </c>
      <c r="G343" t="n">
        <v>7.5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HYPERLINK("https://klasma.github.io/Logging_0563/artfynd/A 34236-2020 artfynd.xlsx", "A 34236-2020")</f>
        <v/>
      </c>
      <c r="T343">
        <f>HYPERLINK("https://klasma.github.io/Logging_0563/kartor/A 34236-2020 karta.png", "A 34236-2020")</f>
        <v/>
      </c>
      <c r="U343">
        <f>HYPERLINK("https://klasma.github.io/Logging_0563/knärot/A 34236-2020 karta knärot.png", "A 34236-2020")</f>
        <v/>
      </c>
      <c r="V343">
        <f>HYPERLINK("https://klasma.github.io/Logging_0563/klagomål/A 34236-2020 FSC-klagomål.docx", "A 34236-2020")</f>
        <v/>
      </c>
      <c r="W343">
        <f>HYPERLINK("https://klasma.github.io/Logging_0563/klagomålsmail/A 34236-2020 FSC-klagomål mail.docx", "A 34236-2020")</f>
        <v/>
      </c>
      <c r="X343">
        <f>HYPERLINK("https://klasma.github.io/Logging_0563/tillsyn/A 34236-2020 tillsynsbegäran.docx", "A 34236-2020")</f>
        <v/>
      </c>
      <c r="Y343">
        <f>HYPERLINK("https://klasma.github.io/Logging_0563/tillsynsmail/A 34236-2020 tillsynsbegäran mail.docx", "A 34236-2020")</f>
        <v/>
      </c>
    </row>
    <row r="344" ht="15" customHeight="1">
      <c r="A344" t="inlineStr">
        <is>
          <t>A 36769-2020</t>
        </is>
      </c>
      <c r="B344" s="1" t="n">
        <v>44053</v>
      </c>
      <c r="C344" s="1" t="n">
        <v>45710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HYPERLINK("https://klasma.github.io/Logging_0582/artfynd/A 36769-2020 artfynd.xlsx", "A 36769-2020")</f>
        <v/>
      </c>
      <c r="T344">
        <f>HYPERLINK("https://klasma.github.io/Logging_0582/kartor/A 36769-2020 karta.png", "A 36769-2020")</f>
        <v/>
      </c>
      <c r="V344">
        <f>HYPERLINK("https://klasma.github.io/Logging_0582/klagomål/A 36769-2020 FSC-klagomål.docx", "A 36769-2020")</f>
        <v/>
      </c>
      <c r="W344">
        <f>HYPERLINK("https://klasma.github.io/Logging_0582/klagomålsmail/A 36769-2020 FSC-klagomål mail.docx", "A 36769-2020")</f>
        <v/>
      </c>
      <c r="X344">
        <f>HYPERLINK("https://klasma.github.io/Logging_0582/tillsyn/A 36769-2020 tillsynsbegäran.docx", "A 36769-2020")</f>
        <v/>
      </c>
      <c r="Y344">
        <f>HYPERLINK("https://klasma.github.io/Logging_0582/tillsynsmail/A 36769-2020 tillsynsbegäran mail.docx", "A 36769-2020")</f>
        <v/>
      </c>
    </row>
    <row r="345" ht="15" customHeight="1">
      <c r="A345" t="inlineStr">
        <is>
          <t>A 42014-2020</t>
        </is>
      </c>
      <c r="B345" s="1" t="n">
        <v>44075</v>
      </c>
      <c r="C345" s="1" t="n">
        <v>45710</v>
      </c>
      <c r="D345" t="inlineStr">
        <is>
          <t>ÖSTERGÖTLANDS LÄN</t>
        </is>
      </c>
      <c r="E345" t="inlineStr">
        <is>
          <t>MOTALA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42014-2020 artfynd.xlsx", "A 42014-2020")</f>
        <v/>
      </c>
      <c r="T345">
        <f>HYPERLINK("https://klasma.github.io/Logging_0583/kartor/A 42014-2020 karta.png", "A 42014-2020")</f>
        <v/>
      </c>
      <c r="V345">
        <f>HYPERLINK("https://klasma.github.io/Logging_0583/klagomål/A 42014-2020 FSC-klagomål.docx", "A 42014-2020")</f>
        <v/>
      </c>
      <c r="W345">
        <f>HYPERLINK("https://klasma.github.io/Logging_0583/klagomålsmail/A 42014-2020 FSC-klagomål mail.docx", "A 42014-2020")</f>
        <v/>
      </c>
      <c r="X345">
        <f>HYPERLINK("https://klasma.github.io/Logging_0583/tillsyn/A 42014-2020 tillsynsbegäran.docx", "A 42014-2020")</f>
        <v/>
      </c>
      <c r="Y345">
        <f>HYPERLINK("https://klasma.github.io/Logging_0583/tillsynsmail/A 42014-2020 tillsynsbegäran mail.docx", "A 42014-2020")</f>
        <v/>
      </c>
    </row>
    <row r="346" ht="15" customHeight="1">
      <c r="A346" t="inlineStr">
        <is>
          <t>A 42665-2020</t>
        </is>
      </c>
      <c r="B346" s="1" t="n">
        <v>44077</v>
      </c>
      <c r="C346" s="1" t="n">
        <v>45710</v>
      </c>
      <c r="D346" t="inlineStr">
        <is>
          <t>ÖSTERGÖTLANDS LÄN</t>
        </is>
      </c>
      <c r="E346" t="inlineStr">
        <is>
          <t>LINKÖPING</t>
        </is>
      </c>
      <c r="G346" t="n">
        <v>15.6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Tallticka</t>
        </is>
      </c>
      <c r="S346">
        <f>HYPERLINK("https://klasma.github.io/Logging_0580/artfynd/A 42665-2020 artfynd.xlsx", "A 42665-2020")</f>
        <v/>
      </c>
      <c r="T346">
        <f>HYPERLINK("https://klasma.github.io/Logging_0580/kartor/A 42665-2020 karta.png", "A 42665-2020")</f>
        <v/>
      </c>
      <c r="V346">
        <f>HYPERLINK("https://klasma.github.io/Logging_0580/klagomål/A 42665-2020 FSC-klagomål.docx", "A 42665-2020")</f>
        <v/>
      </c>
      <c r="W346">
        <f>HYPERLINK("https://klasma.github.io/Logging_0580/klagomålsmail/A 42665-2020 FSC-klagomål mail.docx", "A 42665-2020")</f>
        <v/>
      </c>
      <c r="X346">
        <f>HYPERLINK("https://klasma.github.io/Logging_0580/tillsyn/A 42665-2020 tillsynsbegäran.docx", "A 42665-2020")</f>
        <v/>
      </c>
      <c r="Y346">
        <f>HYPERLINK("https://klasma.github.io/Logging_0580/tillsynsmail/A 42665-2020 tillsynsbegäran mail.docx", "A 42665-2020")</f>
        <v/>
      </c>
    </row>
    <row r="347" ht="15" customHeight="1">
      <c r="A347" t="inlineStr">
        <is>
          <t>A 44877-2020</t>
        </is>
      </c>
      <c r="B347" s="1" t="n">
        <v>44087</v>
      </c>
      <c r="C347" s="1" t="n">
        <v>45710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Flagellkvastmossa</t>
        </is>
      </c>
      <c r="S347">
        <f>HYPERLINK("https://klasma.github.io/Logging_0512/artfynd/A 44877-2020 artfynd.xlsx", "A 44877-2020")</f>
        <v/>
      </c>
      <c r="T347">
        <f>HYPERLINK("https://klasma.github.io/Logging_0512/kartor/A 44877-2020 karta.png", "A 44877-2020")</f>
        <v/>
      </c>
      <c r="V347">
        <f>HYPERLINK("https://klasma.github.io/Logging_0512/klagomål/A 44877-2020 FSC-klagomål.docx", "A 44877-2020")</f>
        <v/>
      </c>
      <c r="W347">
        <f>HYPERLINK("https://klasma.github.io/Logging_0512/klagomålsmail/A 44877-2020 FSC-klagomål mail.docx", "A 44877-2020")</f>
        <v/>
      </c>
      <c r="X347">
        <f>HYPERLINK("https://klasma.github.io/Logging_0512/tillsyn/A 44877-2020 tillsynsbegäran.docx", "A 44877-2020")</f>
        <v/>
      </c>
      <c r="Y347">
        <f>HYPERLINK("https://klasma.github.io/Logging_0512/tillsynsmail/A 44877-2020 tillsynsbegäran mail.docx", "A 44877-2020")</f>
        <v/>
      </c>
    </row>
    <row r="348" ht="15" customHeight="1">
      <c r="A348" t="inlineStr">
        <is>
          <t>A 44930-2020</t>
        </is>
      </c>
      <c r="B348" s="1" t="n">
        <v>44088</v>
      </c>
      <c r="C348" s="1" t="n">
        <v>45710</v>
      </c>
      <c r="D348" t="inlineStr">
        <is>
          <t>ÖSTERGÖTLANDS LÄN</t>
        </is>
      </c>
      <c r="E348" t="inlineStr">
        <is>
          <t>LINKÖPING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HYPERLINK("https://klasma.github.io/Logging_0580/artfynd/A 44930-2020 artfynd.xlsx", "A 44930-2020")</f>
        <v/>
      </c>
      <c r="T348">
        <f>HYPERLINK("https://klasma.github.io/Logging_0580/kartor/A 44930-2020 karta.png", "A 44930-2020")</f>
        <v/>
      </c>
      <c r="U348">
        <f>HYPERLINK("https://klasma.github.io/Logging_0580/knärot/A 44930-2020 karta knärot.png", "A 44930-2020")</f>
        <v/>
      </c>
      <c r="V348">
        <f>HYPERLINK("https://klasma.github.io/Logging_0580/klagomål/A 44930-2020 FSC-klagomål.docx", "A 44930-2020")</f>
        <v/>
      </c>
      <c r="W348">
        <f>HYPERLINK("https://klasma.github.io/Logging_0580/klagomålsmail/A 44930-2020 FSC-klagomål mail.docx", "A 44930-2020")</f>
        <v/>
      </c>
      <c r="X348">
        <f>HYPERLINK("https://klasma.github.io/Logging_0580/tillsyn/A 44930-2020 tillsynsbegäran.docx", "A 44930-2020")</f>
        <v/>
      </c>
      <c r="Y348">
        <f>HYPERLINK("https://klasma.github.io/Logging_0580/tillsynsmail/A 44930-2020 tillsynsbegäran mail.docx", "A 44930-2020")</f>
        <v/>
      </c>
    </row>
    <row r="349" ht="15" customHeight="1">
      <c r="A349" t="inlineStr">
        <is>
          <t>A 45521-2020</t>
        </is>
      </c>
      <c r="B349" s="1" t="n">
        <v>44089</v>
      </c>
      <c r="C349" s="1" t="n">
        <v>45710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11.2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Brandticka</t>
        </is>
      </c>
      <c r="S349">
        <f>HYPERLINK("https://klasma.github.io/Logging_0581/artfynd/A 45521-2020 artfynd.xlsx", "A 45521-2020")</f>
        <v/>
      </c>
      <c r="T349">
        <f>HYPERLINK("https://klasma.github.io/Logging_0581/kartor/A 45521-2020 karta.png", "A 45521-2020")</f>
        <v/>
      </c>
      <c r="V349">
        <f>HYPERLINK("https://klasma.github.io/Logging_0581/klagomål/A 45521-2020 FSC-klagomål.docx", "A 45521-2020")</f>
        <v/>
      </c>
      <c r="W349">
        <f>HYPERLINK("https://klasma.github.io/Logging_0581/klagomålsmail/A 45521-2020 FSC-klagomål mail.docx", "A 45521-2020")</f>
        <v/>
      </c>
      <c r="X349">
        <f>HYPERLINK("https://klasma.github.io/Logging_0581/tillsyn/A 45521-2020 tillsynsbegäran.docx", "A 45521-2020")</f>
        <v/>
      </c>
      <c r="Y349">
        <f>HYPERLINK("https://klasma.github.io/Logging_0581/tillsynsmail/A 45521-2020 tillsynsbegäran mail.docx", "A 45521-2020")</f>
        <v/>
      </c>
    </row>
    <row r="350" ht="15" customHeight="1">
      <c r="A350" t="inlineStr">
        <is>
          <t>A 47233-2020</t>
        </is>
      </c>
      <c r="B350" s="1" t="n">
        <v>44092</v>
      </c>
      <c r="C350" s="1" t="n">
        <v>45710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Tibast</t>
        </is>
      </c>
      <c r="S350">
        <f>HYPERLINK("https://klasma.github.io/Logging_0513/artfynd/A 47233-2020 artfynd.xlsx", "A 47233-2020")</f>
        <v/>
      </c>
      <c r="T350">
        <f>HYPERLINK("https://klasma.github.io/Logging_0513/kartor/A 47233-2020 karta.png", "A 47233-2020")</f>
        <v/>
      </c>
      <c r="U350">
        <f>HYPERLINK("https://klasma.github.io/Logging_0513/knärot/A 47233-2020 karta knärot.png", "A 47233-2020")</f>
        <v/>
      </c>
      <c r="V350">
        <f>HYPERLINK("https://klasma.github.io/Logging_0513/klagomål/A 47233-2020 FSC-klagomål.docx", "A 47233-2020")</f>
        <v/>
      </c>
      <c r="W350">
        <f>HYPERLINK("https://klasma.github.io/Logging_0513/klagomålsmail/A 47233-2020 FSC-klagomål mail.docx", "A 47233-2020")</f>
        <v/>
      </c>
      <c r="X350">
        <f>HYPERLINK("https://klasma.github.io/Logging_0513/tillsyn/A 47233-2020 tillsynsbegäran.docx", "A 47233-2020")</f>
        <v/>
      </c>
      <c r="Y350">
        <f>HYPERLINK("https://klasma.github.io/Logging_0513/tillsynsmail/A 47233-2020 tillsynsbegäran mail.docx", "A 47233-2020")</f>
        <v/>
      </c>
    </row>
    <row r="351" ht="15" customHeight="1">
      <c r="A351" t="inlineStr">
        <is>
          <t>A 47346-2020</t>
        </is>
      </c>
      <c r="B351" s="1" t="n">
        <v>44095</v>
      </c>
      <c r="C351" s="1" t="n">
        <v>45710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Kommuner</t>
        </is>
      </c>
      <c r="G351" t="n">
        <v>2.4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HYPERLINK("https://klasma.github.io/Logging_0580/artfynd/A 47346-2020 artfynd.xlsx", "A 47346-2020")</f>
        <v/>
      </c>
      <c r="T351">
        <f>HYPERLINK("https://klasma.github.io/Logging_0580/kartor/A 47346-2020 karta.png", "A 47346-2020")</f>
        <v/>
      </c>
      <c r="V351">
        <f>HYPERLINK("https://klasma.github.io/Logging_0580/klagomål/A 47346-2020 FSC-klagomål.docx", "A 47346-2020")</f>
        <v/>
      </c>
      <c r="W351">
        <f>HYPERLINK("https://klasma.github.io/Logging_0580/klagomålsmail/A 47346-2020 FSC-klagomål mail.docx", "A 47346-2020")</f>
        <v/>
      </c>
      <c r="X351">
        <f>HYPERLINK("https://klasma.github.io/Logging_0580/tillsyn/A 47346-2020 tillsynsbegäran.docx", "A 47346-2020")</f>
        <v/>
      </c>
      <c r="Y351">
        <f>HYPERLINK("https://klasma.github.io/Logging_0580/tillsynsmail/A 47346-2020 tillsynsbegäran mail.docx", "A 47346-2020")</f>
        <v/>
      </c>
    </row>
    <row r="352" ht="15" customHeight="1">
      <c r="A352" t="inlineStr">
        <is>
          <t>A 48984-2020</t>
        </is>
      </c>
      <c r="B352" s="1" t="n">
        <v>44104</v>
      </c>
      <c r="C352" s="1" t="n">
        <v>45710</v>
      </c>
      <c r="D352" t="inlineStr">
        <is>
          <t>ÖSTERGÖTLANDS LÄN</t>
        </is>
      </c>
      <c r="E352" t="inlineStr">
        <is>
          <t>LINKÖPING</t>
        </is>
      </c>
      <c r="G352" t="n">
        <v>2.8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Vårstarr</t>
        </is>
      </c>
      <c r="S352">
        <f>HYPERLINK("https://klasma.github.io/Logging_0580/artfynd/A 48984-2020 artfynd.xlsx", "A 48984-2020")</f>
        <v/>
      </c>
      <c r="T352">
        <f>HYPERLINK("https://klasma.github.io/Logging_0580/kartor/A 48984-2020 karta.png", "A 48984-2020")</f>
        <v/>
      </c>
      <c r="V352">
        <f>HYPERLINK("https://klasma.github.io/Logging_0580/klagomål/A 48984-2020 FSC-klagomål.docx", "A 48984-2020")</f>
        <v/>
      </c>
      <c r="W352">
        <f>HYPERLINK("https://klasma.github.io/Logging_0580/klagomålsmail/A 48984-2020 FSC-klagomål mail.docx", "A 48984-2020")</f>
        <v/>
      </c>
      <c r="X352">
        <f>HYPERLINK("https://klasma.github.io/Logging_0580/tillsyn/A 48984-2020 tillsynsbegäran.docx", "A 48984-2020")</f>
        <v/>
      </c>
      <c r="Y352">
        <f>HYPERLINK("https://klasma.github.io/Logging_0580/tillsynsmail/A 48984-2020 tillsynsbegäran mail.docx", "A 48984-2020")</f>
        <v/>
      </c>
    </row>
    <row r="353" ht="15" customHeight="1">
      <c r="A353" t="inlineStr">
        <is>
          <t>A 53268-2020</t>
        </is>
      </c>
      <c r="B353" s="1" t="n">
        <v>44123</v>
      </c>
      <c r="C353" s="1" t="n">
        <v>45710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HYPERLINK("https://klasma.github.io/Logging_0560/artfynd/A 53268-2020 artfynd.xlsx", "A 53268-2020")</f>
        <v/>
      </c>
      <c r="T353">
        <f>HYPERLINK("https://klasma.github.io/Logging_0560/kartor/A 53268-2020 karta.png", "A 53268-2020")</f>
        <v/>
      </c>
      <c r="U353">
        <f>HYPERLINK("https://klasma.github.io/Logging_0560/knärot/A 53268-2020 karta knärot.png", "A 53268-2020")</f>
        <v/>
      </c>
      <c r="V353">
        <f>HYPERLINK("https://klasma.github.io/Logging_0560/klagomål/A 53268-2020 FSC-klagomål.docx", "A 53268-2020")</f>
        <v/>
      </c>
      <c r="W353">
        <f>HYPERLINK("https://klasma.github.io/Logging_0560/klagomålsmail/A 53268-2020 FSC-klagomål mail.docx", "A 53268-2020")</f>
        <v/>
      </c>
      <c r="X353">
        <f>HYPERLINK("https://klasma.github.io/Logging_0560/tillsyn/A 53268-2020 tillsynsbegäran.docx", "A 53268-2020")</f>
        <v/>
      </c>
      <c r="Y353">
        <f>HYPERLINK("https://klasma.github.io/Logging_0560/tillsynsmail/A 53268-2020 tillsynsbegäran mail.docx", "A 53268-2020")</f>
        <v/>
      </c>
    </row>
    <row r="354" ht="15" customHeight="1">
      <c r="A354" t="inlineStr">
        <is>
          <t>A 54832-2020</t>
        </is>
      </c>
      <c r="B354" s="1" t="n">
        <v>44127</v>
      </c>
      <c r="C354" s="1" t="n">
        <v>45710</v>
      </c>
      <c r="D354" t="inlineStr">
        <is>
          <t>ÖSTERGÖTLANDS LÄN</t>
        </is>
      </c>
      <c r="E354" t="inlineStr">
        <is>
          <t>FINSPÅNG</t>
        </is>
      </c>
      <c r="G354" t="n">
        <v>5.6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Grön aspvedbock</t>
        </is>
      </c>
      <c r="S354">
        <f>HYPERLINK("https://klasma.github.io/Logging_0562/artfynd/A 54832-2020 artfynd.xlsx", "A 54832-2020")</f>
        <v/>
      </c>
      <c r="T354">
        <f>HYPERLINK("https://klasma.github.io/Logging_0562/kartor/A 54832-2020 karta.png", "A 54832-2020")</f>
        <v/>
      </c>
      <c r="V354">
        <f>HYPERLINK("https://klasma.github.io/Logging_0562/klagomål/A 54832-2020 FSC-klagomål.docx", "A 54832-2020")</f>
        <v/>
      </c>
      <c r="W354">
        <f>HYPERLINK("https://klasma.github.io/Logging_0562/klagomålsmail/A 54832-2020 FSC-klagomål mail.docx", "A 54832-2020")</f>
        <v/>
      </c>
      <c r="X354">
        <f>HYPERLINK("https://klasma.github.io/Logging_0562/tillsyn/A 54832-2020 tillsynsbegäran.docx", "A 54832-2020")</f>
        <v/>
      </c>
      <c r="Y354">
        <f>HYPERLINK("https://klasma.github.io/Logging_0562/tillsynsmail/A 54832-2020 tillsynsbegäran mail.docx", "A 54832-2020")</f>
        <v/>
      </c>
    </row>
    <row r="355" ht="15" customHeight="1">
      <c r="A355" t="inlineStr">
        <is>
          <t>A 55901-2020</t>
        </is>
      </c>
      <c r="B355" s="1" t="n">
        <v>44132</v>
      </c>
      <c r="C355" s="1" t="n">
        <v>45710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6.8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Skogshare</t>
        </is>
      </c>
      <c r="S355">
        <f>HYPERLINK("https://klasma.github.io/Logging_0581/artfynd/A 55901-2020 artfynd.xlsx", "A 55901-2020")</f>
        <v/>
      </c>
      <c r="T355">
        <f>HYPERLINK("https://klasma.github.io/Logging_0581/kartor/A 55901-2020 karta.png", "A 55901-2020")</f>
        <v/>
      </c>
      <c r="V355">
        <f>HYPERLINK("https://klasma.github.io/Logging_0581/klagomål/A 55901-2020 FSC-klagomål.docx", "A 55901-2020")</f>
        <v/>
      </c>
      <c r="W355">
        <f>HYPERLINK("https://klasma.github.io/Logging_0581/klagomålsmail/A 55901-2020 FSC-klagomål mail.docx", "A 55901-2020")</f>
        <v/>
      </c>
      <c r="X355">
        <f>HYPERLINK("https://klasma.github.io/Logging_0581/tillsyn/A 55901-2020 tillsynsbegäran.docx", "A 55901-2020")</f>
        <v/>
      </c>
      <c r="Y355">
        <f>HYPERLINK("https://klasma.github.io/Logging_0581/tillsynsmail/A 55901-2020 tillsynsbegäran mail.docx", "A 55901-2020")</f>
        <v/>
      </c>
    </row>
    <row r="356" ht="15" customHeight="1">
      <c r="A356" t="inlineStr">
        <is>
          <t>A 57912-2020</t>
        </is>
      </c>
      <c r="B356" s="1" t="n">
        <v>44140</v>
      </c>
      <c r="C356" s="1" t="n">
        <v>45710</v>
      </c>
      <c r="D356" t="inlineStr">
        <is>
          <t>ÖSTERGÖTLANDS LÄN</t>
        </is>
      </c>
      <c r="E356" t="inlineStr">
        <is>
          <t>SÖDERKÖPING</t>
        </is>
      </c>
      <c r="G356" t="n">
        <v>12.3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 dropplav</t>
        </is>
      </c>
      <c r="S356">
        <f>HYPERLINK("https://klasma.github.io/Logging_0582/artfynd/A 57912-2020 artfynd.xlsx", "A 57912-2020")</f>
        <v/>
      </c>
      <c r="T356">
        <f>HYPERLINK("https://klasma.github.io/Logging_0582/kartor/A 57912-2020 karta.png", "A 57912-2020")</f>
        <v/>
      </c>
      <c r="V356">
        <f>HYPERLINK("https://klasma.github.io/Logging_0582/klagomål/A 57912-2020 FSC-klagomål.docx", "A 57912-2020")</f>
        <v/>
      </c>
      <c r="W356">
        <f>HYPERLINK("https://klasma.github.io/Logging_0582/klagomålsmail/A 57912-2020 FSC-klagomål mail.docx", "A 57912-2020")</f>
        <v/>
      </c>
      <c r="X356">
        <f>HYPERLINK("https://klasma.github.io/Logging_0582/tillsyn/A 57912-2020 tillsynsbegäran.docx", "A 57912-2020")</f>
        <v/>
      </c>
      <c r="Y356">
        <f>HYPERLINK("https://klasma.github.io/Logging_0582/tillsynsmail/A 57912-2020 tillsynsbegäran mail.docx", "A 57912-2020")</f>
        <v/>
      </c>
    </row>
    <row r="357" ht="15" customHeight="1">
      <c r="A357" t="inlineStr">
        <is>
          <t>A 58735-2020</t>
        </is>
      </c>
      <c r="B357" s="1" t="n">
        <v>44145</v>
      </c>
      <c r="C357" s="1" t="n">
        <v>45710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Granbarkgnagare</t>
        </is>
      </c>
      <c r="S357">
        <f>HYPERLINK("https://klasma.github.io/Logging_0561/artfynd/A 58735-2020 artfynd.xlsx", "A 58735-2020")</f>
        <v/>
      </c>
      <c r="T357">
        <f>HYPERLINK("https://klasma.github.io/Logging_0561/kartor/A 58735-2020 karta.png", "A 58735-2020")</f>
        <v/>
      </c>
      <c r="V357">
        <f>HYPERLINK("https://klasma.github.io/Logging_0561/klagomål/A 58735-2020 FSC-klagomål.docx", "A 58735-2020")</f>
        <v/>
      </c>
      <c r="W357">
        <f>HYPERLINK("https://klasma.github.io/Logging_0561/klagomålsmail/A 58735-2020 FSC-klagomål mail.docx", "A 58735-2020")</f>
        <v/>
      </c>
      <c r="X357">
        <f>HYPERLINK("https://klasma.github.io/Logging_0561/tillsyn/A 58735-2020 tillsynsbegäran.docx", "A 58735-2020")</f>
        <v/>
      </c>
      <c r="Y357">
        <f>HYPERLINK("https://klasma.github.io/Logging_0561/tillsynsmail/A 58735-2020 tillsynsbegäran mail.docx", "A 58735-2020")</f>
        <v/>
      </c>
    </row>
    <row r="358" ht="15" customHeight="1">
      <c r="A358" t="inlineStr">
        <is>
          <t>A 61872-2020</t>
        </is>
      </c>
      <c r="B358" s="1" t="n">
        <v>44159</v>
      </c>
      <c r="C358" s="1" t="n">
        <v>45710</v>
      </c>
      <c r="D358" t="inlineStr">
        <is>
          <t>ÖSTERGÖTLANDS LÄN</t>
        </is>
      </c>
      <c r="E358" t="inlineStr">
        <is>
          <t>NORRKÖPING</t>
        </is>
      </c>
      <c r="G358" t="n">
        <v>3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Svartvit flugsnappare</t>
        </is>
      </c>
      <c r="S358">
        <f>HYPERLINK("https://klasma.github.io/Logging_0581/artfynd/A 61872-2020 artfynd.xlsx", "A 61872-2020")</f>
        <v/>
      </c>
      <c r="T358">
        <f>HYPERLINK("https://klasma.github.io/Logging_0581/kartor/A 61872-2020 karta.png", "A 61872-2020")</f>
        <v/>
      </c>
      <c r="V358">
        <f>HYPERLINK("https://klasma.github.io/Logging_0581/klagomål/A 61872-2020 FSC-klagomål.docx", "A 61872-2020")</f>
        <v/>
      </c>
      <c r="W358">
        <f>HYPERLINK("https://klasma.github.io/Logging_0581/klagomålsmail/A 61872-2020 FSC-klagomål mail.docx", "A 61872-2020")</f>
        <v/>
      </c>
      <c r="X358">
        <f>HYPERLINK("https://klasma.github.io/Logging_0581/tillsyn/A 61872-2020 tillsynsbegäran.docx", "A 61872-2020")</f>
        <v/>
      </c>
      <c r="Y358">
        <f>HYPERLINK("https://klasma.github.io/Logging_0581/tillsynsmail/A 61872-2020 tillsynsbegäran mail.docx", "A 61872-2020")</f>
        <v/>
      </c>
      <c r="Z358">
        <f>HYPERLINK("https://klasma.github.io/Logging_0581/fåglar/A 61872-2020 prioriterade fågelarter.docx", "A 61872-2020")</f>
        <v/>
      </c>
    </row>
    <row r="359" ht="15" customHeight="1">
      <c r="A359" t="inlineStr">
        <is>
          <t>A 65400-2020</t>
        </is>
      </c>
      <c r="B359" s="1" t="n">
        <v>44173</v>
      </c>
      <c r="C359" s="1" t="n">
        <v>45710</v>
      </c>
      <c r="D359" t="inlineStr">
        <is>
          <t>ÖSTERGÖTLANDS LÄN</t>
        </is>
      </c>
      <c r="E359" t="inlineStr">
        <is>
          <t>VALDEMARSVIK</t>
        </is>
      </c>
      <c r="G359" t="n">
        <v>4.5</v>
      </c>
      <c r="H359" t="n">
        <v>1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Nästrot</t>
        </is>
      </c>
      <c r="S359">
        <f>HYPERLINK("https://klasma.github.io/Logging_0563/artfynd/A 65400-2020 artfynd.xlsx", "A 65400-2020")</f>
        <v/>
      </c>
      <c r="T359">
        <f>HYPERLINK("https://klasma.github.io/Logging_0563/kartor/A 65400-2020 karta.png", "A 65400-2020")</f>
        <v/>
      </c>
      <c r="V359">
        <f>HYPERLINK("https://klasma.github.io/Logging_0563/klagomål/A 65400-2020 FSC-klagomål.docx", "A 65400-2020")</f>
        <v/>
      </c>
      <c r="W359">
        <f>HYPERLINK("https://klasma.github.io/Logging_0563/klagomålsmail/A 65400-2020 FSC-klagomål mail.docx", "A 65400-2020")</f>
        <v/>
      </c>
      <c r="X359">
        <f>HYPERLINK("https://klasma.github.io/Logging_0563/tillsyn/A 65400-2020 tillsynsbegäran.docx", "A 65400-2020")</f>
        <v/>
      </c>
      <c r="Y359">
        <f>HYPERLINK("https://klasma.github.io/Logging_0563/tillsynsmail/A 65400-2020 tillsynsbegäran mail.docx", "A 65400-2020")</f>
        <v/>
      </c>
    </row>
    <row r="360" ht="15" customHeight="1">
      <c r="A360" t="inlineStr">
        <is>
          <t>A 67164-2020</t>
        </is>
      </c>
      <c r="B360" s="1" t="n">
        <v>44180</v>
      </c>
      <c r="C360" s="1" t="n">
        <v>45710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8.6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Havsörn</t>
        </is>
      </c>
      <c r="S360">
        <f>HYPERLINK("https://klasma.github.io/Logging_0580/artfynd/A 67164-2020 artfynd.xlsx", "A 67164-2020")</f>
        <v/>
      </c>
      <c r="T360">
        <f>HYPERLINK("https://klasma.github.io/Logging_0580/kartor/A 67164-2020 karta.png", "A 67164-2020")</f>
        <v/>
      </c>
      <c r="V360">
        <f>HYPERLINK("https://klasma.github.io/Logging_0580/klagomål/A 67164-2020 FSC-klagomål.docx", "A 67164-2020")</f>
        <v/>
      </c>
      <c r="W360">
        <f>HYPERLINK("https://klasma.github.io/Logging_0580/klagomålsmail/A 67164-2020 FSC-klagomål mail.docx", "A 67164-2020")</f>
        <v/>
      </c>
      <c r="X360">
        <f>HYPERLINK("https://klasma.github.io/Logging_0580/tillsyn/A 67164-2020 tillsynsbegäran.docx", "A 67164-2020")</f>
        <v/>
      </c>
      <c r="Y360">
        <f>HYPERLINK("https://klasma.github.io/Logging_0580/tillsynsmail/A 67164-2020 tillsynsbegäran mail.docx", "A 67164-2020")</f>
        <v/>
      </c>
      <c r="Z360">
        <f>HYPERLINK("https://klasma.github.io/Logging_0580/fåglar/A 67164-2020 prioriterade fågelarter.docx", "A 67164-2020")</f>
        <v/>
      </c>
    </row>
    <row r="361" ht="15" customHeight="1">
      <c r="A361" t="inlineStr">
        <is>
          <t>A 67252-2020</t>
        </is>
      </c>
      <c r="B361" s="1" t="n">
        <v>44181</v>
      </c>
      <c r="C361" s="1" t="n">
        <v>45710</v>
      </c>
      <c r="D361" t="inlineStr">
        <is>
          <t>ÖSTERGÖTLANDS LÄN</t>
        </is>
      </c>
      <c r="E361" t="inlineStr">
        <is>
          <t>ÅTVIDABERG</t>
        </is>
      </c>
      <c r="G361" t="n">
        <v>3.1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HYPERLINK("https://klasma.github.io/Logging_0561/artfynd/A 67252-2020 artfynd.xlsx", "A 67252-2020")</f>
        <v/>
      </c>
      <c r="T361">
        <f>HYPERLINK("https://klasma.github.io/Logging_0561/kartor/A 67252-2020 karta.png", "A 67252-2020")</f>
        <v/>
      </c>
      <c r="V361">
        <f>HYPERLINK("https://klasma.github.io/Logging_0561/klagomål/A 67252-2020 FSC-klagomål.docx", "A 67252-2020")</f>
        <v/>
      </c>
      <c r="W361">
        <f>HYPERLINK("https://klasma.github.io/Logging_0561/klagomålsmail/A 67252-2020 FSC-klagomål mail.docx", "A 67252-2020")</f>
        <v/>
      </c>
      <c r="X361">
        <f>HYPERLINK("https://klasma.github.io/Logging_0561/tillsyn/A 67252-2020 tillsynsbegäran.docx", "A 67252-2020")</f>
        <v/>
      </c>
      <c r="Y361">
        <f>HYPERLINK("https://klasma.github.io/Logging_0561/tillsynsmail/A 67252-2020 tillsynsbegäran mail.docx", "A 67252-2020")</f>
        <v/>
      </c>
    </row>
    <row r="362" ht="15" customHeight="1">
      <c r="A362" t="inlineStr">
        <is>
          <t>A 67653-2020</t>
        </is>
      </c>
      <c r="B362" s="1" t="n">
        <v>44182</v>
      </c>
      <c r="C362" s="1" t="n">
        <v>45710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HYPERLINK("https://klasma.github.io/Logging_0561/artfynd/A 67653-2020 artfynd.xlsx", "A 67653-2020")</f>
        <v/>
      </c>
      <c r="T362">
        <f>HYPERLINK("https://klasma.github.io/Logging_0561/kartor/A 67653-2020 karta.png", "A 67653-2020")</f>
        <v/>
      </c>
      <c r="V362">
        <f>HYPERLINK("https://klasma.github.io/Logging_0561/klagomål/A 67653-2020 FSC-klagomål.docx", "A 67653-2020")</f>
        <v/>
      </c>
      <c r="W362">
        <f>HYPERLINK("https://klasma.github.io/Logging_0561/klagomålsmail/A 67653-2020 FSC-klagomål mail.docx", "A 67653-2020")</f>
        <v/>
      </c>
      <c r="X362">
        <f>HYPERLINK("https://klasma.github.io/Logging_0561/tillsyn/A 67653-2020 tillsynsbegäran.docx", "A 67653-2020")</f>
        <v/>
      </c>
      <c r="Y362">
        <f>HYPERLINK("https://klasma.github.io/Logging_0561/tillsynsmail/A 67653-2020 tillsynsbegäran mail.docx", "A 67653-2020")</f>
        <v/>
      </c>
    </row>
    <row r="363" ht="15" customHeight="1">
      <c r="A363" t="inlineStr">
        <is>
          <t>A 68768-2020</t>
        </is>
      </c>
      <c r="B363" s="1" t="n">
        <v>44187</v>
      </c>
      <c r="C363" s="1" t="n">
        <v>45710</v>
      </c>
      <c r="D363" t="inlineStr">
        <is>
          <t>ÖSTERGÖTLANDS LÄN</t>
        </is>
      </c>
      <c r="E363" t="inlineStr">
        <is>
          <t>YDRE</t>
        </is>
      </c>
      <c r="G363" t="n">
        <v>3.2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Smålom</t>
        </is>
      </c>
      <c r="S363">
        <f>HYPERLINK("https://klasma.github.io/Logging_0512/artfynd/A 68768-2020 artfynd.xlsx", "A 68768-2020")</f>
        <v/>
      </c>
      <c r="T363">
        <f>HYPERLINK("https://klasma.github.io/Logging_0512/kartor/A 68768-2020 karta.png", "A 68768-2020")</f>
        <v/>
      </c>
      <c r="V363">
        <f>HYPERLINK("https://klasma.github.io/Logging_0512/klagomål/A 68768-2020 FSC-klagomål.docx", "A 68768-2020")</f>
        <v/>
      </c>
      <c r="W363">
        <f>HYPERLINK("https://klasma.github.io/Logging_0512/klagomålsmail/A 68768-2020 FSC-klagomål mail.docx", "A 68768-2020")</f>
        <v/>
      </c>
      <c r="X363">
        <f>HYPERLINK("https://klasma.github.io/Logging_0512/tillsyn/A 68768-2020 tillsynsbegäran.docx", "A 68768-2020")</f>
        <v/>
      </c>
      <c r="Y363">
        <f>HYPERLINK("https://klasma.github.io/Logging_0512/tillsynsmail/A 68768-2020 tillsynsbegäran mail.docx", "A 68768-2020")</f>
        <v/>
      </c>
      <c r="Z363">
        <f>HYPERLINK("https://klasma.github.io/Logging_0512/fåglar/A 68768-2020 prioriterade fågelarter.docx", "A 68768-2020")</f>
        <v/>
      </c>
    </row>
    <row r="364" ht="15" customHeight="1">
      <c r="A364" t="inlineStr">
        <is>
          <t>A 910-2021</t>
        </is>
      </c>
      <c r="B364" s="1" t="n">
        <v>44207</v>
      </c>
      <c r="C364" s="1" t="n">
        <v>45710</v>
      </c>
      <c r="D364" t="inlineStr">
        <is>
          <t>ÖSTERGÖTLANDS LÄN</t>
        </is>
      </c>
      <c r="E364" t="inlineStr">
        <is>
          <t>ÅTVIDABERG</t>
        </is>
      </c>
      <c r="G364" t="n">
        <v>2.5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Ekoxe</t>
        </is>
      </c>
      <c r="S364">
        <f>HYPERLINK("https://klasma.github.io/Logging_0561/artfynd/A 910-2021 artfynd.xlsx", "A 910-2021")</f>
        <v/>
      </c>
      <c r="T364">
        <f>HYPERLINK("https://klasma.github.io/Logging_0561/kartor/A 910-2021 karta.png", "A 910-2021")</f>
        <v/>
      </c>
      <c r="V364">
        <f>HYPERLINK("https://klasma.github.io/Logging_0561/klagomål/A 910-2021 FSC-klagomål.docx", "A 910-2021")</f>
        <v/>
      </c>
      <c r="W364">
        <f>HYPERLINK("https://klasma.github.io/Logging_0561/klagomålsmail/A 910-2021 FSC-klagomål mail.docx", "A 910-2021")</f>
        <v/>
      </c>
      <c r="X364">
        <f>HYPERLINK("https://klasma.github.io/Logging_0561/tillsyn/A 910-2021 tillsynsbegäran.docx", "A 910-2021")</f>
        <v/>
      </c>
      <c r="Y364">
        <f>HYPERLINK("https://klasma.github.io/Logging_0561/tillsynsmail/A 910-2021 tillsynsbegäran mail.docx", "A 910-2021")</f>
        <v/>
      </c>
    </row>
    <row r="365" ht="15" customHeight="1">
      <c r="A365" t="inlineStr">
        <is>
          <t>A 5534-2021</t>
        </is>
      </c>
      <c r="B365" s="1" t="n">
        <v>44230</v>
      </c>
      <c r="C365" s="1" t="n">
        <v>45710</v>
      </c>
      <c r="D365" t="inlineStr">
        <is>
          <t>ÖSTERGÖTLANDS LÄN</t>
        </is>
      </c>
      <c r="E365" t="inlineStr">
        <is>
          <t>FINSPÅNG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HYPERLINK("https://klasma.github.io/Logging_0562/artfynd/A 5534-2021 artfynd.xlsx", "A 5534-2021")</f>
        <v/>
      </c>
      <c r="T365">
        <f>HYPERLINK("https://klasma.github.io/Logging_0562/kartor/A 5534-2021 karta.png", "A 5534-2021")</f>
        <v/>
      </c>
      <c r="V365">
        <f>HYPERLINK("https://klasma.github.io/Logging_0562/klagomål/A 5534-2021 FSC-klagomål.docx", "A 5534-2021")</f>
        <v/>
      </c>
      <c r="W365">
        <f>HYPERLINK("https://klasma.github.io/Logging_0562/klagomålsmail/A 5534-2021 FSC-klagomål mail.docx", "A 5534-2021")</f>
        <v/>
      </c>
      <c r="X365">
        <f>HYPERLINK("https://klasma.github.io/Logging_0562/tillsyn/A 5534-2021 tillsynsbegäran.docx", "A 5534-2021")</f>
        <v/>
      </c>
      <c r="Y365">
        <f>HYPERLINK("https://klasma.github.io/Logging_0562/tillsynsmail/A 5534-2021 tillsynsbegäran mail.docx", "A 5534-2021")</f>
        <v/>
      </c>
      <c r="Z365">
        <f>HYPERLINK("https://klasma.github.io/Logging_0562/fåglar/A 5534-2021 prioriterade fågelarter.docx", "A 5534-2021")</f>
        <v/>
      </c>
    </row>
    <row r="366" ht="15" customHeight="1">
      <c r="A366" t="inlineStr">
        <is>
          <t>A 6299-2021</t>
        </is>
      </c>
      <c r="B366" s="1" t="n">
        <v>44232</v>
      </c>
      <c r="C366" s="1" t="n">
        <v>45710</v>
      </c>
      <c r="D366" t="inlineStr">
        <is>
          <t>ÖSTERGÖTLANDS LÄN</t>
        </is>
      </c>
      <c r="E366" t="inlineStr">
        <is>
          <t>ÅTVIDABERG</t>
        </is>
      </c>
      <c r="G366" t="n">
        <v>1.2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Tallticka</t>
        </is>
      </c>
      <c r="S366">
        <f>HYPERLINK("https://klasma.github.io/Logging_0561/artfynd/A 6299-2021 artfynd.xlsx", "A 6299-2021")</f>
        <v/>
      </c>
      <c r="T366">
        <f>HYPERLINK("https://klasma.github.io/Logging_0561/kartor/A 6299-2021 karta.png", "A 6299-2021")</f>
        <v/>
      </c>
      <c r="V366">
        <f>HYPERLINK("https://klasma.github.io/Logging_0561/klagomål/A 6299-2021 FSC-klagomål.docx", "A 6299-2021")</f>
        <v/>
      </c>
      <c r="W366">
        <f>HYPERLINK("https://klasma.github.io/Logging_0561/klagomålsmail/A 6299-2021 FSC-klagomål mail.docx", "A 6299-2021")</f>
        <v/>
      </c>
      <c r="X366">
        <f>HYPERLINK("https://klasma.github.io/Logging_0561/tillsyn/A 6299-2021 tillsynsbegäran.docx", "A 6299-2021")</f>
        <v/>
      </c>
      <c r="Y366">
        <f>HYPERLINK("https://klasma.github.io/Logging_0561/tillsynsmail/A 6299-2021 tillsynsbegäran mail.docx", "A 6299-2021")</f>
        <v/>
      </c>
    </row>
    <row r="367" ht="15" customHeight="1">
      <c r="A367" t="inlineStr">
        <is>
          <t>A 6428-2021</t>
        </is>
      </c>
      <c r="B367" s="1" t="n">
        <v>44235</v>
      </c>
      <c r="C367" s="1" t="n">
        <v>45710</v>
      </c>
      <c r="D367" t="inlineStr">
        <is>
          <t>ÖSTERGÖTLANDS LÄN</t>
        </is>
      </c>
      <c r="E367" t="inlineStr">
        <is>
          <t>KINDA</t>
        </is>
      </c>
      <c r="F367" t="inlineStr">
        <is>
          <t>Kommuner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HYPERLINK("https://klasma.github.io/Logging_0513/artfynd/A 6428-2021 artfynd.xlsx", "A 6428-2021")</f>
        <v/>
      </c>
      <c r="T367">
        <f>HYPERLINK("https://klasma.github.io/Logging_0513/kartor/A 6428-2021 karta.png", "A 6428-2021")</f>
        <v/>
      </c>
      <c r="V367">
        <f>HYPERLINK("https://klasma.github.io/Logging_0513/klagomål/A 6428-2021 FSC-klagomål.docx", "A 6428-2021")</f>
        <v/>
      </c>
      <c r="W367">
        <f>HYPERLINK("https://klasma.github.io/Logging_0513/klagomålsmail/A 6428-2021 FSC-klagomål mail.docx", "A 6428-2021")</f>
        <v/>
      </c>
      <c r="X367">
        <f>HYPERLINK("https://klasma.github.io/Logging_0513/tillsyn/A 6428-2021 tillsynsbegäran.docx", "A 6428-2021")</f>
        <v/>
      </c>
      <c r="Y367">
        <f>HYPERLINK("https://klasma.github.io/Logging_0513/tillsynsmail/A 6428-2021 tillsynsbegäran mail.docx", "A 6428-2021")</f>
        <v/>
      </c>
    </row>
    <row r="368" ht="15" customHeight="1">
      <c r="A368" t="inlineStr">
        <is>
          <t>A 8815-2021</t>
        </is>
      </c>
      <c r="B368" s="1" t="n">
        <v>44246</v>
      </c>
      <c r="C368" s="1" t="n">
        <v>45710</v>
      </c>
      <c r="D368" t="inlineStr">
        <is>
          <t>ÖSTERGÖTLANDS LÄN</t>
        </is>
      </c>
      <c r="E368" t="inlineStr">
        <is>
          <t>ÅTVIDABERG</t>
        </is>
      </c>
      <c r="G368" t="n">
        <v>3.8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HYPERLINK("https://klasma.github.io/Logging_0561/artfynd/A 8815-2021 artfynd.xlsx", "A 8815-2021")</f>
        <v/>
      </c>
      <c r="T368">
        <f>HYPERLINK("https://klasma.github.io/Logging_0561/kartor/A 8815-2021 karta.png", "A 8815-2021")</f>
        <v/>
      </c>
      <c r="V368">
        <f>HYPERLINK("https://klasma.github.io/Logging_0561/klagomål/A 8815-2021 FSC-klagomål.docx", "A 8815-2021")</f>
        <v/>
      </c>
      <c r="W368">
        <f>HYPERLINK("https://klasma.github.io/Logging_0561/klagomålsmail/A 8815-2021 FSC-klagomål mail.docx", "A 8815-2021")</f>
        <v/>
      </c>
      <c r="X368">
        <f>HYPERLINK("https://klasma.github.io/Logging_0561/tillsyn/A 8815-2021 tillsynsbegäran.docx", "A 8815-2021")</f>
        <v/>
      </c>
      <c r="Y368">
        <f>HYPERLINK("https://klasma.github.io/Logging_0561/tillsynsmail/A 8815-2021 tillsynsbegäran mail.docx", "A 8815-2021")</f>
        <v/>
      </c>
    </row>
    <row r="369" ht="15" customHeight="1">
      <c r="A369" t="inlineStr">
        <is>
          <t>A 10596-2021</t>
        </is>
      </c>
      <c r="B369" s="1" t="n">
        <v>44258</v>
      </c>
      <c r="C369" s="1" t="n">
        <v>45710</v>
      </c>
      <c r="D369" t="inlineStr">
        <is>
          <t>ÖSTERGÖTLANDS LÄN</t>
        </is>
      </c>
      <c r="E369" t="inlineStr">
        <is>
          <t>KINDA</t>
        </is>
      </c>
      <c r="G369" t="n">
        <v>6.5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Gröngöling</t>
        </is>
      </c>
      <c r="S369">
        <f>HYPERLINK("https://klasma.github.io/Logging_0513/artfynd/A 10596-2021 artfynd.xlsx", "A 10596-2021")</f>
        <v/>
      </c>
      <c r="T369">
        <f>HYPERLINK("https://klasma.github.io/Logging_0513/kartor/A 10596-2021 karta.png", "A 10596-2021")</f>
        <v/>
      </c>
      <c r="V369">
        <f>HYPERLINK("https://klasma.github.io/Logging_0513/klagomål/A 10596-2021 FSC-klagomål.docx", "A 10596-2021")</f>
        <v/>
      </c>
      <c r="W369">
        <f>HYPERLINK("https://klasma.github.io/Logging_0513/klagomålsmail/A 10596-2021 FSC-klagomål mail.docx", "A 10596-2021")</f>
        <v/>
      </c>
      <c r="X369">
        <f>HYPERLINK("https://klasma.github.io/Logging_0513/tillsyn/A 10596-2021 tillsynsbegäran.docx", "A 10596-2021")</f>
        <v/>
      </c>
      <c r="Y369">
        <f>HYPERLINK("https://klasma.github.io/Logging_0513/tillsynsmail/A 10596-2021 tillsynsbegäran mail.docx", "A 10596-2021")</f>
        <v/>
      </c>
      <c r="Z369">
        <f>HYPERLINK("https://klasma.github.io/Logging_0513/fåglar/A 10596-2021 prioriterade fågelarter.docx", "A 10596-2021")</f>
        <v/>
      </c>
    </row>
    <row r="370" ht="15" customHeight="1">
      <c r="A370" t="inlineStr">
        <is>
          <t>A 12457-2021</t>
        </is>
      </c>
      <c r="B370" s="1" t="n">
        <v>44267</v>
      </c>
      <c r="C370" s="1" t="n">
        <v>45710</v>
      </c>
      <c r="D370" t="inlineStr">
        <is>
          <t>ÖSTERGÖTLANDS LÄN</t>
        </is>
      </c>
      <c r="E370" t="inlineStr">
        <is>
          <t>NORRKÖPING</t>
        </is>
      </c>
      <c r="G370" t="n">
        <v>5.2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Äkta lopplummer</t>
        </is>
      </c>
      <c r="S370">
        <f>HYPERLINK("https://klasma.github.io/Logging_0581/artfynd/A 12457-2021 artfynd.xlsx", "A 12457-2021")</f>
        <v/>
      </c>
      <c r="T370">
        <f>HYPERLINK("https://klasma.github.io/Logging_0581/kartor/A 12457-2021 karta.png", "A 12457-2021")</f>
        <v/>
      </c>
      <c r="V370">
        <f>HYPERLINK("https://klasma.github.io/Logging_0581/klagomål/A 12457-2021 FSC-klagomål.docx", "A 12457-2021")</f>
        <v/>
      </c>
      <c r="W370">
        <f>HYPERLINK("https://klasma.github.io/Logging_0581/klagomålsmail/A 12457-2021 FSC-klagomål mail.docx", "A 12457-2021")</f>
        <v/>
      </c>
      <c r="X370">
        <f>HYPERLINK("https://klasma.github.io/Logging_0581/tillsyn/A 12457-2021 tillsynsbegäran.docx", "A 12457-2021")</f>
        <v/>
      </c>
      <c r="Y370">
        <f>HYPERLINK("https://klasma.github.io/Logging_0581/tillsynsmail/A 12457-2021 tillsynsbegäran mail.docx", "A 12457-2021")</f>
        <v/>
      </c>
    </row>
    <row r="371" ht="15" customHeight="1">
      <c r="A371" t="inlineStr">
        <is>
          <t>A 12446-2021</t>
        </is>
      </c>
      <c r="B371" s="1" t="n">
        <v>44267</v>
      </c>
      <c r="C371" s="1" t="n">
        <v>45710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4.6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Fällmossa</t>
        </is>
      </c>
      <c r="S371">
        <f>HYPERLINK("https://klasma.github.io/Logging_0562/artfynd/A 12446-2021 artfynd.xlsx", "A 12446-2021")</f>
        <v/>
      </c>
      <c r="T371">
        <f>HYPERLINK("https://klasma.github.io/Logging_0562/kartor/A 12446-2021 karta.png", "A 12446-2021")</f>
        <v/>
      </c>
      <c r="V371">
        <f>HYPERLINK("https://klasma.github.io/Logging_0562/klagomål/A 12446-2021 FSC-klagomål.docx", "A 12446-2021")</f>
        <v/>
      </c>
      <c r="W371">
        <f>HYPERLINK("https://klasma.github.io/Logging_0562/klagomålsmail/A 12446-2021 FSC-klagomål mail.docx", "A 12446-2021")</f>
        <v/>
      </c>
      <c r="X371">
        <f>HYPERLINK("https://klasma.github.io/Logging_0562/tillsyn/A 12446-2021 tillsynsbegäran.docx", "A 12446-2021")</f>
        <v/>
      </c>
      <c r="Y371">
        <f>HYPERLINK("https://klasma.github.io/Logging_0562/tillsynsmail/A 12446-2021 tillsynsbegäran mail.docx", "A 12446-2021")</f>
        <v/>
      </c>
    </row>
    <row r="372" ht="15" customHeight="1">
      <c r="A372" t="inlineStr">
        <is>
          <t>A 14096-2021</t>
        </is>
      </c>
      <c r="B372" s="1" t="n">
        <v>44278</v>
      </c>
      <c r="C372" s="1" t="n">
        <v>45710</v>
      </c>
      <c r="D372" t="inlineStr">
        <is>
          <t>ÖSTERGÖTLANDS LÄN</t>
        </is>
      </c>
      <c r="E372" t="inlineStr">
        <is>
          <t>LINKÖPING</t>
        </is>
      </c>
      <c r="G372" t="n">
        <v>1.7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Vedtrappmossa</t>
        </is>
      </c>
      <c r="S372">
        <f>HYPERLINK("https://klasma.github.io/Logging_0580/artfynd/A 14096-2021 artfynd.xlsx", "A 14096-2021")</f>
        <v/>
      </c>
      <c r="T372">
        <f>HYPERLINK("https://klasma.github.io/Logging_0580/kartor/A 14096-2021 karta.png", "A 14096-2021")</f>
        <v/>
      </c>
      <c r="V372">
        <f>HYPERLINK("https://klasma.github.io/Logging_0580/klagomål/A 14096-2021 FSC-klagomål.docx", "A 14096-2021")</f>
        <v/>
      </c>
      <c r="W372">
        <f>HYPERLINK("https://klasma.github.io/Logging_0580/klagomålsmail/A 14096-2021 FSC-klagomål mail.docx", "A 14096-2021")</f>
        <v/>
      </c>
      <c r="X372">
        <f>HYPERLINK("https://klasma.github.io/Logging_0580/tillsyn/A 14096-2021 tillsynsbegäran.docx", "A 14096-2021")</f>
        <v/>
      </c>
      <c r="Y372">
        <f>HYPERLINK("https://klasma.github.io/Logging_0580/tillsynsmail/A 14096-2021 tillsynsbegäran mail.docx", "A 14096-2021")</f>
        <v/>
      </c>
    </row>
    <row r="373" ht="15" customHeight="1">
      <c r="A373" t="inlineStr">
        <is>
          <t>A 16015-2021</t>
        </is>
      </c>
      <c r="B373" s="1" t="n">
        <v>44287</v>
      </c>
      <c r="C373" s="1" t="n">
        <v>45710</v>
      </c>
      <c r="D373" t="inlineStr">
        <is>
          <t>ÖSTERGÖTLANDS LÄN</t>
        </is>
      </c>
      <c r="E373" t="inlineStr">
        <is>
          <t>ÖDESHÖG</t>
        </is>
      </c>
      <c r="G373" t="n">
        <v>1.9</v>
      </c>
      <c r="H373" t="n">
        <v>1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Bredgentiana</t>
        </is>
      </c>
      <c r="S373">
        <f>HYPERLINK("https://klasma.github.io/Logging_0509/artfynd/A 16015-2021 artfynd.xlsx", "A 16015-2021")</f>
        <v/>
      </c>
      <c r="T373">
        <f>HYPERLINK("https://klasma.github.io/Logging_0509/kartor/A 16015-2021 karta.png", "A 16015-2021")</f>
        <v/>
      </c>
      <c r="V373">
        <f>HYPERLINK("https://klasma.github.io/Logging_0509/klagomål/A 16015-2021 FSC-klagomål.docx", "A 16015-2021")</f>
        <v/>
      </c>
      <c r="W373">
        <f>HYPERLINK("https://klasma.github.io/Logging_0509/klagomålsmail/A 16015-2021 FSC-klagomål mail.docx", "A 16015-2021")</f>
        <v/>
      </c>
      <c r="X373">
        <f>HYPERLINK("https://klasma.github.io/Logging_0509/tillsyn/A 16015-2021 tillsynsbegäran.docx", "A 16015-2021")</f>
        <v/>
      </c>
      <c r="Y373">
        <f>HYPERLINK("https://klasma.github.io/Logging_0509/tillsynsmail/A 16015-2021 tillsynsbegäran mail.docx", "A 16015-2021")</f>
        <v/>
      </c>
    </row>
    <row r="374" ht="15" customHeight="1">
      <c r="A374" t="inlineStr">
        <is>
          <t>A 16388-2021</t>
        </is>
      </c>
      <c r="B374" s="1" t="n">
        <v>44293</v>
      </c>
      <c r="C374" s="1" t="n">
        <v>45710</v>
      </c>
      <c r="D374" t="inlineStr">
        <is>
          <t>ÖSTERGÖTLANDS LÄN</t>
        </is>
      </c>
      <c r="E374" t="inlineStr">
        <is>
          <t>VALDEMARSVIK</t>
        </is>
      </c>
      <c r="F374" t="inlineStr">
        <is>
          <t>Kommuner</t>
        </is>
      </c>
      <c r="G374" t="n">
        <v>5.8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Svedjenäva</t>
        </is>
      </c>
      <c r="S374">
        <f>HYPERLINK("https://klasma.github.io/Logging_0563/artfynd/A 16388-2021 artfynd.xlsx", "A 16388-2021")</f>
        <v/>
      </c>
      <c r="T374">
        <f>HYPERLINK("https://klasma.github.io/Logging_0563/kartor/A 16388-2021 karta.png", "A 16388-2021")</f>
        <v/>
      </c>
      <c r="V374">
        <f>HYPERLINK("https://klasma.github.io/Logging_0563/klagomål/A 16388-2021 FSC-klagomål.docx", "A 16388-2021")</f>
        <v/>
      </c>
      <c r="W374">
        <f>HYPERLINK("https://klasma.github.io/Logging_0563/klagomålsmail/A 16388-2021 FSC-klagomål mail.docx", "A 16388-2021")</f>
        <v/>
      </c>
      <c r="X374">
        <f>HYPERLINK("https://klasma.github.io/Logging_0563/tillsyn/A 16388-2021 tillsynsbegäran.docx", "A 16388-2021")</f>
        <v/>
      </c>
      <c r="Y374">
        <f>HYPERLINK("https://klasma.github.io/Logging_0563/tillsynsmail/A 16388-2021 tillsynsbegäran mail.docx", "A 16388-2021")</f>
        <v/>
      </c>
    </row>
    <row r="375" ht="15" customHeight="1">
      <c r="A375" t="inlineStr">
        <is>
          <t>A 16870-2021</t>
        </is>
      </c>
      <c r="B375" s="1" t="n">
        <v>44293</v>
      </c>
      <c r="C375" s="1" t="n">
        <v>45710</v>
      </c>
      <c r="D375" t="inlineStr">
        <is>
          <t>ÖSTERGÖTLANDS LÄN</t>
        </is>
      </c>
      <c r="E375" t="inlineStr">
        <is>
          <t>MOTALA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HYPERLINK("https://klasma.github.io/Logging_0583/artfynd/A 16870-2021 artfynd.xlsx", "A 16870-2021")</f>
        <v/>
      </c>
      <c r="T375">
        <f>HYPERLINK("https://klasma.github.io/Logging_0583/kartor/A 16870-2021 karta.png", "A 16870-2021")</f>
        <v/>
      </c>
      <c r="V375">
        <f>HYPERLINK("https://klasma.github.io/Logging_0583/klagomål/A 16870-2021 FSC-klagomål.docx", "A 16870-2021")</f>
        <v/>
      </c>
      <c r="W375">
        <f>HYPERLINK("https://klasma.github.io/Logging_0583/klagomålsmail/A 16870-2021 FSC-klagomål mail.docx", "A 16870-2021")</f>
        <v/>
      </c>
      <c r="X375">
        <f>HYPERLINK("https://klasma.github.io/Logging_0583/tillsyn/A 16870-2021 tillsynsbegäran.docx", "A 16870-2021")</f>
        <v/>
      </c>
      <c r="Y375">
        <f>HYPERLINK("https://klasma.github.io/Logging_0583/tillsynsmail/A 16870-2021 tillsynsbegäran mail.docx", "A 16870-2021")</f>
        <v/>
      </c>
    </row>
    <row r="376" ht="15" customHeight="1">
      <c r="A376" t="inlineStr">
        <is>
          <t>A 16747-2021</t>
        </is>
      </c>
      <c r="B376" s="1" t="n">
        <v>44294</v>
      </c>
      <c r="C376" s="1" t="n">
        <v>45710</v>
      </c>
      <c r="D376" t="inlineStr">
        <is>
          <t>ÖSTERGÖTLANDS LÄN</t>
        </is>
      </c>
      <c r="E376" t="inlineStr">
        <is>
          <t>FINSPÅNG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Skogsalm</t>
        </is>
      </c>
      <c r="S376">
        <f>HYPERLINK("https://klasma.github.io/Logging_0562/artfynd/A 16747-2021 artfynd.xlsx", "A 16747-2021")</f>
        <v/>
      </c>
      <c r="T376">
        <f>HYPERLINK("https://klasma.github.io/Logging_0562/kartor/A 16747-2021 karta.png", "A 16747-2021")</f>
        <v/>
      </c>
      <c r="V376">
        <f>HYPERLINK("https://klasma.github.io/Logging_0562/klagomål/A 16747-2021 FSC-klagomål.docx", "A 16747-2021")</f>
        <v/>
      </c>
      <c r="W376">
        <f>HYPERLINK("https://klasma.github.io/Logging_0562/klagomålsmail/A 16747-2021 FSC-klagomål mail.docx", "A 16747-2021")</f>
        <v/>
      </c>
      <c r="X376">
        <f>HYPERLINK("https://klasma.github.io/Logging_0562/tillsyn/A 16747-2021 tillsynsbegäran.docx", "A 16747-2021")</f>
        <v/>
      </c>
      <c r="Y376">
        <f>HYPERLINK("https://klasma.github.io/Logging_0562/tillsynsmail/A 16747-2021 tillsynsbegäran mail.docx", "A 16747-2021")</f>
        <v/>
      </c>
    </row>
    <row r="377" ht="15" customHeight="1">
      <c r="A377" t="inlineStr">
        <is>
          <t>A 17389-2021</t>
        </is>
      </c>
      <c r="B377" s="1" t="n">
        <v>44299</v>
      </c>
      <c r="C377" s="1" t="n">
        <v>45710</v>
      </c>
      <c r="D377" t="inlineStr">
        <is>
          <t>ÖSTERGÖTLANDS LÄN</t>
        </is>
      </c>
      <c r="E377" t="inlineStr">
        <is>
          <t>LINKÖPING</t>
        </is>
      </c>
      <c r="G377" t="n">
        <v>5.1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HYPERLINK("https://klasma.github.io/Logging_0580/artfynd/A 17389-2021 artfynd.xlsx", "A 17389-2021")</f>
        <v/>
      </c>
      <c r="T377">
        <f>HYPERLINK("https://klasma.github.io/Logging_0580/kartor/A 17389-2021 karta.png", "A 17389-2021")</f>
        <v/>
      </c>
      <c r="V377">
        <f>HYPERLINK("https://klasma.github.io/Logging_0580/klagomål/A 17389-2021 FSC-klagomål.docx", "A 17389-2021")</f>
        <v/>
      </c>
      <c r="W377">
        <f>HYPERLINK("https://klasma.github.io/Logging_0580/klagomålsmail/A 17389-2021 FSC-klagomål mail.docx", "A 17389-2021")</f>
        <v/>
      </c>
      <c r="X377">
        <f>HYPERLINK("https://klasma.github.io/Logging_0580/tillsyn/A 17389-2021 tillsynsbegäran.docx", "A 17389-2021")</f>
        <v/>
      </c>
      <c r="Y377">
        <f>HYPERLINK("https://klasma.github.io/Logging_0580/tillsynsmail/A 17389-2021 tillsynsbegäran mail.docx", "A 17389-2021")</f>
        <v/>
      </c>
    </row>
    <row r="378" ht="15" customHeight="1">
      <c r="A378" t="inlineStr">
        <is>
          <t>A 18990-2021</t>
        </is>
      </c>
      <c r="B378" s="1" t="n">
        <v>44308</v>
      </c>
      <c r="C378" s="1" t="n">
        <v>45710</v>
      </c>
      <c r="D378" t="inlineStr">
        <is>
          <t>ÖSTERGÖTLANDS LÄN</t>
        </is>
      </c>
      <c r="E378" t="inlineStr">
        <is>
          <t>ÖDESHÖG</t>
        </is>
      </c>
      <c r="G378" t="n">
        <v>2.6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Murgröna</t>
        </is>
      </c>
      <c r="S378">
        <f>HYPERLINK("https://klasma.github.io/Logging_0509/artfynd/A 18990-2021 artfynd.xlsx", "A 18990-2021")</f>
        <v/>
      </c>
      <c r="T378">
        <f>HYPERLINK("https://klasma.github.io/Logging_0509/kartor/A 18990-2021 karta.png", "A 18990-2021")</f>
        <v/>
      </c>
      <c r="V378">
        <f>HYPERLINK("https://klasma.github.io/Logging_0509/klagomål/A 18990-2021 FSC-klagomål.docx", "A 18990-2021")</f>
        <v/>
      </c>
      <c r="W378">
        <f>HYPERLINK("https://klasma.github.io/Logging_0509/klagomålsmail/A 18990-2021 FSC-klagomål mail.docx", "A 18990-2021")</f>
        <v/>
      </c>
      <c r="X378">
        <f>HYPERLINK("https://klasma.github.io/Logging_0509/tillsyn/A 18990-2021 tillsynsbegäran.docx", "A 18990-2021")</f>
        <v/>
      </c>
      <c r="Y378">
        <f>HYPERLINK("https://klasma.github.io/Logging_0509/tillsynsmail/A 18990-2021 tillsynsbegäran mail.docx", "A 18990-2021")</f>
        <v/>
      </c>
    </row>
    <row r="379" ht="15" customHeight="1">
      <c r="A379" t="inlineStr">
        <is>
          <t>A 19103-2021</t>
        </is>
      </c>
      <c r="B379" s="1" t="n">
        <v>44308</v>
      </c>
      <c r="C379" s="1" t="n">
        <v>45710</v>
      </c>
      <c r="D379" t="inlineStr">
        <is>
          <t>ÖSTERGÖTLANDS LÄN</t>
        </is>
      </c>
      <c r="E379" t="inlineStr">
        <is>
          <t>LINKÖPING</t>
        </is>
      </c>
      <c r="G379" t="n">
        <v>4.7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HYPERLINK("https://klasma.github.io/Logging_0580/artfynd/A 19103-2021 artfynd.xlsx", "A 19103-2021")</f>
        <v/>
      </c>
      <c r="T379">
        <f>HYPERLINK("https://klasma.github.io/Logging_0580/kartor/A 19103-2021 karta.png", "A 19103-2021")</f>
        <v/>
      </c>
      <c r="V379">
        <f>HYPERLINK("https://klasma.github.io/Logging_0580/klagomål/A 19103-2021 FSC-klagomål.docx", "A 19103-2021")</f>
        <v/>
      </c>
      <c r="W379">
        <f>HYPERLINK("https://klasma.github.io/Logging_0580/klagomålsmail/A 19103-2021 FSC-klagomål mail.docx", "A 19103-2021")</f>
        <v/>
      </c>
      <c r="X379">
        <f>HYPERLINK("https://klasma.github.io/Logging_0580/tillsyn/A 19103-2021 tillsynsbegäran.docx", "A 19103-2021")</f>
        <v/>
      </c>
      <c r="Y379">
        <f>HYPERLINK("https://klasma.github.io/Logging_0580/tillsynsmail/A 19103-2021 tillsynsbegäran mail.docx", "A 19103-2021")</f>
        <v/>
      </c>
    </row>
    <row r="380" ht="15" customHeight="1">
      <c r="A380" t="inlineStr">
        <is>
          <t>A 19825-2021</t>
        </is>
      </c>
      <c r="B380" s="1" t="n">
        <v>44313</v>
      </c>
      <c r="C380" s="1" t="n">
        <v>45710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Gullklöver</t>
        </is>
      </c>
      <c r="S380">
        <f>HYPERLINK("https://klasma.github.io/Logging_0581/artfynd/A 19825-2021 artfynd.xlsx", "A 19825-2021")</f>
        <v/>
      </c>
      <c r="T380">
        <f>HYPERLINK("https://klasma.github.io/Logging_0581/kartor/A 19825-2021 karta.png", "A 19825-2021")</f>
        <v/>
      </c>
      <c r="V380">
        <f>HYPERLINK("https://klasma.github.io/Logging_0581/klagomål/A 19825-2021 FSC-klagomål.docx", "A 19825-2021")</f>
        <v/>
      </c>
      <c r="W380">
        <f>HYPERLINK("https://klasma.github.io/Logging_0581/klagomålsmail/A 19825-2021 FSC-klagomål mail.docx", "A 19825-2021")</f>
        <v/>
      </c>
      <c r="X380">
        <f>HYPERLINK("https://klasma.github.io/Logging_0581/tillsyn/A 19825-2021 tillsynsbegäran.docx", "A 19825-2021")</f>
        <v/>
      </c>
      <c r="Y380">
        <f>HYPERLINK("https://klasma.github.io/Logging_0581/tillsynsmail/A 19825-2021 tillsynsbegäran mail.docx", "A 19825-2021")</f>
        <v/>
      </c>
    </row>
    <row r="381" ht="15" customHeight="1">
      <c r="A381" t="inlineStr">
        <is>
          <t>A 25392-2021</t>
        </is>
      </c>
      <c r="B381" s="1" t="n">
        <v>44342</v>
      </c>
      <c r="C381" s="1" t="n">
        <v>45710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4.9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Talltita</t>
        </is>
      </c>
      <c r="S381">
        <f>HYPERLINK("https://klasma.github.io/Logging_0581/artfynd/A 25392-2021 artfynd.xlsx", "A 25392-2021")</f>
        <v/>
      </c>
      <c r="T381">
        <f>HYPERLINK("https://klasma.github.io/Logging_0581/kartor/A 25392-2021 karta.png", "A 25392-2021")</f>
        <v/>
      </c>
      <c r="V381">
        <f>HYPERLINK("https://klasma.github.io/Logging_0581/klagomål/A 25392-2021 FSC-klagomål.docx", "A 25392-2021")</f>
        <v/>
      </c>
      <c r="W381">
        <f>HYPERLINK("https://klasma.github.io/Logging_0581/klagomålsmail/A 25392-2021 FSC-klagomål mail.docx", "A 25392-2021")</f>
        <v/>
      </c>
      <c r="X381">
        <f>HYPERLINK("https://klasma.github.io/Logging_0581/tillsyn/A 25392-2021 tillsynsbegäran.docx", "A 25392-2021")</f>
        <v/>
      </c>
      <c r="Y381">
        <f>HYPERLINK("https://klasma.github.io/Logging_0581/tillsynsmail/A 25392-2021 tillsynsbegäran mail.docx", "A 25392-2021")</f>
        <v/>
      </c>
      <c r="Z381">
        <f>HYPERLINK("https://klasma.github.io/Logging_0581/fåglar/A 25392-2021 prioriterade fågelarter.docx", "A 25392-2021")</f>
        <v/>
      </c>
    </row>
    <row r="382" ht="15" customHeight="1">
      <c r="A382" t="inlineStr">
        <is>
          <t>A 25288-2021</t>
        </is>
      </c>
      <c r="B382" s="1" t="n">
        <v>44342</v>
      </c>
      <c r="C382" s="1" t="n">
        <v>45710</v>
      </c>
      <c r="D382" t="inlineStr">
        <is>
          <t>ÖSTERGÖTLANDS LÄN</t>
        </is>
      </c>
      <c r="E382" t="inlineStr">
        <is>
          <t>KINDA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Smalsprötad bastardsvärmare</t>
        </is>
      </c>
      <c r="S382">
        <f>HYPERLINK("https://klasma.github.io/Logging_0513/artfynd/A 25288-2021 artfynd.xlsx", "A 25288-2021")</f>
        <v/>
      </c>
      <c r="T382">
        <f>HYPERLINK("https://klasma.github.io/Logging_0513/kartor/A 25288-2021 karta.png", "A 25288-2021")</f>
        <v/>
      </c>
      <c r="V382">
        <f>HYPERLINK("https://klasma.github.io/Logging_0513/klagomål/A 25288-2021 FSC-klagomål.docx", "A 25288-2021")</f>
        <v/>
      </c>
      <c r="W382">
        <f>HYPERLINK("https://klasma.github.io/Logging_0513/klagomålsmail/A 25288-2021 FSC-klagomål mail.docx", "A 25288-2021")</f>
        <v/>
      </c>
      <c r="X382">
        <f>HYPERLINK("https://klasma.github.io/Logging_0513/tillsyn/A 25288-2021 tillsynsbegäran.docx", "A 25288-2021")</f>
        <v/>
      </c>
      <c r="Y382">
        <f>HYPERLINK("https://klasma.github.io/Logging_0513/tillsynsmail/A 25288-2021 tillsynsbegäran mail.docx", "A 25288-2021")</f>
        <v/>
      </c>
    </row>
    <row r="383" ht="15" customHeight="1">
      <c r="A383" t="inlineStr">
        <is>
          <t>A 25614-2021</t>
        </is>
      </c>
      <c r="B383" s="1" t="n">
        <v>44343</v>
      </c>
      <c r="C383" s="1" t="n">
        <v>45710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13.4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Fällmossa</t>
        </is>
      </c>
      <c r="S383">
        <f>HYPERLINK("https://klasma.github.io/Logging_0581/artfynd/A 25614-2021 artfynd.xlsx", "A 25614-2021")</f>
        <v/>
      </c>
      <c r="T383">
        <f>HYPERLINK("https://klasma.github.io/Logging_0581/kartor/A 25614-2021 karta.png", "A 25614-2021")</f>
        <v/>
      </c>
      <c r="V383">
        <f>HYPERLINK("https://klasma.github.io/Logging_0581/klagomål/A 25614-2021 FSC-klagomål.docx", "A 25614-2021")</f>
        <v/>
      </c>
      <c r="W383">
        <f>HYPERLINK("https://klasma.github.io/Logging_0581/klagomålsmail/A 25614-2021 FSC-klagomål mail.docx", "A 25614-2021")</f>
        <v/>
      </c>
      <c r="X383">
        <f>HYPERLINK("https://klasma.github.io/Logging_0581/tillsyn/A 25614-2021 tillsynsbegäran.docx", "A 25614-2021")</f>
        <v/>
      </c>
      <c r="Y383">
        <f>HYPERLINK("https://klasma.github.io/Logging_0581/tillsynsmail/A 25614-2021 tillsynsbegäran mail.docx", "A 25614-2021")</f>
        <v/>
      </c>
    </row>
    <row r="384" ht="15" customHeight="1">
      <c r="A384" t="inlineStr">
        <is>
          <t>A 25868-2021</t>
        </is>
      </c>
      <c r="B384" s="1" t="n">
        <v>44344</v>
      </c>
      <c r="C384" s="1" t="n">
        <v>45710</v>
      </c>
      <c r="D384" t="inlineStr">
        <is>
          <t>ÖSTERGÖTLANDS LÄN</t>
        </is>
      </c>
      <c r="E384" t="inlineStr">
        <is>
          <t>ÖDESHÖG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HYPERLINK("https://klasma.github.io/Logging_0509/artfynd/A 25868-2021 artfynd.xlsx", "A 25868-2021")</f>
        <v/>
      </c>
      <c r="T384">
        <f>HYPERLINK("https://klasma.github.io/Logging_0509/kartor/A 25868-2021 karta.png", "A 25868-2021")</f>
        <v/>
      </c>
      <c r="V384">
        <f>HYPERLINK("https://klasma.github.io/Logging_0509/klagomål/A 25868-2021 FSC-klagomål.docx", "A 25868-2021")</f>
        <v/>
      </c>
      <c r="W384">
        <f>HYPERLINK("https://klasma.github.io/Logging_0509/klagomålsmail/A 25868-2021 FSC-klagomål mail.docx", "A 25868-2021")</f>
        <v/>
      </c>
      <c r="X384">
        <f>HYPERLINK("https://klasma.github.io/Logging_0509/tillsyn/A 25868-2021 tillsynsbegäran.docx", "A 25868-2021")</f>
        <v/>
      </c>
      <c r="Y384">
        <f>HYPERLINK("https://klasma.github.io/Logging_0509/tillsynsmail/A 25868-2021 tillsynsbegäran mail.docx", "A 25868-2021")</f>
        <v/>
      </c>
    </row>
    <row r="385" ht="15" customHeight="1">
      <c r="A385" t="inlineStr">
        <is>
          <t>A 27863-2021</t>
        </is>
      </c>
      <c r="B385" s="1" t="n">
        <v>44354</v>
      </c>
      <c r="C385" s="1" t="n">
        <v>45710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HYPERLINK("https://klasma.github.io/Logging_0581/artfynd/A 27863-2021 artfynd.xlsx", "A 27863-2021")</f>
        <v/>
      </c>
      <c r="T385">
        <f>HYPERLINK("https://klasma.github.io/Logging_0581/kartor/A 27863-2021 karta.png", "A 27863-2021")</f>
        <v/>
      </c>
      <c r="V385">
        <f>HYPERLINK("https://klasma.github.io/Logging_0581/klagomål/A 27863-2021 FSC-klagomål.docx", "A 27863-2021")</f>
        <v/>
      </c>
      <c r="W385">
        <f>HYPERLINK("https://klasma.github.io/Logging_0581/klagomålsmail/A 27863-2021 FSC-klagomål mail.docx", "A 27863-2021")</f>
        <v/>
      </c>
      <c r="X385">
        <f>HYPERLINK("https://klasma.github.io/Logging_0581/tillsyn/A 27863-2021 tillsynsbegäran.docx", "A 27863-2021")</f>
        <v/>
      </c>
      <c r="Y385">
        <f>HYPERLINK("https://klasma.github.io/Logging_0581/tillsynsmail/A 27863-2021 tillsynsbegäran mail.docx", "A 27863-2021")</f>
        <v/>
      </c>
    </row>
    <row r="386" ht="15" customHeight="1">
      <c r="A386" t="inlineStr">
        <is>
          <t>A 28953-2021</t>
        </is>
      </c>
      <c r="B386" s="1" t="n">
        <v>44358</v>
      </c>
      <c r="C386" s="1" t="n">
        <v>45710</v>
      </c>
      <c r="D386" t="inlineStr">
        <is>
          <t>ÖSTERGÖTLANDS LÄN</t>
        </is>
      </c>
      <c r="E386" t="inlineStr">
        <is>
          <t>YDRE</t>
        </is>
      </c>
      <c r="G386" t="n">
        <v>2.2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Hårklomossa</t>
        </is>
      </c>
      <c r="S386">
        <f>HYPERLINK("https://klasma.github.io/Logging_0512/artfynd/A 28953-2021 artfynd.xlsx", "A 28953-2021")</f>
        <v/>
      </c>
      <c r="T386">
        <f>HYPERLINK("https://klasma.github.io/Logging_0512/kartor/A 28953-2021 karta.png", "A 28953-2021")</f>
        <v/>
      </c>
      <c r="V386">
        <f>HYPERLINK("https://klasma.github.io/Logging_0512/klagomål/A 28953-2021 FSC-klagomål.docx", "A 28953-2021")</f>
        <v/>
      </c>
      <c r="W386">
        <f>HYPERLINK("https://klasma.github.io/Logging_0512/klagomålsmail/A 28953-2021 FSC-klagomål mail.docx", "A 28953-2021")</f>
        <v/>
      </c>
      <c r="X386">
        <f>HYPERLINK("https://klasma.github.io/Logging_0512/tillsyn/A 28953-2021 tillsynsbegäran.docx", "A 28953-2021")</f>
        <v/>
      </c>
      <c r="Y386">
        <f>HYPERLINK("https://klasma.github.io/Logging_0512/tillsynsmail/A 28953-2021 tillsynsbegäran mail.docx", "A 28953-2021")</f>
        <v/>
      </c>
    </row>
    <row r="387" ht="15" customHeight="1">
      <c r="A387" t="inlineStr">
        <is>
          <t>A 34171-2021</t>
        </is>
      </c>
      <c r="B387" s="1" t="n">
        <v>44379</v>
      </c>
      <c r="C387" s="1" t="n">
        <v>45710</v>
      </c>
      <c r="D387" t="inlineStr">
        <is>
          <t>ÖSTERGÖTLANDS LÄN</t>
        </is>
      </c>
      <c r="E387" t="inlineStr">
        <is>
          <t>SÖDERKÖPING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Tjockfotad fingersvamp</t>
        </is>
      </c>
      <c r="S387">
        <f>HYPERLINK("https://klasma.github.io/Logging_0582/artfynd/A 34171-2021 artfynd.xlsx", "A 34171-2021")</f>
        <v/>
      </c>
      <c r="T387">
        <f>HYPERLINK("https://klasma.github.io/Logging_0582/kartor/A 34171-2021 karta.png", "A 34171-2021")</f>
        <v/>
      </c>
      <c r="V387">
        <f>HYPERLINK("https://klasma.github.io/Logging_0582/klagomål/A 34171-2021 FSC-klagomål.docx", "A 34171-2021")</f>
        <v/>
      </c>
      <c r="W387">
        <f>HYPERLINK("https://klasma.github.io/Logging_0582/klagomålsmail/A 34171-2021 FSC-klagomål mail.docx", "A 34171-2021")</f>
        <v/>
      </c>
      <c r="X387">
        <f>HYPERLINK("https://klasma.github.io/Logging_0582/tillsyn/A 34171-2021 tillsynsbegäran.docx", "A 34171-2021")</f>
        <v/>
      </c>
      <c r="Y387">
        <f>HYPERLINK("https://klasma.github.io/Logging_0582/tillsynsmail/A 34171-2021 tillsynsbegäran mail.docx", "A 34171-2021")</f>
        <v/>
      </c>
    </row>
    <row r="388" ht="15" customHeight="1">
      <c r="A388" t="inlineStr">
        <is>
          <t>A 38056-2021</t>
        </is>
      </c>
      <c r="B388" s="1" t="n">
        <v>44404</v>
      </c>
      <c r="C388" s="1" t="n">
        <v>45710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Flagellkvastmossa</t>
        </is>
      </c>
      <c r="S388">
        <f>HYPERLINK("https://klasma.github.io/Logging_0562/artfynd/A 38056-2021 artfynd.xlsx", "A 38056-2021")</f>
        <v/>
      </c>
      <c r="T388">
        <f>HYPERLINK("https://klasma.github.io/Logging_0562/kartor/A 38056-2021 karta.png", "A 38056-2021")</f>
        <v/>
      </c>
      <c r="V388">
        <f>HYPERLINK("https://klasma.github.io/Logging_0562/klagomål/A 38056-2021 FSC-klagomål.docx", "A 38056-2021")</f>
        <v/>
      </c>
      <c r="W388">
        <f>HYPERLINK("https://klasma.github.io/Logging_0562/klagomålsmail/A 38056-2021 FSC-klagomål mail.docx", "A 38056-2021")</f>
        <v/>
      </c>
      <c r="X388">
        <f>HYPERLINK("https://klasma.github.io/Logging_0562/tillsyn/A 38056-2021 tillsynsbegäran.docx", "A 38056-2021")</f>
        <v/>
      </c>
      <c r="Y388">
        <f>HYPERLINK("https://klasma.github.io/Logging_0562/tillsynsmail/A 38056-2021 tillsynsbegäran mail.docx", "A 38056-2021")</f>
        <v/>
      </c>
    </row>
    <row r="389" ht="15" customHeight="1">
      <c r="A389" t="inlineStr">
        <is>
          <t>A 38129-2021</t>
        </is>
      </c>
      <c r="B389" s="1" t="n">
        <v>44405</v>
      </c>
      <c r="C389" s="1" t="n">
        <v>45710</v>
      </c>
      <c r="D389" t="inlineStr">
        <is>
          <t>ÖSTERGÖTLANDS LÄN</t>
        </is>
      </c>
      <c r="E389" t="inlineStr">
        <is>
          <t>LINKÖPING</t>
        </is>
      </c>
      <c r="G389" t="n">
        <v>1.8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38129-2021 artfynd.xlsx", "A 38129-2021")</f>
        <v/>
      </c>
      <c r="T389">
        <f>HYPERLINK("https://klasma.github.io/Logging_0580/kartor/A 38129-2021 karta.png", "A 38129-2021")</f>
        <v/>
      </c>
      <c r="V389">
        <f>HYPERLINK("https://klasma.github.io/Logging_0580/klagomål/A 38129-2021 FSC-klagomål.docx", "A 38129-2021")</f>
        <v/>
      </c>
      <c r="W389">
        <f>HYPERLINK("https://klasma.github.io/Logging_0580/klagomålsmail/A 38129-2021 FSC-klagomål mail.docx", "A 38129-2021")</f>
        <v/>
      </c>
      <c r="X389">
        <f>HYPERLINK("https://klasma.github.io/Logging_0580/tillsyn/A 38129-2021 tillsynsbegäran.docx", "A 38129-2021")</f>
        <v/>
      </c>
      <c r="Y389">
        <f>HYPERLINK("https://klasma.github.io/Logging_0580/tillsynsmail/A 38129-2021 tillsynsbegäran mail.docx", "A 38129-2021")</f>
        <v/>
      </c>
      <c r="Z389">
        <f>HYPERLINK("https://klasma.github.io/Logging_0580/fåglar/A 38129-2021 prioriterade fågelarter.docx", "A 38129-2021")</f>
        <v/>
      </c>
    </row>
    <row r="390" ht="15" customHeight="1">
      <c r="A390" t="inlineStr">
        <is>
          <t>A 39488-2021</t>
        </is>
      </c>
      <c r="B390" s="1" t="n">
        <v>44414</v>
      </c>
      <c r="C390" s="1" t="n">
        <v>45710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Ekticka</t>
        </is>
      </c>
      <c r="S390">
        <f>HYPERLINK("https://klasma.github.io/Logging_0561/artfynd/A 39488-2021 artfynd.xlsx", "A 39488-2021")</f>
        <v/>
      </c>
      <c r="T390">
        <f>HYPERLINK("https://klasma.github.io/Logging_0561/kartor/A 39488-2021 karta.png", "A 39488-2021")</f>
        <v/>
      </c>
      <c r="V390">
        <f>HYPERLINK("https://klasma.github.io/Logging_0561/klagomål/A 39488-2021 FSC-klagomål.docx", "A 39488-2021")</f>
        <v/>
      </c>
      <c r="W390">
        <f>HYPERLINK("https://klasma.github.io/Logging_0561/klagomålsmail/A 39488-2021 FSC-klagomål mail.docx", "A 39488-2021")</f>
        <v/>
      </c>
      <c r="X390">
        <f>HYPERLINK("https://klasma.github.io/Logging_0561/tillsyn/A 39488-2021 tillsynsbegäran.docx", "A 39488-2021")</f>
        <v/>
      </c>
      <c r="Y390">
        <f>HYPERLINK("https://klasma.github.io/Logging_0561/tillsynsmail/A 39488-2021 tillsynsbegäran mail.docx", "A 39488-2021")</f>
        <v/>
      </c>
    </row>
    <row r="391" ht="15" customHeight="1">
      <c r="A391" t="inlineStr">
        <is>
          <t>A 40100-2021</t>
        </is>
      </c>
      <c r="B391" s="1" t="n">
        <v>44418</v>
      </c>
      <c r="C391" s="1" t="n">
        <v>45710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Grönpyrola</t>
        </is>
      </c>
      <c r="S391">
        <f>HYPERLINK("https://klasma.github.io/Logging_0513/artfynd/A 40100-2021 artfynd.xlsx", "A 40100-2021")</f>
        <v/>
      </c>
      <c r="T391">
        <f>HYPERLINK("https://klasma.github.io/Logging_0513/kartor/A 40100-2021 karta.png", "A 40100-2021")</f>
        <v/>
      </c>
      <c r="V391">
        <f>HYPERLINK("https://klasma.github.io/Logging_0513/klagomål/A 40100-2021 FSC-klagomål.docx", "A 40100-2021")</f>
        <v/>
      </c>
      <c r="W391">
        <f>HYPERLINK("https://klasma.github.io/Logging_0513/klagomålsmail/A 40100-2021 FSC-klagomål mail.docx", "A 40100-2021")</f>
        <v/>
      </c>
      <c r="X391">
        <f>HYPERLINK("https://klasma.github.io/Logging_0513/tillsyn/A 40100-2021 tillsynsbegäran.docx", "A 40100-2021")</f>
        <v/>
      </c>
      <c r="Y391">
        <f>HYPERLINK("https://klasma.github.io/Logging_0513/tillsynsmail/A 40100-2021 tillsynsbegäran mail.docx", "A 40100-2021")</f>
        <v/>
      </c>
    </row>
    <row r="392" ht="15" customHeight="1">
      <c r="A392" t="inlineStr">
        <is>
          <t>A 40463-2021</t>
        </is>
      </c>
      <c r="B392" s="1" t="n">
        <v>44419</v>
      </c>
      <c r="C392" s="1" t="n">
        <v>45710</v>
      </c>
      <c r="D392" t="inlineStr">
        <is>
          <t>ÖSTERGÖTLANDS LÄN</t>
        </is>
      </c>
      <c r="E392" t="inlineStr">
        <is>
          <t>KINDA</t>
        </is>
      </c>
      <c r="G392" t="n">
        <v>11.5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Fjällig taggsvamp s.str.</t>
        </is>
      </c>
      <c r="S392">
        <f>HYPERLINK("https://klasma.github.io/Logging_0513/artfynd/A 40463-2021 artfynd.xlsx", "A 40463-2021")</f>
        <v/>
      </c>
      <c r="T392">
        <f>HYPERLINK("https://klasma.github.io/Logging_0513/kartor/A 40463-2021 karta.png", "A 40463-2021")</f>
        <v/>
      </c>
      <c r="V392">
        <f>HYPERLINK("https://klasma.github.io/Logging_0513/klagomål/A 40463-2021 FSC-klagomål.docx", "A 40463-2021")</f>
        <v/>
      </c>
      <c r="W392">
        <f>HYPERLINK("https://klasma.github.io/Logging_0513/klagomålsmail/A 40463-2021 FSC-klagomål mail.docx", "A 40463-2021")</f>
        <v/>
      </c>
      <c r="X392">
        <f>HYPERLINK("https://klasma.github.io/Logging_0513/tillsyn/A 40463-2021 tillsynsbegäran.docx", "A 40463-2021")</f>
        <v/>
      </c>
      <c r="Y392">
        <f>HYPERLINK("https://klasma.github.io/Logging_0513/tillsynsmail/A 40463-2021 tillsynsbegäran mail.docx", "A 40463-2021")</f>
        <v/>
      </c>
    </row>
    <row r="393" ht="15" customHeight="1">
      <c r="A393" t="inlineStr">
        <is>
          <t>A 42188-2021</t>
        </is>
      </c>
      <c r="B393" s="1" t="n">
        <v>44426</v>
      </c>
      <c r="C393" s="1" t="n">
        <v>45710</v>
      </c>
      <c r="D393" t="inlineStr">
        <is>
          <t>ÖSTERGÖTLANDS LÄN</t>
        </is>
      </c>
      <c r="E393" t="inlineStr">
        <is>
          <t>NORRKÖPING</t>
        </is>
      </c>
      <c r="G393" t="n">
        <v>2.2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Ängsnycklar</t>
        </is>
      </c>
      <c r="S393">
        <f>HYPERLINK("https://klasma.github.io/Logging_0581/artfynd/A 42188-2021 artfynd.xlsx", "A 42188-2021")</f>
        <v/>
      </c>
      <c r="T393">
        <f>HYPERLINK("https://klasma.github.io/Logging_0581/kartor/A 42188-2021 karta.png", "A 42188-2021")</f>
        <v/>
      </c>
      <c r="V393">
        <f>HYPERLINK("https://klasma.github.io/Logging_0581/klagomål/A 42188-2021 FSC-klagomål.docx", "A 42188-2021")</f>
        <v/>
      </c>
      <c r="W393">
        <f>HYPERLINK("https://klasma.github.io/Logging_0581/klagomålsmail/A 42188-2021 FSC-klagomål mail.docx", "A 42188-2021")</f>
        <v/>
      </c>
      <c r="X393">
        <f>HYPERLINK("https://klasma.github.io/Logging_0581/tillsyn/A 42188-2021 tillsynsbegäran.docx", "A 42188-2021")</f>
        <v/>
      </c>
      <c r="Y393">
        <f>HYPERLINK("https://klasma.github.io/Logging_0581/tillsynsmail/A 42188-2021 tillsynsbegäran mail.docx", "A 42188-2021")</f>
        <v/>
      </c>
    </row>
    <row r="394" ht="15" customHeight="1">
      <c r="A394" t="inlineStr">
        <is>
          <t>A 42909-2021</t>
        </is>
      </c>
      <c r="B394" s="1" t="n">
        <v>44431</v>
      </c>
      <c r="C394" s="1" t="n">
        <v>45710</v>
      </c>
      <c r="D394" t="inlineStr">
        <is>
          <t>ÖSTERGÖTLANDS LÄN</t>
        </is>
      </c>
      <c r="E394" t="inlineStr">
        <is>
          <t>SÖDERKÖPING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1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Skogsalm</t>
        </is>
      </c>
      <c r="S394">
        <f>HYPERLINK("https://klasma.github.io/Logging_0582/artfynd/A 42909-2021 artfynd.xlsx", "A 42909-2021")</f>
        <v/>
      </c>
      <c r="T394">
        <f>HYPERLINK("https://klasma.github.io/Logging_0582/kartor/A 42909-2021 karta.png", "A 42909-2021")</f>
        <v/>
      </c>
      <c r="V394">
        <f>HYPERLINK("https://klasma.github.io/Logging_0582/klagomål/A 42909-2021 FSC-klagomål.docx", "A 42909-2021")</f>
        <v/>
      </c>
      <c r="W394">
        <f>HYPERLINK("https://klasma.github.io/Logging_0582/klagomålsmail/A 42909-2021 FSC-klagomål mail.docx", "A 42909-2021")</f>
        <v/>
      </c>
      <c r="X394">
        <f>HYPERLINK("https://klasma.github.io/Logging_0582/tillsyn/A 42909-2021 tillsynsbegäran.docx", "A 42909-2021")</f>
        <v/>
      </c>
      <c r="Y394">
        <f>HYPERLINK("https://klasma.github.io/Logging_0582/tillsynsmail/A 42909-2021 tillsynsbegäran mail.docx", "A 42909-2021")</f>
        <v/>
      </c>
    </row>
    <row r="395" ht="15" customHeight="1">
      <c r="A395" t="inlineStr">
        <is>
          <t>A 43017-2021</t>
        </is>
      </c>
      <c r="B395" s="1" t="n">
        <v>44431</v>
      </c>
      <c r="C395" s="1" t="n">
        <v>45710</v>
      </c>
      <c r="D395" t="inlineStr">
        <is>
          <t>ÖSTERGÖTLANDS LÄN</t>
        </is>
      </c>
      <c r="E395" t="inlineStr">
        <is>
          <t>LINKÖPING</t>
        </is>
      </c>
      <c r="G395" t="n">
        <v>0.9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Hapalopilus aurantiacus</t>
        </is>
      </c>
      <c r="S395">
        <f>HYPERLINK("https://klasma.github.io/Logging_0580/artfynd/A 43017-2021 artfynd.xlsx", "A 43017-2021")</f>
        <v/>
      </c>
      <c r="T395">
        <f>HYPERLINK("https://klasma.github.io/Logging_0580/kartor/A 43017-2021 karta.png", "A 43017-2021")</f>
        <v/>
      </c>
      <c r="V395">
        <f>HYPERLINK("https://klasma.github.io/Logging_0580/klagomål/A 43017-2021 FSC-klagomål.docx", "A 43017-2021")</f>
        <v/>
      </c>
      <c r="W395">
        <f>HYPERLINK("https://klasma.github.io/Logging_0580/klagomålsmail/A 43017-2021 FSC-klagomål mail.docx", "A 43017-2021")</f>
        <v/>
      </c>
      <c r="X395">
        <f>HYPERLINK("https://klasma.github.io/Logging_0580/tillsyn/A 43017-2021 tillsynsbegäran.docx", "A 43017-2021")</f>
        <v/>
      </c>
      <c r="Y395">
        <f>HYPERLINK("https://klasma.github.io/Logging_0580/tillsynsmail/A 43017-2021 tillsynsbegäran mail.docx", "A 43017-2021")</f>
        <v/>
      </c>
    </row>
    <row r="396" ht="15" customHeight="1">
      <c r="A396" t="inlineStr">
        <is>
          <t>A 44552-2021</t>
        </is>
      </c>
      <c r="B396" s="1" t="n">
        <v>44435</v>
      </c>
      <c r="C396" s="1" t="n">
        <v>45710</v>
      </c>
      <c r="D396" t="inlineStr">
        <is>
          <t>ÖSTERGÖTLANDS LÄN</t>
        </is>
      </c>
      <c r="E396" t="inlineStr">
        <is>
          <t>KINDA</t>
        </is>
      </c>
      <c r="G396" t="n">
        <v>3.7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Storgröe</t>
        </is>
      </c>
      <c r="S396">
        <f>HYPERLINK("https://klasma.github.io/Logging_0513/artfynd/A 44552-2021 artfynd.xlsx", "A 44552-2021")</f>
        <v/>
      </c>
      <c r="T396">
        <f>HYPERLINK("https://klasma.github.io/Logging_0513/kartor/A 44552-2021 karta.png", "A 44552-2021")</f>
        <v/>
      </c>
      <c r="V396">
        <f>HYPERLINK("https://klasma.github.io/Logging_0513/klagomål/A 44552-2021 FSC-klagomål.docx", "A 44552-2021")</f>
        <v/>
      </c>
      <c r="W396">
        <f>HYPERLINK("https://klasma.github.io/Logging_0513/klagomålsmail/A 44552-2021 FSC-klagomål mail.docx", "A 44552-2021")</f>
        <v/>
      </c>
      <c r="X396">
        <f>HYPERLINK("https://klasma.github.io/Logging_0513/tillsyn/A 44552-2021 tillsynsbegäran.docx", "A 44552-2021")</f>
        <v/>
      </c>
      <c r="Y396">
        <f>HYPERLINK("https://klasma.github.io/Logging_0513/tillsynsmail/A 44552-2021 tillsynsbegäran mail.docx", "A 44552-2021")</f>
        <v/>
      </c>
    </row>
    <row r="397" ht="15" customHeight="1">
      <c r="A397" t="inlineStr">
        <is>
          <t>A 48612-2021</t>
        </is>
      </c>
      <c r="B397" s="1" t="n">
        <v>44452</v>
      </c>
      <c r="C397" s="1" t="n">
        <v>45710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Skogsklocka</t>
        </is>
      </c>
      <c r="S397">
        <f>HYPERLINK("https://klasma.github.io/Logging_0581/artfynd/A 48612-2021 artfynd.xlsx", "A 48612-2021")</f>
        <v/>
      </c>
      <c r="T397">
        <f>HYPERLINK("https://klasma.github.io/Logging_0581/kartor/A 48612-2021 karta.png", "A 48612-2021")</f>
        <v/>
      </c>
      <c r="V397">
        <f>HYPERLINK("https://klasma.github.io/Logging_0581/klagomål/A 48612-2021 FSC-klagomål.docx", "A 48612-2021")</f>
        <v/>
      </c>
      <c r="W397">
        <f>HYPERLINK("https://klasma.github.io/Logging_0581/klagomålsmail/A 48612-2021 FSC-klagomål mail.docx", "A 48612-2021")</f>
        <v/>
      </c>
      <c r="X397">
        <f>HYPERLINK("https://klasma.github.io/Logging_0581/tillsyn/A 48612-2021 tillsynsbegäran.docx", "A 48612-2021")</f>
        <v/>
      </c>
      <c r="Y397">
        <f>HYPERLINK("https://klasma.github.io/Logging_0581/tillsynsmail/A 48612-2021 tillsynsbegäran mail.docx", "A 48612-2021")</f>
        <v/>
      </c>
    </row>
    <row r="398" ht="15" customHeight="1">
      <c r="A398" t="inlineStr">
        <is>
          <t>A 49305-2021</t>
        </is>
      </c>
      <c r="B398" s="1" t="n">
        <v>44454</v>
      </c>
      <c r="C398" s="1" t="n">
        <v>45710</v>
      </c>
      <c r="D398" t="inlineStr">
        <is>
          <t>ÖSTERGÖTLANDS LÄN</t>
        </is>
      </c>
      <c r="E398" t="inlineStr">
        <is>
          <t>MOTALA</t>
        </is>
      </c>
      <c r="G398" t="n">
        <v>5.1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HYPERLINK("https://klasma.github.io/Logging_0583/artfynd/A 49305-2021 artfynd.xlsx", "A 49305-2021")</f>
        <v/>
      </c>
      <c r="T398">
        <f>HYPERLINK("https://klasma.github.io/Logging_0583/kartor/A 49305-2021 karta.png", "A 49305-2021")</f>
        <v/>
      </c>
      <c r="V398">
        <f>HYPERLINK("https://klasma.github.io/Logging_0583/klagomål/A 49305-2021 FSC-klagomål.docx", "A 49305-2021")</f>
        <v/>
      </c>
      <c r="W398">
        <f>HYPERLINK("https://klasma.github.io/Logging_0583/klagomålsmail/A 49305-2021 FSC-klagomål mail.docx", "A 49305-2021")</f>
        <v/>
      </c>
      <c r="X398">
        <f>HYPERLINK("https://klasma.github.io/Logging_0583/tillsyn/A 49305-2021 tillsynsbegäran.docx", "A 49305-2021")</f>
        <v/>
      </c>
      <c r="Y398">
        <f>HYPERLINK("https://klasma.github.io/Logging_0583/tillsynsmail/A 49305-2021 tillsynsbegäran mail.docx", "A 49305-2021")</f>
        <v/>
      </c>
    </row>
    <row r="399" ht="15" customHeight="1">
      <c r="A399" t="inlineStr">
        <is>
          <t>A 53088-2021</t>
        </is>
      </c>
      <c r="B399" s="1" t="n">
        <v>44467</v>
      </c>
      <c r="C399" s="1" t="n">
        <v>45710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HYPERLINK("https://klasma.github.io/Logging_0561/artfynd/A 53088-2021 artfynd.xlsx", "A 53088-2021")</f>
        <v/>
      </c>
      <c r="T399">
        <f>HYPERLINK("https://klasma.github.io/Logging_0561/kartor/A 53088-2021 karta.png", "A 53088-2021")</f>
        <v/>
      </c>
      <c r="U399">
        <f>HYPERLINK("https://klasma.github.io/Logging_0561/knärot/A 53088-2021 karta knärot.png", "A 53088-2021")</f>
        <v/>
      </c>
      <c r="V399">
        <f>HYPERLINK("https://klasma.github.io/Logging_0561/klagomål/A 53088-2021 FSC-klagomål.docx", "A 53088-2021")</f>
        <v/>
      </c>
      <c r="W399">
        <f>HYPERLINK("https://klasma.github.io/Logging_0561/klagomålsmail/A 53088-2021 FSC-klagomål mail.docx", "A 53088-2021")</f>
        <v/>
      </c>
      <c r="X399">
        <f>HYPERLINK("https://klasma.github.io/Logging_0561/tillsyn/A 53088-2021 tillsynsbegäran.docx", "A 53088-2021")</f>
        <v/>
      </c>
      <c r="Y399">
        <f>HYPERLINK("https://klasma.github.io/Logging_0561/tillsynsmail/A 53088-2021 tillsynsbegäran mail.docx", "A 53088-2021")</f>
        <v/>
      </c>
    </row>
    <row r="400" ht="15" customHeight="1">
      <c r="A400" t="inlineStr">
        <is>
          <t>A 53277-2021</t>
        </is>
      </c>
      <c r="B400" s="1" t="n">
        <v>44468</v>
      </c>
      <c r="C400" s="1" t="n">
        <v>45710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HYPERLINK("https://klasma.github.io/Logging_0512/artfynd/A 53277-2021 artfynd.xlsx", "A 53277-2021")</f>
        <v/>
      </c>
      <c r="T400">
        <f>HYPERLINK("https://klasma.github.io/Logging_0512/kartor/A 53277-2021 karta.png", "A 53277-2021")</f>
        <v/>
      </c>
      <c r="V400">
        <f>HYPERLINK("https://klasma.github.io/Logging_0512/klagomål/A 53277-2021 FSC-klagomål.docx", "A 53277-2021")</f>
        <v/>
      </c>
      <c r="W400">
        <f>HYPERLINK("https://klasma.github.io/Logging_0512/klagomålsmail/A 53277-2021 FSC-klagomål mail.docx", "A 53277-2021")</f>
        <v/>
      </c>
      <c r="X400">
        <f>HYPERLINK("https://klasma.github.io/Logging_0512/tillsyn/A 53277-2021 tillsynsbegäran.docx", "A 53277-2021")</f>
        <v/>
      </c>
      <c r="Y400">
        <f>HYPERLINK("https://klasma.github.io/Logging_0512/tillsynsmail/A 53277-2021 tillsynsbegäran mail.docx", "A 53277-2021")</f>
        <v/>
      </c>
    </row>
    <row r="401" ht="15" customHeight="1">
      <c r="A401" t="inlineStr">
        <is>
          <t>A 53316-2021</t>
        </is>
      </c>
      <c r="B401" s="1" t="n">
        <v>44468</v>
      </c>
      <c r="C401" s="1" t="n">
        <v>45710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5.6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Gullviva</t>
        </is>
      </c>
      <c r="S401">
        <f>HYPERLINK("https://klasma.github.io/Logging_0512/artfynd/A 53316-2021 artfynd.xlsx", "A 53316-2021")</f>
        <v/>
      </c>
      <c r="T401">
        <f>HYPERLINK("https://klasma.github.io/Logging_0512/kartor/A 53316-2021 karta.png", "A 53316-2021")</f>
        <v/>
      </c>
      <c r="V401">
        <f>HYPERLINK("https://klasma.github.io/Logging_0512/klagomål/A 53316-2021 FSC-klagomål.docx", "A 53316-2021")</f>
        <v/>
      </c>
      <c r="W401">
        <f>HYPERLINK("https://klasma.github.io/Logging_0512/klagomålsmail/A 53316-2021 FSC-klagomål mail.docx", "A 53316-2021")</f>
        <v/>
      </c>
      <c r="X401">
        <f>HYPERLINK("https://klasma.github.io/Logging_0512/tillsyn/A 53316-2021 tillsynsbegäran.docx", "A 53316-2021")</f>
        <v/>
      </c>
      <c r="Y401">
        <f>HYPERLINK("https://klasma.github.io/Logging_0512/tillsynsmail/A 53316-2021 tillsynsbegäran mail.docx", "A 53316-2021")</f>
        <v/>
      </c>
    </row>
    <row r="402" ht="15" customHeight="1">
      <c r="A402" t="inlineStr">
        <is>
          <t>A 56238-2021</t>
        </is>
      </c>
      <c r="B402" s="1" t="n">
        <v>44478</v>
      </c>
      <c r="C402" s="1" t="n">
        <v>45710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Mindre märgborre</t>
        </is>
      </c>
      <c r="S402">
        <f>HYPERLINK("https://klasma.github.io/Logging_0561/artfynd/A 56238-2021 artfynd.xlsx", "A 56238-2021")</f>
        <v/>
      </c>
      <c r="T402">
        <f>HYPERLINK("https://klasma.github.io/Logging_0561/kartor/A 56238-2021 karta.png", "A 56238-2021")</f>
        <v/>
      </c>
      <c r="V402">
        <f>HYPERLINK("https://klasma.github.io/Logging_0561/klagomål/A 56238-2021 FSC-klagomål.docx", "A 56238-2021")</f>
        <v/>
      </c>
      <c r="W402">
        <f>HYPERLINK("https://klasma.github.io/Logging_0561/klagomålsmail/A 56238-2021 FSC-klagomål mail.docx", "A 56238-2021")</f>
        <v/>
      </c>
      <c r="X402">
        <f>HYPERLINK("https://klasma.github.io/Logging_0561/tillsyn/A 56238-2021 tillsynsbegäran.docx", "A 56238-2021")</f>
        <v/>
      </c>
      <c r="Y402">
        <f>HYPERLINK("https://klasma.github.io/Logging_0561/tillsynsmail/A 56238-2021 tillsynsbegäran mail.docx", "A 56238-2021")</f>
        <v/>
      </c>
    </row>
    <row r="403" ht="15" customHeight="1">
      <c r="A403" t="inlineStr">
        <is>
          <t>A 56250-2021</t>
        </is>
      </c>
      <c r="B403" s="1" t="n">
        <v>44479</v>
      </c>
      <c r="C403" s="1" t="n">
        <v>45710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Strutbräken</t>
        </is>
      </c>
      <c r="S403">
        <f>HYPERLINK("https://klasma.github.io/Logging_0580/artfynd/A 56250-2021 artfynd.xlsx", "A 56250-2021")</f>
        <v/>
      </c>
      <c r="T403">
        <f>HYPERLINK("https://klasma.github.io/Logging_0580/kartor/A 56250-2021 karta.png", "A 56250-2021")</f>
        <v/>
      </c>
      <c r="V403">
        <f>HYPERLINK("https://klasma.github.io/Logging_0580/klagomål/A 56250-2021 FSC-klagomål.docx", "A 56250-2021")</f>
        <v/>
      </c>
      <c r="W403">
        <f>HYPERLINK("https://klasma.github.io/Logging_0580/klagomålsmail/A 56250-2021 FSC-klagomål mail.docx", "A 56250-2021")</f>
        <v/>
      </c>
      <c r="X403">
        <f>HYPERLINK("https://klasma.github.io/Logging_0580/tillsyn/A 56250-2021 tillsynsbegäran.docx", "A 56250-2021")</f>
        <v/>
      </c>
      <c r="Y403">
        <f>HYPERLINK("https://klasma.github.io/Logging_0580/tillsynsmail/A 56250-2021 tillsynsbegäran mail.docx", "A 56250-2021")</f>
        <v/>
      </c>
    </row>
    <row r="404" ht="15" customHeight="1">
      <c r="A404" t="inlineStr">
        <is>
          <t>A 56584-2021</t>
        </is>
      </c>
      <c r="B404" s="1" t="n">
        <v>44480</v>
      </c>
      <c r="C404" s="1" t="n">
        <v>45710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Vätteros</t>
        </is>
      </c>
      <c r="S404">
        <f>HYPERLINK("https://klasma.github.io/Logging_0581/artfynd/A 56584-2021 artfynd.xlsx", "A 56584-2021")</f>
        <v/>
      </c>
      <c r="T404">
        <f>HYPERLINK("https://klasma.github.io/Logging_0581/kartor/A 56584-2021 karta.png", "A 56584-2021")</f>
        <v/>
      </c>
      <c r="V404">
        <f>HYPERLINK("https://klasma.github.io/Logging_0581/klagomål/A 56584-2021 FSC-klagomål.docx", "A 56584-2021")</f>
        <v/>
      </c>
      <c r="W404">
        <f>HYPERLINK("https://klasma.github.io/Logging_0581/klagomålsmail/A 56584-2021 FSC-klagomål mail.docx", "A 56584-2021")</f>
        <v/>
      </c>
      <c r="X404">
        <f>HYPERLINK("https://klasma.github.io/Logging_0581/tillsyn/A 56584-2021 tillsynsbegäran.docx", "A 56584-2021")</f>
        <v/>
      </c>
      <c r="Y404">
        <f>HYPERLINK("https://klasma.github.io/Logging_0581/tillsynsmail/A 56584-2021 tillsynsbegäran mail.docx", "A 56584-2021")</f>
        <v/>
      </c>
    </row>
    <row r="405" ht="15" customHeight="1">
      <c r="A405" t="inlineStr">
        <is>
          <t>A 56668-2021</t>
        </is>
      </c>
      <c r="B405" s="1" t="n">
        <v>44481</v>
      </c>
      <c r="C405" s="1" t="n">
        <v>45710</v>
      </c>
      <c r="D405" t="inlineStr">
        <is>
          <t>ÖSTERGÖTLANDS LÄN</t>
        </is>
      </c>
      <c r="E405" t="inlineStr">
        <is>
          <t>SÖDERKÖPING</t>
        </is>
      </c>
      <c r="G405" t="n">
        <v>11.2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HYPERLINK("https://klasma.github.io/Logging_0582/artfynd/A 56668-2021 artfynd.xlsx", "A 56668-2021")</f>
        <v/>
      </c>
      <c r="T405">
        <f>HYPERLINK("https://klasma.github.io/Logging_0582/kartor/A 56668-2021 karta.png", "A 56668-2021")</f>
        <v/>
      </c>
      <c r="U405">
        <f>HYPERLINK("https://klasma.github.io/Logging_0582/knärot/A 56668-2021 karta knärot.png", "A 56668-2021")</f>
        <v/>
      </c>
      <c r="V405">
        <f>HYPERLINK("https://klasma.github.io/Logging_0582/klagomål/A 56668-2021 FSC-klagomål.docx", "A 56668-2021")</f>
        <v/>
      </c>
      <c r="W405">
        <f>HYPERLINK("https://klasma.github.io/Logging_0582/klagomålsmail/A 56668-2021 FSC-klagomål mail.docx", "A 56668-2021")</f>
        <v/>
      </c>
      <c r="X405">
        <f>HYPERLINK("https://klasma.github.io/Logging_0582/tillsyn/A 56668-2021 tillsynsbegäran.docx", "A 56668-2021")</f>
        <v/>
      </c>
      <c r="Y405">
        <f>HYPERLINK("https://klasma.github.io/Logging_0582/tillsynsmail/A 56668-2021 tillsynsbegäran mail.docx", "A 56668-2021")</f>
        <v/>
      </c>
    </row>
    <row r="406" ht="15" customHeight="1">
      <c r="A406" t="inlineStr">
        <is>
          <t>A 57456-2021</t>
        </is>
      </c>
      <c r="B406" s="1" t="n">
        <v>44483</v>
      </c>
      <c r="C406" s="1" t="n">
        <v>45710</v>
      </c>
      <c r="D406" t="inlineStr">
        <is>
          <t>ÖSTERGÖTLANDS LÄN</t>
        </is>
      </c>
      <c r="E406" t="inlineStr">
        <is>
          <t>KINDA</t>
        </is>
      </c>
      <c r="G406" t="n">
        <v>2.2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Smalsprötad bastardsvärmare</t>
        </is>
      </c>
      <c r="S406">
        <f>HYPERLINK("https://klasma.github.io/Logging_0513/artfynd/A 57456-2021 artfynd.xlsx", "A 57456-2021")</f>
        <v/>
      </c>
      <c r="T406">
        <f>HYPERLINK("https://klasma.github.io/Logging_0513/kartor/A 57456-2021 karta.png", "A 57456-2021")</f>
        <v/>
      </c>
      <c r="V406">
        <f>HYPERLINK("https://klasma.github.io/Logging_0513/klagomål/A 57456-2021 FSC-klagomål.docx", "A 57456-2021")</f>
        <v/>
      </c>
      <c r="W406">
        <f>HYPERLINK("https://klasma.github.io/Logging_0513/klagomålsmail/A 57456-2021 FSC-klagomål mail.docx", "A 57456-2021")</f>
        <v/>
      </c>
      <c r="X406">
        <f>HYPERLINK("https://klasma.github.io/Logging_0513/tillsyn/A 57456-2021 tillsynsbegäran.docx", "A 57456-2021")</f>
        <v/>
      </c>
      <c r="Y406">
        <f>HYPERLINK("https://klasma.github.io/Logging_0513/tillsynsmail/A 57456-2021 tillsynsbegäran mail.docx", "A 57456-2021")</f>
        <v/>
      </c>
    </row>
    <row r="407" ht="15" customHeight="1">
      <c r="A407" t="inlineStr">
        <is>
          <t>A 59092-2021</t>
        </is>
      </c>
      <c r="B407" s="1" t="n">
        <v>44490</v>
      </c>
      <c r="C407" s="1" t="n">
        <v>45710</v>
      </c>
      <c r="D407" t="inlineStr">
        <is>
          <t>ÖSTERGÖTLANDS LÄN</t>
        </is>
      </c>
      <c r="E407" t="inlineStr">
        <is>
          <t>NORRKÖPING</t>
        </is>
      </c>
      <c r="G407" t="n">
        <v>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Tallticka</t>
        </is>
      </c>
      <c r="S407">
        <f>HYPERLINK("https://klasma.github.io/Logging_0581/artfynd/A 59092-2021 artfynd.xlsx", "A 59092-2021")</f>
        <v/>
      </c>
      <c r="T407">
        <f>HYPERLINK("https://klasma.github.io/Logging_0581/kartor/A 59092-2021 karta.png", "A 59092-2021")</f>
        <v/>
      </c>
      <c r="V407">
        <f>HYPERLINK("https://klasma.github.io/Logging_0581/klagomål/A 59092-2021 FSC-klagomål.docx", "A 59092-2021")</f>
        <v/>
      </c>
      <c r="W407">
        <f>HYPERLINK("https://klasma.github.io/Logging_0581/klagomålsmail/A 59092-2021 FSC-klagomål mail.docx", "A 59092-2021")</f>
        <v/>
      </c>
      <c r="X407">
        <f>HYPERLINK("https://klasma.github.io/Logging_0581/tillsyn/A 59092-2021 tillsynsbegäran.docx", "A 59092-2021")</f>
        <v/>
      </c>
      <c r="Y407">
        <f>HYPERLINK("https://klasma.github.io/Logging_0581/tillsynsmail/A 59092-2021 tillsynsbegäran mail.docx", "A 59092-2021")</f>
        <v/>
      </c>
    </row>
    <row r="408" ht="15" customHeight="1">
      <c r="A408" t="inlineStr">
        <is>
          <t>A 59254-2021</t>
        </is>
      </c>
      <c r="B408" s="1" t="n">
        <v>44490</v>
      </c>
      <c r="C408" s="1" t="n">
        <v>45710</v>
      </c>
      <c r="D408" t="inlineStr">
        <is>
          <t>ÖSTERGÖTLANDS LÄN</t>
        </is>
      </c>
      <c r="E408" t="inlineStr">
        <is>
          <t>NORRKÖPING</t>
        </is>
      </c>
      <c r="G408" t="n">
        <v>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Kattfotslav</t>
        </is>
      </c>
      <c r="S408">
        <f>HYPERLINK("https://klasma.github.io/Logging_0581/artfynd/A 59254-2021 artfynd.xlsx", "A 59254-2021")</f>
        <v/>
      </c>
      <c r="T408">
        <f>HYPERLINK("https://klasma.github.io/Logging_0581/kartor/A 59254-2021 karta.png", "A 59254-2021")</f>
        <v/>
      </c>
      <c r="V408">
        <f>HYPERLINK("https://klasma.github.io/Logging_0581/klagomål/A 59254-2021 FSC-klagomål.docx", "A 59254-2021")</f>
        <v/>
      </c>
      <c r="W408">
        <f>HYPERLINK("https://klasma.github.io/Logging_0581/klagomålsmail/A 59254-2021 FSC-klagomål mail.docx", "A 59254-2021")</f>
        <v/>
      </c>
      <c r="X408">
        <f>HYPERLINK("https://klasma.github.io/Logging_0581/tillsyn/A 59254-2021 tillsynsbegäran.docx", "A 59254-2021")</f>
        <v/>
      </c>
      <c r="Y408">
        <f>HYPERLINK("https://klasma.github.io/Logging_0581/tillsynsmail/A 59254-2021 tillsynsbegäran mail.docx", "A 59254-2021")</f>
        <v/>
      </c>
    </row>
    <row r="409" ht="15" customHeight="1">
      <c r="A409" t="inlineStr">
        <is>
          <t>A 60573-2021</t>
        </is>
      </c>
      <c r="B409" s="1" t="n">
        <v>44496</v>
      </c>
      <c r="C409" s="1" t="n">
        <v>45710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Sommarfibbla</t>
        </is>
      </c>
      <c r="S409">
        <f>HYPERLINK("https://klasma.github.io/Logging_0580/artfynd/A 60573-2021 artfynd.xlsx", "A 60573-2021")</f>
        <v/>
      </c>
      <c r="T409">
        <f>HYPERLINK("https://klasma.github.io/Logging_0580/kartor/A 60573-2021 karta.png", "A 60573-2021")</f>
        <v/>
      </c>
      <c r="V409">
        <f>HYPERLINK("https://klasma.github.io/Logging_0580/klagomål/A 60573-2021 FSC-klagomål.docx", "A 60573-2021")</f>
        <v/>
      </c>
      <c r="W409">
        <f>HYPERLINK("https://klasma.github.io/Logging_0580/klagomålsmail/A 60573-2021 FSC-klagomål mail.docx", "A 60573-2021")</f>
        <v/>
      </c>
      <c r="X409">
        <f>HYPERLINK("https://klasma.github.io/Logging_0580/tillsyn/A 60573-2021 tillsynsbegäran.docx", "A 60573-2021")</f>
        <v/>
      </c>
      <c r="Y409">
        <f>HYPERLINK("https://klasma.github.io/Logging_0580/tillsynsmail/A 60573-2021 tillsynsbegäran mail.docx", "A 60573-2021")</f>
        <v/>
      </c>
    </row>
    <row r="410" ht="15" customHeight="1">
      <c r="A410" t="inlineStr">
        <is>
          <t>A 61393-2021</t>
        </is>
      </c>
      <c r="B410" s="1" t="n">
        <v>44500</v>
      </c>
      <c r="C410" s="1" t="n">
        <v>45710</v>
      </c>
      <c r="D410" t="inlineStr">
        <is>
          <t>ÖSTERGÖTLANDS LÄN</t>
        </is>
      </c>
      <c r="E410" t="inlineStr">
        <is>
          <t>KINDA</t>
        </is>
      </c>
      <c r="G410" t="n">
        <v>3.6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Kungsörn</t>
        </is>
      </c>
      <c r="S410">
        <f>HYPERLINK("https://klasma.github.io/Logging_0513/artfynd/A 61393-2021 artfynd.xlsx", "A 61393-2021")</f>
        <v/>
      </c>
      <c r="T410">
        <f>HYPERLINK("https://klasma.github.io/Logging_0513/kartor/A 61393-2021 karta.png", "A 61393-2021")</f>
        <v/>
      </c>
      <c r="V410">
        <f>HYPERLINK("https://klasma.github.io/Logging_0513/klagomål/A 61393-2021 FSC-klagomål.docx", "A 61393-2021")</f>
        <v/>
      </c>
      <c r="W410">
        <f>HYPERLINK("https://klasma.github.io/Logging_0513/klagomålsmail/A 61393-2021 FSC-klagomål mail.docx", "A 61393-2021")</f>
        <v/>
      </c>
      <c r="X410">
        <f>HYPERLINK("https://klasma.github.io/Logging_0513/tillsyn/A 61393-2021 tillsynsbegäran.docx", "A 61393-2021")</f>
        <v/>
      </c>
      <c r="Y410">
        <f>HYPERLINK("https://klasma.github.io/Logging_0513/tillsynsmail/A 61393-2021 tillsynsbegäran mail.docx", "A 61393-2021")</f>
        <v/>
      </c>
      <c r="Z410">
        <f>HYPERLINK("https://klasma.github.io/Logging_0513/fåglar/A 61393-2021 prioriterade fågelarter.docx", "A 61393-2021")</f>
        <v/>
      </c>
    </row>
    <row r="411" ht="15" customHeight="1">
      <c r="A411" t="inlineStr">
        <is>
          <t>A 67652-2021</t>
        </is>
      </c>
      <c r="B411" s="1" t="n">
        <v>44524</v>
      </c>
      <c r="C411" s="1" t="n">
        <v>45710</v>
      </c>
      <c r="D411" t="inlineStr">
        <is>
          <t>ÖSTERGÖTLANDS LÄN</t>
        </is>
      </c>
      <c r="E411" t="inlineStr">
        <is>
          <t>NORRKÖPING</t>
        </is>
      </c>
      <c r="G411" t="n">
        <v>0.7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HYPERLINK("https://klasma.github.io/Logging_0581/artfynd/A 67652-2021 artfynd.xlsx", "A 67652-2021")</f>
        <v/>
      </c>
      <c r="T411">
        <f>HYPERLINK("https://klasma.github.io/Logging_0581/kartor/A 67652-2021 karta.png", "A 67652-2021")</f>
        <v/>
      </c>
      <c r="V411">
        <f>HYPERLINK("https://klasma.github.io/Logging_0581/klagomål/A 67652-2021 FSC-klagomål.docx", "A 67652-2021")</f>
        <v/>
      </c>
      <c r="W411">
        <f>HYPERLINK("https://klasma.github.io/Logging_0581/klagomålsmail/A 67652-2021 FSC-klagomål mail.docx", "A 67652-2021")</f>
        <v/>
      </c>
      <c r="X411">
        <f>HYPERLINK("https://klasma.github.io/Logging_0581/tillsyn/A 67652-2021 tillsynsbegäran.docx", "A 67652-2021")</f>
        <v/>
      </c>
      <c r="Y411">
        <f>HYPERLINK("https://klasma.github.io/Logging_0581/tillsynsmail/A 67652-2021 tillsynsbegäran mail.docx", "A 67652-2021")</f>
        <v/>
      </c>
    </row>
    <row r="412" ht="15" customHeight="1">
      <c r="A412" t="inlineStr">
        <is>
          <t>A 68414-2021</t>
        </is>
      </c>
      <c r="B412" s="1" t="n">
        <v>44529</v>
      </c>
      <c r="C412" s="1" t="n">
        <v>45710</v>
      </c>
      <c r="D412" t="inlineStr">
        <is>
          <t>ÖSTERGÖTLANDS LÄN</t>
        </is>
      </c>
      <c r="E412" t="inlineStr">
        <is>
          <t>FINSPÅNG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HYPERLINK("https://klasma.github.io/Logging_0562/artfynd/A 68414-2021 artfynd.xlsx", "A 68414-2021")</f>
        <v/>
      </c>
      <c r="T412">
        <f>HYPERLINK("https://klasma.github.io/Logging_0562/kartor/A 68414-2021 karta.png", "A 68414-2021")</f>
        <v/>
      </c>
      <c r="V412">
        <f>HYPERLINK("https://klasma.github.io/Logging_0562/klagomål/A 68414-2021 FSC-klagomål.docx", "A 68414-2021")</f>
        <v/>
      </c>
      <c r="W412">
        <f>HYPERLINK("https://klasma.github.io/Logging_0562/klagomålsmail/A 68414-2021 FSC-klagomål mail.docx", "A 68414-2021")</f>
        <v/>
      </c>
      <c r="X412">
        <f>HYPERLINK("https://klasma.github.io/Logging_0562/tillsyn/A 68414-2021 tillsynsbegäran.docx", "A 68414-2021")</f>
        <v/>
      </c>
      <c r="Y412">
        <f>HYPERLINK("https://klasma.github.io/Logging_0562/tillsynsmail/A 68414-2021 tillsynsbegäran mail.docx", "A 68414-2021")</f>
        <v/>
      </c>
    </row>
    <row r="413" ht="15" customHeight="1">
      <c r="A413" t="inlineStr">
        <is>
          <t>A 69211-2021</t>
        </is>
      </c>
      <c r="B413" s="1" t="n">
        <v>44531</v>
      </c>
      <c r="C413" s="1" t="n">
        <v>45710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statliga verk och myndigheter</t>
        </is>
      </c>
      <c r="G413" t="n">
        <v>3.8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Bronshjon</t>
        </is>
      </c>
      <c r="S413">
        <f>HYPERLINK("https://klasma.github.io/Logging_0580/artfynd/A 69211-2021 artfynd.xlsx", "A 69211-2021")</f>
        <v/>
      </c>
      <c r="T413">
        <f>HYPERLINK("https://klasma.github.io/Logging_0580/kartor/A 69211-2021 karta.png", "A 69211-2021")</f>
        <v/>
      </c>
      <c r="V413">
        <f>HYPERLINK("https://klasma.github.io/Logging_0580/klagomål/A 69211-2021 FSC-klagomål.docx", "A 69211-2021")</f>
        <v/>
      </c>
      <c r="W413">
        <f>HYPERLINK("https://klasma.github.io/Logging_0580/klagomålsmail/A 69211-2021 FSC-klagomål mail.docx", "A 69211-2021")</f>
        <v/>
      </c>
      <c r="X413">
        <f>HYPERLINK("https://klasma.github.io/Logging_0580/tillsyn/A 69211-2021 tillsynsbegäran.docx", "A 69211-2021")</f>
        <v/>
      </c>
      <c r="Y413">
        <f>HYPERLINK("https://klasma.github.io/Logging_0580/tillsynsmail/A 69211-2021 tillsynsbegäran mail.docx", "A 69211-2021")</f>
        <v/>
      </c>
    </row>
    <row r="414" ht="15" customHeight="1">
      <c r="A414" t="inlineStr">
        <is>
          <t>A 71127-2021</t>
        </is>
      </c>
      <c r="B414" s="1" t="n">
        <v>44537</v>
      </c>
      <c r="C414" s="1" t="n">
        <v>45710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7.2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Svinrot</t>
        </is>
      </c>
      <c r="S414">
        <f>HYPERLINK("https://klasma.github.io/Logging_0580/artfynd/A 71127-2021 artfynd.xlsx", "A 71127-2021")</f>
        <v/>
      </c>
      <c r="T414">
        <f>HYPERLINK("https://klasma.github.io/Logging_0580/kartor/A 71127-2021 karta.png", "A 71127-2021")</f>
        <v/>
      </c>
      <c r="V414">
        <f>HYPERLINK("https://klasma.github.io/Logging_0580/klagomål/A 71127-2021 FSC-klagomål.docx", "A 71127-2021")</f>
        <v/>
      </c>
      <c r="W414">
        <f>HYPERLINK("https://klasma.github.io/Logging_0580/klagomålsmail/A 71127-2021 FSC-klagomål mail.docx", "A 71127-2021")</f>
        <v/>
      </c>
      <c r="X414">
        <f>HYPERLINK("https://klasma.github.io/Logging_0580/tillsyn/A 71127-2021 tillsynsbegäran.docx", "A 71127-2021")</f>
        <v/>
      </c>
      <c r="Y414">
        <f>HYPERLINK("https://klasma.github.io/Logging_0580/tillsynsmail/A 71127-2021 tillsynsbegäran mail.docx", "A 71127-2021")</f>
        <v/>
      </c>
    </row>
    <row r="415" ht="15" customHeight="1">
      <c r="A415" t="inlineStr">
        <is>
          <t>A 72192-2021</t>
        </is>
      </c>
      <c r="B415" s="1" t="n">
        <v>44544</v>
      </c>
      <c r="C415" s="1" t="n">
        <v>45710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HYPERLINK("https://klasma.github.io/Logging_0583/artfynd/A 72192-2021 artfynd.xlsx", "A 72192-2021")</f>
        <v/>
      </c>
      <c r="T415">
        <f>HYPERLINK("https://klasma.github.io/Logging_0583/kartor/A 72192-2021 karta.png", "A 72192-2021")</f>
        <v/>
      </c>
      <c r="V415">
        <f>HYPERLINK("https://klasma.github.io/Logging_0583/klagomål/A 72192-2021 FSC-klagomål.docx", "A 72192-2021")</f>
        <v/>
      </c>
      <c r="W415">
        <f>HYPERLINK("https://klasma.github.io/Logging_0583/klagomålsmail/A 72192-2021 FSC-klagomål mail.docx", "A 72192-2021")</f>
        <v/>
      </c>
      <c r="X415">
        <f>HYPERLINK("https://klasma.github.io/Logging_0583/tillsyn/A 72192-2021 tillsynsbegäran.docx", "A 72192-2021")</f>
        <v/>
      </c>
      <c r="Y415">
        <f>HYPERLINK("https://klasma.github.io/Logging_0583/tillsynsmail/A 72192-2021 tillsynsbegäran mail.docx", "A 72192-2021")</f>
        <v/>
      </c>
    </row>
    <row r="416" ht="15" customHeight="1">
      <c r="A416" t="inlineStr">
        <is>
          <t>A 2628-2022</t>
        </is>
      </c>
      <c r="B416" s="1" t="n">
        <v>44579</v>
      </c>
      <c r="C416" s="1" t="n">
        <v>45710</v>
      </c>
      <c r="D416" t="inlineStr">
        <is>
          <t>ÖSTERGÖTLANDS LÄN</t>
        </is>
      </c>
      <c r="E416" t="inlineStr">
        <is>
          <t>LINKÖPING</t>
        </is>
      </c>
      <c r="G416" t="n">
        <v>4.6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Dårgräsfjäril</t>
        </is>
      </c>
      <c r="S416">
        <f>HYPERLINK("https://klasma.github.io/Logging_0580/artfynd/A 2628-2022 artfynd.xlsx", "A 2628-2022")</f>
        <v/>
      </c>
      <c r="T416">
        <f>HYPERLINK("https://klasma.github.io/Logging_0580/kartor/A 2628-2022 karta.png", "A 2628-2022")</f>
        <v/>
      </c>
      <c r="V416">
        <f>HYPERLINK("https://klasma.github.io/Logging_0580/klagomål/A 2628-2022 FSC-klagomål.docx", "A 2628-2022")</f>
        <v/>
      </c>
      <c r="W416">
        <f>HYPERLINK("https://klasma.github.io/Logging_0580/klagomålsmail/A 2628-2022 FSC-klagomål mail.docx", "A 2628-2022")</f>
        <v/>
      </c>
      <c r="X416">
        <f>HYPERLINK("https://klasma.github.io/Logging_0580/tillsyn/A 2628-2022 tillsynsbegäran.docx", "A 2628-2022")</f>
        <v/>
      </c>
      <c r="Y416">
        <f>HYPERLINK("https://klasma.github.io/Logging_0580/tillsynsmail/A 2628-2022 tillsynsbegäran mail.docx", "A 2628-2022")</f>
        <v/>
      </c>
    </row>
    <row r="417" ht="15" customHeight="1">
      <c r="A417" t="inlineStr">
        <is>
          <t>A 5001-2022</t>
        </is>
      </c>
      <c r="B417" s="1" t="n">
        <v>44593</v>
      </c>
      <c r="C417" s="1" t="n">
        <v>45710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Carphacis striatus</t>
        </is>
      </c>
      <c r="S417">
        <f>HYPERLINK("https://klasma.github.io/Logging_0560/artfynd/A 5001-2022 artfynd.xlsx", "A 5001-2022")</f>
        <v/>
      </c>
      <c r="T417">
        <f>HYPERLINK("https://klasma.github.io/Logging_0560/kartor/A 5001-2022 karta.png", "A 5001-2022")</f>
        <v/>
      </c>
      <c r="V417">
        <f>HYPERLINK("https://klasma.github.io/Logging_0560/klagomål/A 5001-2022 FSC-klagomål.docx", "A 5001-2022")</f>
        <v/>
      </c>
      <c r="W417">
        <f>HYPERLINK("https://klasma.github.io/Logging_0560/klagomålsmail/A 5001-2022 FSC-klagomål mail.docx", "A 5001-2022")</f>
        <v/>
      </c>
      <c r="X417">
        <f>HYPERLINK("https://klasma.github.io/Logging_0560/tillsyn/A 5001-2022 tillsynsbegäran.docx", "A 5001-2022")</f>
        <v/>
      </c>
      <c r="Y417">
        <f>HYPERLINK("https://klasma.github.io/Logging_0560/tillsynsmail/A 5001-2022 tillsynsbegäran mail.docx", "A 5001-2022")</f>
        <v/>
      </c>
    </row>
    <row r="418" ht="15" customHeight="1">
      <c r="A418" t="inlineStr">
        <is>
          <t>A 5911-2022</t>
        </is>
      </c>
      <c r="B418" s="1" t="n">
        <v>44597</v>
      </c>
      <c r="C418" s="1" t="n">
        <v>45710</v>
      </c>
      <c r="D418" t="inlineStr">
        <is>
          <t>ÖSTERGÖTLANDS LÄN</t>
        </is>
      </c>
      <c r="E418" t="inlineStr">
        <is>
          <t>LINKÖPING</t>
        </is>
      </c>
      <c r="G418" t="n">
        <v>3.5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Spindelört</t>
        </is>
      </c>
      <c r="S418">
        <f>HYPERLINK("https://klasma.github.io/Logging_0580/artfynd/A 5911-2022 artfynd.xlsx", "A 5911-2022")</f>
        <v/>
      </c>
      <c r="T418">
        <f>HYPERLINK("https://klasma.github.io/Logging_0580/kartor/A 5911-2022 karta.png", "A 5911-2022")</f>
        <v/>
      </c>
      <c r="V418">
        <f>HYPERLINK("https://klasma.github.io/Logging_0580/klagomål/A 5911-2022 FSC-klagomål.docx", "A 5911-2022")</f>
        <v/>
      </c>
      <c r="W418">
        <f>HYPERLINK("https://klasma.github.io/Logging_0580/klagomålsmail/A 5911-2022 FSC-klagomål mail.docx", "A 5911-2022")</f>
        <v/>
      </c>
      <c r="X418">
        <f>HYPERLINK("https://klasma.github.io/Logging_0580/tillsyn/A 5911-2022 tillsynsbegäran.docx", "A 5911-2022")</f>
        <v/>
      </c>
      <c r="Y418">
        <f>HYPERLINK("https://klasma.github.io/Logging_0580/tillsynsmail/A 5911-2022 tillsynsbegäran mail.docx", "A 5911-2022")</f>
        <v/>
      </c>
    </row>
    <row r="419" ht="15" customHeight="1">
      <c r="A419" t="inlineStr">
        <is>
          <t>A 6035-2022</t>
        </is>
      </c>
      <c r="B419" s="1" t="n">
        <v>44599</v>
      </c>
      <c r="C419" s="1" t="n">
        <v>45710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0.8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Bred kärrtrollslända</t>
        </is>
      </c>
      <c r="S419">
        <f>HYPERLINK("https://klasma.github.io/Logging_0562/artfynd/A 6035-2022 artfynd.xlsx", "A 6035-2022")</f>
        <v/>
      </c>
      <c r="T419">
        <f>HYPERLINK("https://klasma.github.io/Logging_0562/kartor/A 6035-2022 karta.png", "A 6035-2022")</f>
        <v/>
      </c>
      <c r="V419">
        <f>HYPERLINK("https://klasma.github.io/Logging_0562/klagomål/A 6035-2022 FSC-klagomål.docx", "A 6035-2022")</f>
        <v/>
      </c>
      <c r="W419">
        <f>HYPERLINK("https://klasma.github.io/Logging_0562/klagomålsmail/A 6035-2022 FSC-klagomål mail.docx", "A 6035-2022")</f>
        <v/>
      </c>
      <c r="X419">
        <f>HYPERLINK("https://klasma.github.io/Logging_0562/tillsyn/A 6035-2022 tillsynsbegäran.docx", "A 6035-2022")</f>
        <v/>
      </c>
      <c r="Y419">
        <f>HYPERLINK("https://klasma.github.io/Logging_0562/tillsynsmail/A 6035-2022 tillsynsbegäran mail.docx", "A 6035-2022")</f>
        <v/>
      </c>
    </row>
    <row r="420" ht="15" customHeight="1">
      <c r="A420" t="inlineStr">
        <is>
          <t>A 7801-2022</t>
        </is>
      </c>
      <c r="B420" s="1" t="n">
        <v>44608</v>
      </c>
      <c r="C420" s="1" t="n">
        <v>45710</v>
      </c>
      <c r="D420" t="inlineStr">
        <is>
          <t>ÖSTERGÖTLANDS LÄN</t>
        </is>
      </c>
      <c r="E420" t="inlineStr">
        <is>
          <t>KINDA</t>
        </is>
      </c>
      <c r="F420" t="inlineStr">
        <is>
          <t>Sveaskog</t>
        </is>
      </c>
      <c r="G420" t="n">
        <v>11.4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HYPERLINK("https://klasma.github.io/Logging_0513/artfynd/A 7801-2022 artfynd.xlsx", "A 7801-2022")</f>
        <v/>
      </c>
      <c r="T420">
        <f>HYPERLINK("https://klasma.github.io/Logging_0513/kartor/A 7801-2022 karta.png", "A 7801-2022")</f>
        <v/>
      </c>
      <c r="V420">
        <f>HYPERLINK("https://klasma.github.io/Logging_0513/klagomål/A 7801-2022 FSC-klagomål.docx", "A 7801-2022")</f>
        <v/>
      </c>
      <c r="W420">
        <f>HYPERLINK("https://klasma.github.io/Logging_0513/klagomålsmail/A 7801-2022 FSC-klagomål mail.docx", "A 7801-2022")</f>
        <v/>
      </c>
      <c r="X420">
        <f>HYPERLINK("https://klasma.github.io/Logging_0513/tillsyn/A 7801-2022 tillsynsbegäran.docx", "A 7801-2022")</f>
        <v/>
      </c>
      <c r="Y420">
        <f>HYPERLINK("https://klasma.github.io/Logging_0513/tillsynsmail/A 7801-2022 tillsynsbegäran mail.docx", "A 7801-2022")</f>
        <v/>
      </c>
    </row>
    <row r="421" ht="15" customHeight="1">
      <c r="A421" t="inlineStr">
        <is>
          <t>A 8014-2022</t>
        </is>
      </c>
      <c r="B421" s="1" t="n">
        <v>44609</v>
      </c>
      <c r="C421" s="1" t="n">
        <v>45710</v>
      </c>
      <c r="D421" t="inlineStr">
        <is>
          <t>ÖSTERGÖTLANDS LÄN</t>
        </is>
      </c>
      <c r="E421" t="inlineStr">
        <is>
          <t>ÅTVIDABERG</t>
        </is>
      </c>
      <c r="G421" t="n">
        <v>0.9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8014-2022 artfynd.xlsx", "A 8014-2022")</f>
        <v/>
      </c>
      <c r="T421">
        <f>HYPERLINK("https://klasma.github.io/Logging_0561/kartor/A 8014-2022 karta.png", "A 8014-2022")</f>
        <v/>
      </c>
      <c r="V421">
        <f>HYPERLINK("https://klasma.github.io/Logging_0561/klagomål/A 8014-2022 FSC-klagomål.docx", "A 8014-2022")</f>
        <v/>
      </c>
      <c r="W421">
        <f>HYPERLINK("https://klasma.github.io/Logging_0561/klagomålsmail/A 8014-2022 FSC-klagomål mail.docx", "A 8014-2022")</f>
        <v/>
      </c>
      <c r="X421">
        <f>HYPERLINK("https://klasma.github.io/Logging_0561/tillsyn/A 8014-2022 tillsynsbegäran.docx", "A 8014-2022")</f>
        <v/>
      </c>
      <c r="Y421">
        <f>HYPERLINK("https://klasma.github.io/Logging_0561/tillsynsmail/A 8014-2022 tillsynsbegäran mail.docx", "A 8014-2022")</f>
        <v/>
      </c>
    </row>
    <row r="422" ht="15" customHeight="1">
      <c r="A422" t="inlineStr">
        <is>
          <t>A 9976-2022</t>
        </is>
      </c>
      <c r="B422" s="1" t="n">
        <v>44621</v>
      </c>
      <c r="C422" s="1" t="n">
        <v>45710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Skogsklocka</t>
        </is>
      </c>
      <c r="S422">
        <f>HYPERLINK("https://klasma.github.io/Logging_0561/artfynd/A 9976-2022 artfynd.xlsx", "A 9976-2022")</f>
        <v/>
      </c>
      <c r="T422">
        <f>HYPERLINK("https://klasma.github.io/Logging_0561/kartor/A 9976-2022 karta.png", "A 9976-2022")</f>
        <v/>
      </c>
      <c r="V422">
        <f>HYPERLINK("https://klasma.github.io/Logging_0561/klagomål/A 9976-2022 FSC-klagomål.docx", "A 9976-2022")</f>
        <v/>
      </c>
      <c r="W422">
        <f>HYPERLINK("https://klasma.github.io/Logging_0561/klagomålsmail/A 9976-2022 FSC-klagomål mail.docx", "A 9976-2022")</f>
        <v/>
      </c>
      <c r="X422">
        <f>HYPERLINK("https://klasma.github.io/Logging_0561/tillsyn/A 9976-2022 tillsynsbegäran.docx", "A 9976-2022")</f>
        <v/>
      </c>
      <c r="Y422">
        <f>HYPERLINK("https://klasma.github.io/Logging_0561/tillsynsmail/A 9976-2022 tillsynsbegäran mail.docx", "A 9976-2022")</f>
        <v/>
      </c>
    </row>
    <row r="423" ht="15" customHeight="1">
      <c r="A423" t="inlineStr">
        <is>
          <t>A 10203-2022</t>
        </is>
      </c>
      <c r="B423" s="1" t="n">
        <v>44622</v>
      </c>
      <c r="C423" s="1" t="n">
        <v>45710</v>
      </c>
      <c r="D423" t="inlineStr">
        <is>
          <t>ÖSTERGÖTLANDS LÄN</t>
        </is>
      </c>
      <c r="E423" t="inlineStr">
        <is>
          <t>FINSPÅNG</t>
        </is>
      </c>
      <c r="G423" t="n">
        <v>0.6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Vanlig backsmörblomma</t>
        </is>
      </c>
      <c r="S423">
        <f>HYPERLINK("https://klasma.github.io/Logging_0562/artfynd/A 10203-2022 artfynd.xlsx", "A 10203-2022")</f>
        <v/>
      </c>
      <c r="T423">
        <f>HYPERLINK("https://klasma.github.io/Logging_0562/kartor/A 10203-2022 karta.png", "A 10203-2022")</f>
        <v/>
      </c>
      <c r="V423">
        <f>HYPERLINK("https://klasma.github.io/Logging_0562/klagomål/A 10203-2022 FSC-klagomål.docx", "A 10203-2022")</f>
        <v/>
      </c>
      <c r="W423">
        <f>HYPERLINK("https://klasma.github.io/Logging_0562/klagomålsmail/A 10203-2022 FSC-klagomål mail.docx", "A 10203-2022")</f>
        <v/>
      </c>
      <c r="X423">
        <f>HYPERLINK("https://klasma.github.io/Logging_0562/tillsyn/A 10203-2022 tillsynsbegäran.docx", "A 10203-2022")</f>
        <v/>
      </c>
      <c r="Y423">
        <f>HYPERLINK("https://klasma.github.io/Logging_0562/tillsynsmail/A 10203-2022 tillsynsbegäran mail.docx", "A 10203-2022")</f>
        <v/>
      </c>
    </row>
    <row r="424" ht="15" customHeight="1">
      <c r="A424" t="inlineStr">
        <is>
          <t>A 11985-2022</t>
        </is>
      </c>
      <c r="B424" s="1" t="n">
        <v>44635</v>
      </c>
      <c r="C424" s="1" t="n">
        <v>45710</v>
      </c>
      <c r="D424" t="inlineStr">
        <is>
          <t>ÖSTERGÖTLANDS LÄN</t>
        </is>
      </c>
      <c r="E424" t="inlineStr">
        <is>
          <t>LINKÖPING</t>
        </is>
      </c>
      <c r="G424" t="n">
        <v>4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Rödvingetrast</t>
        </is>
      </c>
      <c r="S424">
        <f>HYPERLINK("https://klasma.github.io/Logging_0580/artfynd/A 11985-2022 artfynd.xlsx", "A 11985-2022")</f>
        <v/>
      </c>
      <c r="T424">
        <f>HYPERLINK("https://klasma.github.io/Logging_0580/kartor/A 11985-2022 karta.png", "A 11985-2022")</f>
        <v/>
      </c>
      <c r="V424">
        <f>HYPERLINK("https://klasma.github.io/Logging_0580/klagomål/A 11985-2022 FSC-klagomål.docx", "A 11985-2022")</f>
        <v/>
      </c>
      <c r="W424">
        <f>HYPERLINK("https://klasma.github.io/Logging_0580/klagomålsmail/A 11985-2022 FSC-klagomål mail.docx", "A 11985-2022")</f>
        <v/>
      </c>
      <c r="X424">
        <f>HYPERLINK("https://klasma.github.io/Logging_0580/tillsyn/A 11985-2022 tillsynsbegäran.docx", "A 11985-2022")</f>
        <v/>
      </c>
      <c r="Y424">
        <f>HYPERLINK("https://klasma.github.io/Logging_0580/tillsynsmail/A 11985-2022 tillsynsbegäran mail.docx", "A 11985-2022")</f>
        <v/>
      </c>
      <c r="Z424">
        <f>HYPERLINK("https://klasma.github.io/Logging_0580/fåglar/A 11985-2022 prioriterade fågelarter.docx", "A 11985-2022")</f>
        <v/>
      </c>
    </row>
    <row r="425" ht="15" customHeight="1">
      <c r="A425" t="inlineStr">
        <is>
          <t>A 12170-2022</t>
        </is>
      </c>
      <c r="B425" s="1" t="n">
        <v>44636</v>
      </c>
      <c r="C425" s="1" t="n">
        <v>45710</v>
      </c>
      <c r="D425" t="inlineStr">
        <is>
          <t>ÖSTERGÖTLANDS LÄN</t>
        </is>
      </c>
      <c r="E425" t="inlineStr">
        <is>
          <t>KINDA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HYPERLINK("https://klasma.github.io/Logging_0513/artfynd/A 12170-2022 artfynd.xlsx", "A 12170-2022")</f>
        <v/>
      </c>
      <c r="T425">
        <f>HYPERLINK("https://klasma.github.io/Logging_0513/kartor/A 12170-2022 karta.png", "A 12170-2022")</f>
        <v/>
      </c>
      <c r="V425">
        <f>HYPERLINK("https://klasma.github.io/Logging_0513/klagomål/A 12170-2022 FSC-klagomål.docx", "A 12170-2022")</f>
        <v/>
      </c>
      <c r="W425">
        <f>HYPERLINK("https://klasma.github.io/Logging_0513/klagomålsmail/A 12170-2022 FSC-klagomål mail.docx", "A 12170-2022")</f>
        <v/>
      </c>
      <c r="X425">
        <f>HYPERLINK("https://klasma.github.io/Logging_0513/tillsyn/A 12170-2022 tillsynsbegäran.docx", "A 12170-2022")</f>
        <v/>
      </c>
      <c r="Y425">
        <f>HYPERLINK("https://klasma.github.io/Logging_0513/tillsynsmail/A 12170-2022 tillsynsbegäran mail.docx", "A 12170-2022")</f>
        <v/>
      </c>
    </row>
    <row r="426" ht="15" customHeight="1">
      <c r="A426" t="inlineStr">
        <is>
          <t>A 12801-2022</t>
        </is>
      </c>
      <c r="B426" s="1" t="n">
        <v>44642</v>
      </c>
      <c r="C426" s="1" t="n">
        <v>45710</v>
      </c>
      <c r="D426" t="inlineStr">
        <is>
          <t>ÖSTERGÖTLANDS LÄN</t>
        </is>
      </c>
      <c r="E426" t="inlineStr">
        <is>
          <t>KINDA</t>
        </is>
      </c>
      <c r="G426" t="n">
        <v>3.9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HYPERLINK("https://klasma.github.io/Logging_0513/artfynd/A 12801-2022 artfynd.xlsx", "A 12801-2022")</f>
        <v/>
      </c>
      <c r="T426">
        <f>HYPERLINK("https://klasma.github.io/Logging_0513/kartor/A 12801-2022 karta.png", "A 12801-2022")</f>
        <v/>
      </c>
      <c r="V426">
        <f>HYPERLINK("https://klasma.github.io/Logging_0513/klagomål/A 12801-2022 FSC-klagomål.docx", "A 12801-2022")</f>
        <v/>
      </c>
      <c r="W426">
        <f>HYPERLINK("https://klasma.github.io/Logging_0513/klagomålsmail/A 12801-2022 FSC-klagomål mail.docx", "A 12801-2022")</f>
        <v/>
      </c>
      <c r="X426">
        <f>HYPERLINK("https://klasma.github.io/Logging_0513/tillsyn/A 12801-2022 tillsynsbegäran.docx", "A 12801-2022")</f>
        <v/>
      </c>
      <c r="Y426">
        <f>HYPERLINK("https://klasma.github.io/Logging_0513/tillsynsmail/A 12801-2022 tillsynsbegäran mail.docx", "A 12801-2022")</f>
        <v/>
      </c>
    </row>
    <row r="427" ht="15" customHeight="1">
      <c r="A427" t="inlineStr">
        <is>
          <t>A 15823-2022</t>
        </is>
      </c>
      <c r="B427" s="1" t="n">
        <v>44664</v>
      </c>
      <c r="C427" s="1" t="n">
        <v>45710</v>
      </c>
      <c r="D427" t="inlineStr">
        <is>
          <t>ÖSTERGÖTLANDS LÄN</t>
        </is>
      </c>
      <c r="E427" t="inlineStr">
        <is>
          <t>ÖDESHÖG</t>
        </is>
      </c>
      <c r="F427" t="inlineStr">
        <is>
          <t>Sveaskog</t>
        </is>
      </c>
      <c r="G427" t="n">
        <v>6.5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Hasselmus</t>
        </is>
      </c>
      <c r="S427">
        <f>HYPERLINK("https://klasma.github.io/Logging_0509/artfynd/A 15823-2022 artfynd.xlsx", "A 15823-2022")</f>
        <v/>
      </c>
      <c r="T427">
        <f>HYPERLINK("https://klasma.github.io/Logging_0509/kartor/A 15823-2022 karta.png", "A 15823-2022")</f>
        <v/>
      </c>
      <c r="V427">
        <f>HYPERLINK("https://klasma.github.io/Logging_0509/klagomål/A 15823-2022 FSC-klagomål.docx", "A 15823-2022")</f>
        <v/>
      </c>
      <c r="W427">
        <f>HYPERLINK("https://klasma.github.io/Logging_0509/klagomålsmail/A 15823-2022 FSC-klagomål mail.docx", "A 15823-2022")</f>
        <v/>
      </c>
      <c r="X427">
        <f>HYPERLINK("https://klasma.github.io/Logging_0509/tillsyn/A 15823-2022 tillsynsbegäran.docx", "A 15823-2022")</f>
        <v/>
      </c>
      <c r="Y427">
        <f>HYPERLINK("https://klasma.github.io/Logging_0509/tillsynsmail/A 15823-2022 tillsynsbegäran mail.docx", "A 15823-2022")</f>
        <v/>
      </c>
    </row>
    <row r="428" ht="15" customHeight="1">
      <c r="A428" t="inlineStr">
        <is>
          <t>A 17513-2022</t>
        </is>
      </c>
      <c r="B428" s="1" t="n">
        <v>44679</v>
      </c>
      <c r="C428" s="1" t="n">
        <v>45710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Sexfläckig bastardsvärmare</t>
        </is>
      </c>
      <c r="S428">
        <f>HYPERLINK("https://klasma.github.io/Logging_0580/artfynd/A 17513-2022 artfynd.xlsx", "A 17513-2022")</f>
        <v/>
      </c>
      <c r="T428">
        <f>HYPERLINK("https://klasma.github.io/Logging_0580/kartor/A 17513-2022 karta.png", "A 17513-2022")</f>
        <v/>
      </c>
      <c r="V428">
        <f>HYPERLINK("https://klasma.github.io/Logging_0580/klagomål/A 17513-2022 FSC-klagomål.docx", "A 17513-2022")</f>
        <v/>
      </c>
      <c r="W428">
        <f>HYPERLINK("https://klasma.github.io/Logging_0580/klagomålsmail/A 17513-2022 FSC-klagomål mail.docx", "A 17513-2022")</f>
        <v/>
      </c>
      <c r="X428">
        <f>HYPERLINK("https://klasma.github.io/Logging_0580/tillsyn/A 17513-2022 tillsynsbegäran.docx", "A 17513-2022")</f>
        <v/>
      </c>
      <c r="Y428">
        <f>HYPERLINK("https://klasma.github.io/Logging_0580/tillsynsmail/A 17513-2022 tillsynsbegäran mail.docx", "A 17513-2022")</f>
        <v/>
      </c>
    </row>
    <row r="429" ht="15" customHeight="1">
      <c r="A429" t="inlineStr">
        <is>
          <t>A 17960-2022</t>
        </is>
      </c>
      <c r="B429" s="1" t="n">
        <v>44683</v>
      </c>
      <c r="C429" s="1" t="n">
        <v>45710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Källpraktmossa</t>
        </is>
      </c>
      <c r="S429">
        <f>HYPERLINK("https://klasma.github.io/Logging_0562/artfynd/A 17960-2022 artfynd.xlsx", "A 17960-2022")</f>
        <v/>
      </c>
      <c r="T429">
        <f>HYPERLINK("https://klasma.github.io/Logging_0562/kartor/A 17960-2022 karta.png", "A 17960-2022")</f>
        <v/>
      </c>
      <c r="V429">
        <f>HYPERLINK("https://klasma.github.io/Logging_0562/klagomål/A 17960-2022 FSC-klagomål.docx", "A 17960-2022")</f>
        <v/>
      </c>
      <c r="W429">
        <f>HYPERLINK("https://klasma.github.io/Logging_0562/klagomålsmail/A 17960-2022 FSC-klagomål mail.docx", "A 17960-2022")</f>
        <v/>
      </c>
      <c r="X429">
        <f>HYPERLINK("https://klasma.github.io/Logging_0562/tillsyn/A 17960-2022 tillsynsbegäran.docx", "A 17960-2022")</f>
        <v/>
      </c>
      <c r="Y429">
        <f>HYPERLINK("https://klasma.github.io/Logging_0562/tillsynsmail/A 17960-2022 tillsynsbegäran mail.docx", "A 17960-2022")</f>
        <v/>
      </c>
    </row>
    <row r="430" ht="15" customHeight="1">
      <c r="A430" t="inlineStr">
        <is>
          <t>A 18898-2022</t>
        </is>
      </c>
      <c r="B430" s="1" t="n">
        <v>44690</v>
      </c>
      <c r="C430" s="1" t="n">
        <v>45710</v>
      </c>
      <c r="D430" t="inlineStr">
        <is>
          <t>ÖSTERGÖTLANDS LÄN</t>
        </is>
      </c>
      <c r="E430" t="inlineStr">
        <is>
          <t>KINDA</t>
        </is>
      </c>
      <c r="F430" t="inlineStr">
        <is>
          <t>Allmännings- och besparingsskogar</t>
        </is>
      </c>
      <c r="G430" t="n">
        <v>4.9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Vätteros</t>
        </is>
      </c>
      <c r="S430">
        <f>HYPERLINK("https://klasma.github.io/Logging_0513/artfynd/A 18898-2022 artfynd.xlsx", "A 18898-2022")</f>
        <v/>
      </c>
      <c r="T430">
        <f>HYPERLINK("https://klasma.github.io/Logging_0513/kartor/A 18898-2022 karta.png", "A 18898-2022")</f>
        <v/>
      </c>
      <c r="V430">
        <f>HYPERLINK("https://klasma.github.io/Logging_0513/klagomål/A 18898-2022 FSC-klagomål.docx", "A 18898-2022")</f>
        <v/>
      </c>
      <c r="W430">
        <f>HYPERLINK("https://klasma.github.io/Logging_0513/klagomålsmail/A 18898-2022 FSC-klagomål mail.docx", "A 18898-2022")</f>
        <v/>
      </c>
      <c r="X430">
        <f>HYPERLINK("https://klasma.github.io/Logging_0513/tillsyn/A 18898-2022 tillsynsbegäran.docx", "A 18898-2022")</f>
        <v/>
      </c>
      <c r="Y430">
        <f>HYPERLINK("https://klasma.github.io/Logging_0513/tillsynsmail/A 18898-2022 tillsynsbegäran mail.docx", "A 18898-2022")</f>
        <v/>
      </c>
    </row>
    <row r="431" ht="15" customHeight="1">
      <c r="A431" t="inlineStr">
        <is>
          <t>A 21473-2022</t>
        </is>
      </c>
      <c r="B431" s="1" t="n">
        <v>44706</v>
      </c>
      <c r="C431" s="1" t="n">
        <v>45710</v>
      </c>
      <c r="D431" t="inlineStr">
        <is>
          <t>ÖSTERGÖTLANDS LÄN</t>
        </is>
      </c>
      <c r="E431" t="inlineStr">
        <is>
          <t>KINDA</t>
        </is>
      </c>
      <c r="G431" t="n">
        <v>6.4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HYPERLINK("https://klasma.github.io/Logging_0513/artfynd/A 21473-2022 artfynd.xlsx", "A 21473-2022")</f>
        <v/>
      </c>
      <c r="T431">
        <f>HYPERLINK("https://klasma.github.io/Logging_0513/kartor/A 21473-2022 karta.png", "A 21473-2022")</f>
        <v/>
      </c>
      <c r="V431">
        <f>HYPERLINK("https://klasma.github.io/Logging_0513/klagomål/A 21473-2022 FSC-klagomål.docx", "A 21473-2022")</f>
        <v/>
      </c>
      <c r="W431">
        <f>HYPERLINK("https://klasma.github.io/Logging_0513/klagomålsmail/A 21473-2022 FSC-klagomål mail.docx", "A 21473-2022")</f>
        <v/>
      </c>
      <c r="X431">
        <f>HYPERLINK("https://klasma.github.io/Logging_0513/tillsyn/A 21473-2022 tillsynsbegäran.docx", "A 21473-2022")</f>
        <v/>
      </c>
      <c r="Y431">
        <f>HYPERLINK("https://klasma.github.io/Logging_0513/tillsynsmail/A 21473-2022 tillsynsbegäran mail.docx", "A 21473-2022")</f>
        <v/>
      </c>
    </row>
    <row r="432" ht="15" customHeight="1">
      <c r="A432" t="inlineStr">
        <is>
          <t>A 27457-2022</t>
        </is>
      </c>
      <c r="B432" s="1" t="n">
        <v>44742</v>
      </c>
      <c r="C432" s="1" t="n">
        <v>45710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10.8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HYPERLINK("https://klasma.github.io/Logging_0561/artfynd/A 27457-2022 artfynd.xlsx", "A 27457-2022")</f>
        <v/>
      </c>
      <c r="T432">
        <f>HYPERLINK("https://klasma.github.io/Logging_0561/kartor/A 27457-2022 karta.png", "A 27457-2022")</f>
        <v/>
      </c>
      <c r="V432">
        <f>HYPERLINK("https://klasma.github.io/Logging_0561/klagomål/A 27457-2022 FSC-klagomål.docx", "A 27457-2022")</f>
        <v/>
      </c>
      <c r="W432">
        <f>HYPERLINK("https://klasma.github.io/Logging_0561/klagomålsmail/A 27457-2022 FSC-klagomål mail.docx", "A 27457-2022")</f>
        <v/>
      </c>
      <c r="X432">
        <f>HYPERLINK("https://klasma.github.io/Logging_0561/tillsyn/A 27457-2022 tillsynsbegäran.docx", "A 27457-2022")</f>
        <v/>
      </c>
      <c r="Y432">
        <f>HYPERLINK("https://klasma.github.io/Logging_0561/tillsynsmail/A 27457-2022 tillsynsbegäran mail.docx", "A 27457-2022")</f>
        <v/>
      </c>
    </row>
    <row r="433" ht="15" customHeight="1">
      <c r="A433" t="inlineStr">
        <is>
          <t>A 27984-2022</t>
        </is>
      </c>
      <c r="B433" s="1" t="n">
        <v>44745</v>
      </c>
      <c r="C433" s="1" t="n">
        <v>45710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HYPERLINK("https://klasma.github.io/Logging_0580/artfynd/A 27984-2022 artfynd.xlsx", "A 27984-2022")</f>
        <v/>
      </c>
      <c r="T433">
        <f>HYPERLINK("https://klasma.github.io/Logging_0580/kartor/A 27984-2022 karta.png", "A 27984-2022")</f>
        <v/>
      </c>
      <c r="V433">
        <f>HYPERLINK("https://klasma.github.io/Logging_0580/klagomål/A 27984-2022 FSC-klagomål.docx", "A 27984-2022")</f>
        <v/>
      </c>
      <c r="W433">
        <f>HYPERLINK("https://klasma.github.io/Logging_0580/klagomålsmail/A 27984-2022 FSC-klagomål mail.docx", "A 27984-2022")</f>
        <v/>
      </c>
      <c r="X433">
        <f>HYPERLINK("https://klasma.github.io/Logging_0580/tillsyn/A 27984-2022 tillsynsbegäran.docx", "A 27984-2022")</f>
        <v/>
      </c>
      <c r="Y433">
        <f>HYPERLINK("https://klasma.github.io/Logging_0580/tillsynsmail/A 27984-2022 tillsynsbegäran mail.docx", "A 27984-2022")</f>
        <v/>
      </c>
    </row>
    <row r="434" ht="15" customHeight="1">
      <c r="A434" t="inlineStr">
        <is>
          <t>A 28123-2022</t>
        </is>
      </c>
      <c r="B434" s="1" t="n">
        <v>44746</v>
      </c>
      <c r="C434" s="1" t="n">
        <v>45710</v>
      </c>
      <c r="D434" t="inlineStr">
        <is>
          <t>ÖSTERGÖTLANDS LÄN</t>
        </is>
      </c>
      <c r="E434" t="inlineStr">
        <is>
          <t>LINKÖPING</t>
        </is>
      </c>
      <c r="G434" t="n">
        <v>6.4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Gullklöver</t>
        </is>
      </c>
      <c r="S434">
        <f>HYPERLINK("https://klasma.github.io/Logging_0580/artfynd/A 28123-2022 artfynd.xlsx", "A 28123-2022")</f>
        <v/>
      </c>
      <c r="T434">
        <f>HYPERLINK("https://klasma.github.io/Logging_0580/kartor/A 28123-2022 karta.png", "A 28123-2022")</f>
        <v/>
      </c>
      <c r="V434">
        <f>HYPERLINK("https://klasma.github.io/Logging_0580/klagomål/A 28123-2022 FSC-klagomål.docx", "A 28123-2022")</f>
        <v/>
      </c>
      <c r="W434">
        <f>HYPERLINK("https://klasma.github.io/Logging_0580/klagomålsmail/A 28123-2022 FSC-klagomål mail.docx", "A 28123-2022")</f>
        <v/>
      </c>
      <c r="X434">
        <f>HYPERLINK("https://klasma.github.io/Logging_0580/tillsyn/A 28123-2022 tillsynsbegäran.docx", "A 28123-2022")</f>
        <v/>
      </c>
      <c r="Y434">
        <f>HYPERLINK("https://klasma.github.io/Logging_0580/tillsynsmail/A 28123-2022 tillsynsbegäran mail.docx", "A 28123-2022")</f>
        <v/>
      </c>
    </row>
    <row r="435" ht="15" customHeight="1">
      <c r="A435" t="inlineStr">
        <is>
          <t>A 29467-2022</t>
        </is>
      </c>
      <c r="B435" s="1" t="n">
        <v>44753</v>
      </c>
      <c r="C435" s="1" t="n">
        <v>45710</v>
      </c>
      <c r="D435" t="inlineStr">
        <is>
          <t>ÖSTERGÖTLANDS LÄN</t>
        </is>
      </c>
      <c r="E435" t="inlineStr">
        <is>
          <t>FINSPÅNG</t>
        </is>
      </c>
      <c r="G435" t="n">
        <v>4.4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HYPERLINK("https://klasma.github.io/Logging_0562/artfynd/A 29467-2022 artfynd.xlsx", "A 29467-2022")</f>
        <v/>
      </c>
      <c r="T435">
        <f>HYPERLINK("https://klasma.github.io/Logging_0562/kartor/A 29467-2022 karta.png", "A 29467-2022")</f>
        <v/>
      </c>
      <c r="V435">
        <f>HYPERLINK("https://klasma.github.io/Logging_0562/klagomål/A 29467-2022 FSC-klagomål.docx", "A 29467-2022")</f>
        <v/>
      </c>
      <c r="W435">
        <f>HYPERLINK("https://klasma.github.io/Logging_0562/klagomålsmail/A 29467-2022 FSC-klagomål mail.docx", "A 29467-2022")</f>
        <v/>
      </c>
      <c r="X435">
        <f>HYPERLINK("https://klasma.github.io/Logging_0562/tillsyn/A 29467-2022 tillsynsbegäran.docx", "A 29467-2022")</f>
        <v/>
      </c>
      <c r="Y435">
        <f>HYPERLINK("https://klasma.github.io/Logging_0562/tillsynsmail/A 29467-2022 tillsynsbegäran mail.docx", "A 29467-2022")</f>
        <v/>
      </c>
    </row>
    <row r="436" ht="15" customHeight="1">
      <c r="A436" t="inlineStr">
        <is>
          <t>A 29627-2022</t>
        </is>
      </c>
      <c r="B436" s="1" t="n">
        <v>44754</v>
      </c>
      <c r="C436" s="1" t="n">
        <v>45710</v>
      </c>
      <c r="D436" t="inlineStr">
        <is>
          <t>ÖSTERGÖTLANDS LÄN</t>
        </is>
      </c>
      <c r="E436" t="inlineStr">
        <is>
          <t>KINDA</t>
        </is>
      </c>
      <c r="G436" t="n">
        <v>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Ullticka</t>
        </is>
      </c>
      <c r="S436">
        <f>HYPERLINK("https://klasma.github.io/Logging_0513/artfynd/A 29627-2022 artfynd.xlsx", "A 29627-2022")</f>
        <v/>
      </c>
      <c r="T436">
        <f>HYPERLINK("https://klasma.github.io/Logging_0513/kartor/A 29627-2022 karta.png", "A 29627-2022")</f>
        <v/>
      </c>
      <c r="V436">
        <f>HYPERLINK("https://klasma.github.io/Logging_0513/klagomål/A 29627-2022 FSC-klagomål.docx", "A 29627-2022")</f>
        <v/>
      </c>
      <c r="W436">
        <f>HYPERLINK("https://klasma.github.io/Logging_0513/klagomålsmail/A 29627-2022 FSC-klagomål mail.docx", "A 29627-2022")</f>
        <v/>
      </c>
      <c r="X436">
        <f>HYPERLINK("https://klasma.github.io/Logging_0513/tillsyn/A 29627-2022 tillsynsbegäran.docx", "A 29627-2022")</f>
        <v/>
      </c>
      <c r="Y436">
        <f>HYPERLINK("https://klasma.github.io/Logging_0513/tillsynsmail/A 29627-2022 tillsynsbegäran mail.docx", "A 29627-2022")</f>
        <v/>
      </c>
    </row>
    <row r="437" ht="15" customHeight="1">
      <c r="A437" t="inlineStr">
        <is>
          <t>A 31168-2022</t>
        </is>
      </c>
      <c r="B437" s="1" t="n">
        <v>44770</v>
      </c>
      <c r="C437" s="1" t="n">
        <v>45710</v>
      </c>
      <c r="D437" t="inlineStr">
        <is>
          <t>ÖSTERGÖTLANDS LÄN</t>
        </is>
      </c>
      <c r="E437" t="inlineStr">
        <is>
          <t>VALDEMARSVIK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HYPERLINK("https://klasma.github.io/Logging_0563/artfynd/A 31168-2022 artfynd.xlsx", "A 31168-2022")</f>
        <v/>
      </c>
      <c r="T437">
        <f>HYPERLINK("https://klasma.github.io/Logging_0563/kartor/A 31168-2022 karta.png", "A 31168-2022")</f>
        <v/>
      </c>
      <c r="V437">
        <f>HYPERLINK("https://klasma.github.io/Logging_0563/klagomål/A 31168-2022 FSC-klagomål.docx", "A 31168-2022")</f>
        <v/>
      </c>
      <c r="W437">
        <f>HYPERLINK("https://klasma.github.io/Logging_0563/klagomålsmail/A 31168-2022 FSC-klagomål mail.docx", "A 31168-2022")</f>
        <v/>
      </c>
      <c r="X437">
        <f>HYPERLINK("https://klasma.github.io/Logging_0563/tillsyn/A 31168-2022 tillsynsbegäran.docx", "A 31168-2022")</f>
        <v/>
      </c>
      <c r="Y437">
        <f>HYPERLINK("https://klasma.github.io/Logging_0563/tillsynsmail/A 31168-2022 tillsynsbegäran mail.docx", "A 31168-2022")</f>
        <v/>
      </c>
    </row>
    <row r="438" ht="15" customHeight="1">
      <c r="A438" t="inlineStr">
        <is>
          <t>A 31750-2022</t>
        </is>
      </c>
      <c r="B438" s="1" t="n">
        <v>44776</v>
      </c>
      <c r="C438" s="1" t="n">
        <v>45710</v>
      </c>
      <c r="D438" t="inlineStr">
        <is>
          <t>ÖSTERGÖTLANDS LÄN</t>
        </is>
      </c>
      <c r="E438" t="inlineStr">
        <is>
          <t>FINSPÅNG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HYPERLINK("https://klasma.github.io/Logging_0562/artfynd/A 31750-2022 artfynd.xlsx", "A 31750-2022")</f>
        <v/>
      </c>
      <c r="T438">
        <f>HYPERLINK("https://klasma.github.io/Logging_0562/kartor/A 31750-2022 karta.png", "A 31750-2022")</f>
        <v/>
      </c>
      <c r="V438">
        <f>HYPERLINK("https://klasma.github.io/Logging_0562/klagomål/A 31750-2022 FSC-klagomål.docx", "A 31750-2022")</f>
        <v/>
      </c>
      <c r="W438">
        <f>HYPERLINK("https://klasma.github.io/Logging_0562/klagomålsmail/A 31750-2022 FSC-klagomål mail.docx", "A 31750-2022")</f>
        <v/>
      </c>
      <c r="X438">
        <f>HYPERLINK("https://klasma.github.io/Logging_0562/tillsyn/A 31750-2022 tillsynsbegäran.docx", "A 31750-2022")</f>
        <v/>
      </c>
      <c r="Y438">
        <f>HYPERLINK("https://klasma.github.io/Logging_0562/tillsynsmail/A 31750-2022 tillsynsbegäran mail.docx", "A 31750-2022")</f>
        <v/>
      </c>
    </row>
    <row r="439" ht="15" customHeight="1">
      <c r="A439" t="inlineStr">
        <is>
          <t>A 31897-2022</t>
        </is>
      </c>
      <c r="B439" s="1" t="n">
        <v>44777</v>
      </c>
      <c r="C439" s="1" t="n">
        <v>45710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Kommuner</t>
        </is>
      </c>
      <c r="G439" t="n">
        <v>1.8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Grönpyrola</t>
        </is>
      </c>
      <c r="S439">
        <f>HYPERLINK("https://klasma.github.io/Logging_0581/artfynd/A 31897-2022 artfynd.xlsx", "A 31897-2022")</f>
        <v/>
      </c>
      <c r="T439">
        <f>HYPERLINK("https://klasma.github.io/Logging_0581/kartor/A 31897-2022 karta.png", "A 31897-2022")</f>
        <v/>
      </c>
      <c r="V439">
        <f>HYPERLINK("https://klasma.github.io/Logging_0581/klagomål/A 31897-2022 FSC-klagomål.docx", "A 31897-2022")</f>
        <v/>
      </c>
      <c r="W439">
        <f>HYPERLINK("https://klasma.github.io/Logging_0581/klagomålsmail/A 31897-2022 FSC-klagomål mail.docx", "A 31897-2022")</f>
        <v/>
      </c>
      <c r="X439">
        <f>HYPERLINK("https://klasma.github.io/Logging_0581/tillsyn/A 31897-2022 tillsynsbegäran.docx", "A 31897-2022")</f>
        <v/>
      </c>
      <c r="Y439">
        <f>HYPERLINK("https://klasma.github.io/Logging_0581/tillsynsmail/A 31897-2022 tillsynsbegäran mail.docx", "A 31897-2022")</f>
        <v/>
      </c>
    </row>
    <row r="440" ht="15" customHeight="1">
      <c r="A440" t="inlineStr">
        <is>
          <t>A 33310-2022</t>
        </is>
      </c>
      <c r="B440" s="1" t="n">
        <v>44788</v>
      </c>
      <c r="C440" s="1" t="n">
        <v>45710</v>
      </c>
      <c r="D440" t="inlineStr">
        <is>
          <t>ÖSTERGÖTLANDS LÄN</t>
        </is>
      </c>
      <c r="E440" t="inlineStr">
        <is>
          <t>ÅTVIDABERG</t>
        </is>
      </c>
      <c r="G440" t="n">
        <v>0.4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Kattfotslav</t>
        </is>
      </c>
      <c r="S440">
        <f>HYPERLINK("https://klasma.github.io/Logging_0561/artfynd/A 33310-2022 artfynd.xlsx", "A 33310-2022")</f>
        <v/>
      </c>
      <c r="T440">
        <f>HYPERLINK("https://klasma.github.io/Logging_0561/kartor/A 33310-2022 karta.png", "A 33310-2022")</f>
        <v/>
      </c>
      <c r="U440">
        <f>HYPERLINK("https://klasma.github.io/Logging_0561/knärot/A 33310-2022 karta knärot.png", "A 33310-2022")</f>
        <v/>
      </c>
      <c r="V440">
        <f>HYPERLINK("https://klasma.github.io/Logging_0561/klagomål/A 33310-2022 FSC-klagomål.docx", "A 33310-2022")</f>
        <v/>
      </c>
      <c r="W440">
        <f>HYPERLINK("https://klasma.github.io/Logging_0561/klagomålsmail/A 33310-2022 FSC-klagomål mail.docx", "A 33310-2022")</f>
        <v/>
      </c>
      <c r="X440">
        <f>HYPERLINK("https://klasma.github.io/Logging_0561/tillsyn/A 33310-2022 tillsynsbegäran.docx", "A 33310-2022")</f>
        <v/>
      </c>
      <c r="Y440">
        <f>HYPERLINK("https://klasma.github.io/Logging_0561/tillsynsmail/A 33310-2022 tillsynsbegäran mail.docx", "A 33310-2022")</f>
        <v/>
      </c>
    </row>
    <row r="441" ht="15" customHeight="1">
      <c r="A441" t="inlineStr">
        <is>
          <t>A 35787-2022</t>
        </is>
      </c>
      <c r="B441" s="1" t="n">
        <v>44801</v>
      </c>
      <c r="C441" s="1" t="n">
        <v>45710</v>
      </c>
      <c r="D441" t="inlineStr">
        <is>
          <t>ÖSTERGÖTLANDS LÄN</t>
        </is>
      </c>
      <c r="E441" t="inlineStr">
        <is>
          <t>KINDA</t>
        </is>
      </c>
      <c r="G441" t="n">
        <v>4.8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HYPERLINK("https://klasma.github.io/Logging_0513/artfynd/A 35787-2022 artfynd.xlsx", "A 35787-2022")</f>
        <v/>
      </c>
      <c r="T441">
        <f>HYPERLINK("https://klasma.github.io/Logging_0513/kartor/A 35787-2022 karta.png", "A 35787-2022")</f>
        <v/>
      </c>
      <c r="U441">
        <f>HYPERLINK("https://klasma.github.io/Logging_0513/knärot/A 35787-2022 karta knärot.png", "A 35787-2022")</f>
        <v/>
      </c>
      <c r="V441">
        <f>HYPERLINK("https://klasma.github.io/Logging_0513/klagomål/A 35787-2022 FSC-klagomål.docx", "A 35787-2022")</f>
        <v/>
      </c>
      <c r="W441">
        <f>HYPERLINK("https://klasma.github.io/Logging_0513/klagomålsmail/A 35787-2022 FSC-klagomål mail.docx", "A 35787-2022")</f>
        <v/>
      </c>
      <c r="X441">
        <f>HYPERLINK("https://klasma.github.io/Logging_0513/tillsyn/A 35787-2022 tillsynsbegäran.docx", "A 35787-2022")</f>
        <v/>
      </c>
      <c r="Y441">
        <f>HYPERLINK("https://klasma.github.io/Logging_0513/tillsynsmail/A 35787-2022 tillsynsbegäran mail.docx", "A 35787-2022")</f>
        <v/>
      </c>
    </row>
    <row r="442" ht="15" customHeight="1">
      <c r="A442" t="inlineStr">
        <is>
          <t>A 42354-2022</t>
        </is>
      </c>
      <c r="B442" s="1" t="n">
        <v>44831</v>
      </c>
      <c r="C442" s="1" t="n">
        <v>45710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9.1</v>
      </c>
      <c r="H442" t="n">
        <v>1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Mosippa</t>
        </is>
      </c>
      <c r="S442">
        <f>HYPERLINK("https://klasma.github.io/Logging_0512/artfynd/A 42354-2022 artfynd.xlsx", "A 42354-2022")</f>
        <v/>
      </c>
      <c r="T442">
        <f>HYPERLINK("https://klasma.github.io/Logging_0512/kartor/A 42354-2022 karta.png", "A 42354-2022")</f>
        <v/>
      </c>
      <c r="V442">
        <f>HYPERLINK("https://klasma.github.io/Logging_0512/klagomål/A 42354-2022 FSC-klagomål.docx", "A 42354-2022")</f>
        <v/>
      </c>
      <c r="W442">
        <f>HYPERLINK("https://klasma.github.io/Logging_0512/klagomålsmail/A 42354-2022 FSC-klagomål mail.docx", "A 42354-2022")</f>
        <v/>
      </c>
      <c r="X442">
        <f>HYPERLINK("https://klasma.github.io/Logging_0512/tillsyn/A 42354-2022 tillsynsbegäran.docx", "A 42354-2022")</f>
        <v/>
      </c>
      <c r="Y442">
        <f>HYPERLINK("https://klasma.github.io/Logging_0512/tillsynsmail/A 42354-2022 tillsynsbegäran mail.docx", "A 42354-2022")</f>
        <v/>
      </c>
    </row>
    <row r="443" ht="15" customHeight="1">
      <c r="A443" t="inlineStr">
        <is>
          <t>A 43041-2022</t>
        </is>
      </c>
      <c r="B443" s="1" t="n">
        <v>44833</v>
      </c>
      <c r="C443" s="1" t="n">
        <v>45710</v>
      </c>
      <c r="D443" t="inlineStr">
        <is>
          <t>ÖSTERGÖTLANDS LÄN</t>
        </is>
      </c>
      <c r="E443" t="inlineStr">
        <is>
          <t>LINKÖPING</t>
        </is>
      </c>
      <c r="G443" t="n">
        <v>6.9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HYPERLINK("https://klasma.github.io/Logging_0580/artfynd/A 43041-2022 artfynd.xlsx", "A 43041-2022")</f>
        <v/>
      </c>
      <c r="T443">
        <f>HYPERLINK("https://klasma.github.io/Logging_0580/kartor/A 43041-2022 karta.png", "A 43041-2022")</f>
        <v/>
      </c>
      <c r="V443">
        <f>HYPERLINK("https://klasma.github.io/Logging_0580/klagomål/A 43041-2022 FSC-klagomål.docx", "A 43041-2022")</f>
        <v/>
      </c>
      <c r="W443">
        <f>HYPERLINK("https://klasma.github.io/Logging_0580/klagomålsmail/A 43041-2022 FSC-klagomål mail.docx", "A 43041-2022")</f>
        <v/>
      </c>
      <c r="X443">
        <f>HYPERLINK("https://klasma.github.io/Logging_0580/tillsyn/A 43041-2022 tillsynsbegäran.docx", "A 43041-2022")</f>
        <v/>
      </c>
      <c r="Y443">
        <f>HYPERLINK("https://klasma.github.io/Logging_0580/tillsynsmail/A 43041-2022 tillsynsbegäran mail.docx", "A 43041-2022")</f>
        <v/>
      </c>
    </row>
    <row r="444" ht="15" customHeight="1">
      <c r="A444" t="inlineStr">
        <is>
          <t>A 45256-2022</t>
        </is>
      </c>
      <c r="B444" s="1" t="n">
        <v>44840</v>
      </c>
      <c r="C444" s="1" t="n">
        <v>45710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Stor hagfibbla</t>
        </is>
      </c>
      <c r="S444">
        <f>HYPERLINK("https://klasma.github.io/Logging_0562/artfynd/A 45256-2022 artfynd.xlsx", "A 45256-2022")</f>
        <v/>
      </c>
      <c r="T444">
        <f>HYPERLINK("https://klasma.github.io/Logging_0562/kartor/A 45256-2022 karta.png", "A 45256-2022")</f>
        <v/>
      </c>
      <c r="V444">
        <f>HYPERLINK("https://klasma.github.io/Logging_0562/klagomål/A 45256-2022 FSC-klagomål.docx", "A 45256-2022")</f>
        <v/>
      </c>
      <c r="W444">
        <f>HYPERLINK("https://klasma.github.io/Logging_0562/klagomålsmail/A 45256-2022 FSC-klagomål mail.docx", "A 45256-2022")</f>
        <v/>
      </c>
      <c r="X444">
        <f>HYPERLINK("https://klasma.github.io/Logging_0562/tillsyn/A 45256-2022 tillsynsbegäran.docx", "A 45256-2022")</f>
        <v/>
      </c>
      <c r="Y444">
        <f>HYPERLINK("https://klasma.github.io/Logging_0562/tillsynsmail/A 45256-2022 tillsynsbegäran mail.docx", "A 45256-2022")</f>
        <v/>
      </c>
    </row>
    <row r="445" ht="15" customHeight="1">
      <c r="A445" t="inlineStr">
        <is>
          <t>A 46180-2022</t>
        </is>
      </c>
      <c r="B445" s="1" t="n">
        <v>44847</v>
      </c>
      <c r="C445" s="1" t="n">
        <v>45710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5.4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Huggorm</t>
        </is>
      </c>
      <c r="S445">
        <f>HYPERLINK("https://klasma.github.io/Logging_0586/artfynd/A 46180-2022 artfynd.xlsx", "A 46180-2022")</f>
        <v/>
      </c>
      <c r="T445">
        <f>HYPERLINK("https://klasma.github.io/Logging_0586/kartor/A 46180-2022 karta.png", "A 46180-2022")</f>
        <v/>
      </c>
      <c r="V445">
        <f>HYPERLINK("https://klasma.github.io/Logging_0586/klagomål/A 46180-2022 FSC-klagomål.docx", "A 46180-2022")</f>
        <v/>
      </c>
      <c r="W445">
        <f>HYPERLINK("https://klasma.github.io/Logging_0586/klagomålsmail/A 46180-2022 FSC-klagomål mail.docx", "A 46180-2022")</f>
        <v/>
      </c>
      <c r="X445">
        <f>HYPERLINK("https://klasma.github.io/Logging_0586/tillsyn/A 46180-2022 tillsynsbegäran.docx", "A 46180-2022")</f>
        <v/>
      </c>
      <c r="Y445">
        <f>HYPERLINK("https://klasma.github.io/Logging_0586/tillsynsmail/A 46180-2022 tillsynsbegäran mail.docx", "A 46180-2022")</f>
        <v/>
      </c>
    </row>
    <row r="446" ht="15" customHeight="1">
      <c r="A446" t="inlineStr">
        <is>
          <t>A 46496-2022</t>
        </is>
      </c>
      <c r="B446" s="1" t="n">
        <v>44848</v>
      </c>
      <c r="C446" s="1" t="n">
        <v>45710</v>
      </c>
      <c r="D446" t="inlineStr">
        <is>
          <t>ÖSTERGÖTLANDS LÄN</t>
        </is>
      </c>
      <c r="E446" t="inlineStr">
        <is>
          <t>LINKÖPING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Bredbrämad bastardsvärmare</t>
        </is>
      </c>
      <c r="S446">
        <f>HYPERLINK("https://klasma.github.io/Logging_0580/artfynd/A 46496-2022 artfynd.xlsx", "A 46496-2022")</f>
        <v/>
      </c>
      <c r="T446">
        <f>HYPERLINK("https://klasma.github.io/Logging_0580/kartor/A 46496-2022 karta.png", "A 46496-2022")</f>
        <v/>
      </c>
      <c r="V446">
        <f>HYPERLINK("https://klasma.github.io/Logging_0580/klagomål/A 46496-2022 FSC-klagomål.docx", "A 46496-2022")</f>
        <v/>
      </c>
      <c r="W446">
        <f>HYPERLINK("https://klasma.github.io/Logging_0580/klagomålsmail/A 46496-2022 FSC-klagomål mail.docx", "A 46496-2022")</f>
        <v/>
      </c>
      <c r="X446">
        <f>HYPERLINK("https://klasma.github.io/Logging_0580/tillsyn/A 46496-2022 tillsynsbegäran.docx", "A 46496-2022")</f>
        <v/>
      </c>
      <c r="Y446">
        <f>HYPERLINK("https://klasma.github.io/Logging_0580/tillsynsmail/A 46496-2022 tillsynsbegäran mail.docx", "A 46496-2022")</f>
        <v/>
      </c>
    </row>
    <row r="447" ht="15" customHeight="1">
      <c r="A447" t="inlineStr">
        <is>
          <t>A 50403-2022</t>
        </is>
      </c>
      <c r="B447" s="1" t="n">
        <v>44866</v>
      </c>
      <c r="C447" s="1" t="n">
        <v>45710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2.4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Springkorn</t>
        </is>
      </c>
      <c r="S447">
        <f>HYPERLINK("https://klasma.github.io/Logging_0586/artfynd/A 50403-2022 artfynd.xlsx", "A 50403-2022")</f>
        <v/>
      </c>
      <c r="T447">
        <f>HYPERLINK("https://klasma.github.io/Logging_0586/kartor/A 50403-2022 karta.png", "A 50403-2022")</f>
        <v/>
      </c>
      <c r="V447">
        <f>HYPERLINK("https://klasma.github.io/Logging_0586/klagomål/A 50403-2022 FSC-klagomål.docx", "A 50403-2022")</f>
        <v/>
      </c>
      <c r="W447">
        <f>HYPERLINK("https://klasma.github.io/Logging_0586/klagomålsmail/A 50403-2022 FSC-klagomål mail.docx", "A 50403-2022")</f>
        <v/>
      </c>
      <c r="X447">
        <f>HYPERLINK("https://klasma.github.io/Logging_0586/tillsyn/A 50403-2022 tillsynsbegäran.docx", "A 50403-2022")</f>
        <v/>
      </c>
      <c r="Y447">
        <f>HYPERLINK("https://klasma.github.io/Logging_0586/tillsynsmail/A 50403-2022 tillsynsbegäran mail.docx", "A 50403-2022")</f>
        <v/>
      </c>
    </row>
    <row r="448" ht="15" customHeight="1">
      <c r="A448" t="inlineStr">
        <is>
          <t>A 50514-2022</t>
        </is>
      </c>
      <c r="B448" s="1" t="n">
        <v>44866</v>
      </c>
      <c r="C448" s="1" t="n">
        <v>45710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Svart trolldruva</t>
        </is>
      </c>
      <c r="S448">
        <f>HYPERLINK("https://klasma.github.io/Logging_0513/artfynd/A 50514-2022 artfynd.xlsx", "A 50514-2022")</f>
        <v/>
      </c>
      <c r="T448">
        <f>HYPERLINK("https://klasma.github.io/Logging_0513/kartor/A 50514-2022 karta.png", "A 50514-2022")</f>
        <v/>
      </c>
      <c r="V448">
        <f>HYPERLINK("https://klasma.github.io/Logging_0513/klagomål/A 50514-2022 FSC-klagomål.docx", "A 50514-2022")</f>
        <v/>
      </c>
      <c r="W448">
        <f>HYPERLINK("https://klasma.github.io/Logging_0513/klagomålsmail/A 50514-2022 FSC-klagomål mail.docx", "A 50514-2022")</f>
        <v/>
      </c>
      <c r="X448">
        <f>HYPERLINK("https://klasma.github.io/Logging_0513/tillsyn/A 50514-2022 tillsynsbegäran.docx", "A 50514-2022")</f>
        <v/>
      </c>
      <c r="Y448">
        <f>HYPERLINK("https://klasma.github.io/Logging_0513/tillsynsmail/A 50514-2022 tillsynsbegäran mail.docx", "A 50514-2022")</f>
        <v/>
      </c>
    </row>
    <row r="449" ht="15" customHeight="1">
      <c r="A449" t="inlineStr">
        <is>
          <t>A 51149-2022</t>
        </is>
      </c>
      <c r="B449" s="1" t="n">
        <v>44868</v>
      </c>
      <c r="C449" s="1" t="n">
        <v>45710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5.8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HYPERLINK("https://klasma.github.io/Logging_0560/artfynd/A 51149-2022 artfynd.xlsx", "A 51149-2022")</f>
        <v/>
      </c>
      <c r="T449">
        <f>HYPERLINK("https://klasma.github.io/Logging_0560/kartor/A 51149-2022 karta.png", "A 51149-2022")</f>
        <v/>
      </c>
      <c r="V449">
        <f>HYPERLINK("https://klasma.github.io/Logging_0560/klagomål/A 51149-2022 FSC-klagomål.docx", "A 51149-2022")</f>
        <v/>
      </c>
      <c r="W449">
        <f>HYPERLINK("https://klasma.github.io/Logging_0560/klagomålsmail/A 51149-2022 FSC-klagomål mail.docx", "A 51149-2022")</f>
        <v/>
      </c>
      <c r="X449">
        <f>HYPERLINK("https://klasma.github.io/Logging_0560/tillsyn/A 51149-2022 tillsynsbegäran.docx", "A 51149-2022")</f>
        <v/>
      </c>
      <c r="Y449">
        <f>HYPERLINK("https://klasma.github.io/Logging_0560/tillsynsmail/A 51149-2022 tillsynsbegäran mail.docx", "A 51149-2022")</f>
        <v/>
      </c>
    </row>
    <row r="450" ht="15" customHeight="1">
      <c r="A450" t="inlineStr">
        <is>
          <t>A 52523-2022</t>
        </is>
      </c>
      <c r="B450" s="1" t="n">
        <v>44874</v>
      </c>
      <c r="C450" s="1" t="n">
        <v>45710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Kyrkan</t>
        </is>
      </c>
      <c r="G450" t="n">
        <v>6.7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HYPERLINK("https://klasma.github.io/Logging_0583/artfynd/A 52523-2022 artfynd.xlsx", "A 52523-2022")</f>
        <v/>
      </c>
      <c r="T450">
        <f>HYPERLINK("https://klasma.github.io/Logging_0583/kartor/A 52523-2022 karta.png", "A 52523-2022")</f>
        <v/>
      </c>
      <c r="V450">
        <f>HYPERLINK("https://klasma.github.io/Logging_0583/klagomål/A 52523-2022 FSC-klagomål.docx", "A 52523-2022")</f>
        <v/>
      </c>
      <c r="W450">
        <f>HYPERLINK("https://klasma.github.io/Logging_0583/klagomålsmail/A 52523-2022 FSC-klagomål mail.docx", "A 52523-2022")</f>
        <v/>
      </c>
      <c r="X450">
        <f>HYPERLINK("https://klasma.github.io/Logging_0583/tillsyn/A 52523-2022 tillsynsbegäran.docx", "A 52523-2022")</f>
        <v/>
      </c>
      <c r="Y450">
        <f>HYPERLINK("https://klasma.github.io/Logging_0583/tillsynsmail/A 52523-2022 tillsynsbegäran mail.docx", "A 52523-2022")</f>
        <v/>
      </c>
    </row>
    <row r="451" ht="15" customHeight="1">
      <c r="A451" t="inlineStr">
        <is>
          <t>A 52667-2022</t>
        </is>
      </c>
      <c r="B451" s="1" t="n">
        <v>44874</v>
      </c>
      <c r="C451" s="1" t="n">
        <v>45710</v>
      </c>
      <c r="D451" t="inlineStr">
        <is>
          <t>ÖSTERGÖTLANDS LÄN</t>
        </is>
      </c>
      <c r="E451" t="inlineStr">
        <is>
          <t>YDRE</t>
        </is>
      </c>
      <c r="G451" t="n">
        <v>1.2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Mattlummer</t>
        </is>
      </c>
      <c r="S451">
        <f>HYPERLINK("https://klasma.github.io/Logging_0512/artfynd/A 52667-2022 artfynd.xlsx", "A 52667-2022")</f>
        <v/>
      </c>
      <c r="T451">
        <f>HYPERLINK("https://klasma.github.io/Logging_0512/kartor/A 52667-2022 karta.png", "A 52667-2022")</f>
        <v/>
      </c>
      <c r="V451">
        <f>HYPERLINK("https://klasma.github.io/Logging_0512/klagomål/A 52667-2022 FSC-klagomål.docx", "A 52667-2022")</f>
        <v/>
      </c>
      <c r="W451">
        <f>HYPERLINK("https://klasma.github.io/Logging_0512/klagomålsmail/A 52667-2022 FSC-klagomål mail.docx", "A 52667-2022")</f>
        <v/>
      </c>
      <c r="X451">
        <f>HYPERLINK("https://klasma.github.io/Logging_0512/tillsyn/A 52667-2022 tillsynsbegäran.docx", "A 52667-2022")</f>
        <v/>
      </c>
      <c r="Y451">
        <f>HYPERLINK("https://klasma.github.io/Logging_0512/tillsynsmail/A 52667-2022 tillsynsbegäran mail.docx", "A 52667-2022")</f>
        <v/>
      </c>
    </row>
    <row r="452" ht="15" customHeight="1">
      <c r="A452" t="inlineStr">
        <is>
          <t>A 53186-2022</t>
        </is>
      </c>
      <c r="B452" s="1" t="n">
        <v>44874</v>
      </c>
      <c r="C452" s="1" t="n">
        <v>45710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6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HYPERLINK("https://klasma.github.io/Logging_0561/artfynd/A 53186-2022 artfynd.xlsx", "A 53186-2022")</f>
        <v/>
      </c>
      <c r="T452">
        <f>HYPERLINK("https://klasma.github.io/Logging_0561/kartor/A 53186-2022 karta.png", "A 53186-2022")</f>
        <v/>
      </c>
      <c r="V452">
        <f>HYPERLINK("https://klasma.github.io/Logging_0561/klagomål/A 53186-2022 FSC-klagomål.docx", "A 53186-2022")</f>
        <v/>
      </c>
      <c r="W452">
        <f>HYPERLINK("https://klasma.github.io/Logging_0561/klagomålsmail/A 53186-2022 FSC-klagomål mail.docx", "A 53186-2022")</f>
        <v/>
      </c>
      <c r="X452">
        <f>HYPERLINK("https://klasma.github.io/Logging_0561/tillsyn/A 53186-2022 tillsynsbegäran.docx", "A 53186-2022")</f>
        <v/>
      </c>
      <c r="Y452">
        <f>HYPERLINK("https://klasma.github.io/Logging_0561/tillsynsmail/A 53186-2022 tillsynsbegäran mail.docx", "A 53186-2022")</f>
        <v/>
      </c>
      <c r="Z452">
        <f>HYPERLINK("https://klasma.github.io/Logging_0561/fåglar/A 53186-2022 prioriterade fågelarter.docx", "A 53186-2022")</f>
        <v/>
      </c>
    </row>
    <row r="453" ht="15" customHeight="1">
      <c r="A453" t="inlineStr">
        <is>
          <t>A 54785-2022</t>
        </is>
      </c>
      <c r="B453" s="1" t="n">
        <v>44883</v>
      </c>
      <c r="C453" s="1" t="n">
        <v>45710</v>
      </c>
      <c r="D453" t="inlineStr">
        <is>
          <t>ÖSTERGÖTLANDS LÄN</t>
        </is>
      </c>
      <c r="E453" t="inlineStr">
        <is>
          <t>VALDEMARSVIK</t>
        </is>
      </c>
      <c r="G453" t="n">
        <v>8.5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Talltita</t>
        </is>
      </c>
      <c r="S453">
        <f>HYPERLINK("https://klasma.github.io/Logging_0563/artfynd/A 54785-2022 artfynd.xlsx", "A 54785-2022")</f>
        <v/>
      </c>
      <c r="T453">
        <f>HYPERLINK("https://klasma.github.io/Logging_0563/kartor/A 54785-2022 karta.png", "A 54785-2022")</f>
        <v/>
      </c>
      <c r="V453">
        <f>HYPERLINK("https://klasma.github.io/Logging_0563/klagomål/A 54785-2022 FSC-klagomål.docx", "A 54785-2022")</f>
        <v/>
      </c>
      <c r="W453">
        <f>HYPERLINK("https://klasma.github.io/Logging_0563/klagomålsmail/A 54785-2022 FSC-klagomål mail.docx", "A 54785-2022")</f>
        <v/>
      </c>
      <c r="X453">
        <f>HYPERLINK("https://klasma.github.io/Logging_0563/tillsyn/A 54785-2022 tillsynsbegäran.docx", "A 54785-2022")</f>
        <v/>
      </c>
      <c r="Y453">
        <f>HYPERLINK("https://klasma.github.io/Logging_0563/tillsynsmail/A 54785-2022 tillsynsbegäran mail.docx", "A 54785-2022")</f>
        <v/>
      </c>
      <c r="Z453">
        <f>HYPERLINK("https://klasma.github.io/Logging_0563/fåglar/A 54785-2022 prioriterade fågelarter.docx", "A 54785-2022")</f>
        <v/>
      </c>
    </row>
    <row r="454" ht="15" customHeight="1">
      <c r="A454" t="inlineStr">
        <is>
          <t>A 55022-2022</t>
        </is>
      </c>
      <c r="B454" s="1" t="n">
        <v>44886</v>
      </c>
      <c r="C454" s="1" t="n">
        <v>45710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Svart taggsvamp</t>
        </is>
      </c>
      <c r="S454">
        <f>HYPERLINK("https://klasma.github.io/Logging_0581/artfynd/A 55022-2022 artfynd.xlsx", "A 55022-2022")</f>
        <v/>
      </c>
      <c r="T454">
        <f>HYPERLINK("https://klasma.github.io/Logging_0581/kartor/A 55022-2022 karta.png", "A 55022-2022")</f>
        <v/>
      </c>
      <c r="V454">
        <f>HYPERLINK("https://klasma.github.io/Logging_0581/klagomål/A 55022-2022 FSC-klagomål.docx", "A 55022-2022")</f>
        <v/>
      </c>
      <c r="W454">
        <f>HYPERLINK("https://klasma.github.io/Logging_0581/klagomålsmail/A 55022-2022 FSC-klagomål mail.docx", "A 55022-2022")</f>
        <v/>
      </c>
      <c r="X454">
        <f>HYPERLINK("https://klasma.github.io/Logging_0581/tillsyn/A 55022-2022 tillsynsbegäran.docx", "A 55022-2022")</f>
        <v/>
      </c>
      <c r="Y454">
        <f>HYPERLINK("https://klasma.github.io/Logging_0581/tillsynsmail/A 55022-2022 tillsynsbegäran mail.docx", "A 55022-2022")</f>
        <v/>
      </c>
    </row>
    <row r="455" ht="15" customHeight="1">
      <c r="A455" t="inlineStr">
        <is>
          <t>A 54872-2022</t>
        </is>
      </c>
      <c r="B455" s="1" t="n">
        <v>44886</v>
      </c>
      <c r="C455" s="1" t="n">
        <v>45710</v>
      </c>
      <c r="D455" t="inlineStr">
        <is>
          <t>ÖSTERGÖTLANDS LÄN</t>
        </is>
      </c>
      <c r="E455" t="inlineStr">
        <is>
          <t>KINDA</t>
        </is>
      </c>
      <c r="G455" t="n">
        <v>1.1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Tjäder</t>
        </is>
      </c>
      <c r="S455">
        <f>HYPERLINK("https://klasma.github.io/Logging_0513/artfynd/A 54872-2022 artfynd.xlsx", "A 54872-2022")</f>
        <v/>
      </c>
      <c r="T455">
        <f>HYPERLINK("https://klasma.github.io/Logging_0513/kartor/A 54872-2022 karta.png", "A 54872-2022")</f>
        <v/>
      </c>
      <c r="V455">
        <f>HYPERLINK("https://klasma.github.io/Logging_0513/klagomål/A 54872-2022 FSC-klagomål.docx", "A 54872-2022")</f>
        <v/>
      </c>
      <c r="W455">
        <f>HYPERLINK("https://klasma.github.io/Logging_0513/klagomålsmail/A 54872-2022 FSC-klagomål mail.docx", "A 54872-2022")</f>
        <v/>
      </c>
      <c r="X455">
        <f>HYPERLINK("https://klasma.github.io/Logging_0513/tillsyn/A 54872-2022 tillsynsbegäran.docx", "A 54872-2022")</f>
        <v/>
      </c>
      <c r="Y455">
        <f>HYPERLINK("https://klasma.github.io/Logging_0513/tillsynsmail/A 54872-2022 tillsynsbegäran mail.docx", "A 54872-2022")</f>
        <v/>
      </c>
      <c r="Z455">
        <f>HYPERLINK("https://klasma.github.io/Logging_0513/fåglar/A 54872-2022 prioriterade fågelarter.docx", "A 54872-2022")</f>
        <v/>
      </c>
    </row>
    <row r="456" ht="15" customHeight="1">
      <c r="A456" t="inlineStr">
        <is>
          <t>A 55362-2022</t>
        </is>
      </c>
      <c r="B456" s="1" t="n">
        <v>44887</v>
      </c>
      <c r="C456" s="1" t="n">
        <v>45710</v>
      </c>
      <c r="D456" t="inlineStr">
        <is>
          <t>ÖSTERGÖTLANDS LÄN</t>
        </is>
      </c>
      <c r="E456" t="inlineStr">
        <is>
          <t>MJÖLBY</t>
        </is>
      </c>
      <c r="F456" t="inlineStr">
        <is>
          <t>Övriga Aktiebolag</t>
        </is>
      </c>
      <c r="G456" t="n">
        <v>7.2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Underviol</t>
        </is>
      </c>
      <c r="S456">
        <f>HYPERLINK("https://klasma.github.io/Logging_0586/artfynd/A 55362-2022 artfynd.xlsx", "A 55362-2022")</f>
        <v/>
      </c>
      <c r="T456">
        <f>HYPERLINK("https://klasma.github.io/Logging_0586/kartor/A 55362-2022 karta.png", "A 55362-2022")</f>
        <v/>
      </c>
      <c r="V456">
        <f>HYPERLINK("https://klasma.github.io/Logging_0586/klagomål/A 55362-2022 FSC-klagomål.docx", "A 55362-2022")</f>
        <v/>
      </c>
      <c r="W456">
        <f>HYPERLINK("https://klasma.github.io/Logging_0586/klagomålsmail/A 55362-2022 FSC-klagomål mail.docx", "A 55362-2022")</f>
        <v/>
      </c>
      <c r="X456">
        <f>HYPERLINK("https://klasma.github.io/Logging_0586/tillsyn/A 55362-2022 tillsynsbegäran.docx", "A 55362-2022")</f>
        <v/>
      </c>
      <c r="Y456">
        <f>HYPERLINK("https://klasma.github.io/Logging_0586/tillsynsmail/A 55362-2022 tillsynsbegäran mail.docx", "A 55362-2022")</f>
        <v/>
      </c>
    </row>
    <row r="457" ht="15" customHeight="1">
      <c r="A457" t="inlineStr">
        <is>
          <t>A 55615-2022</t>
        </is>
      </c>
      <c r="B457" s="1" t="n">
        <v>44888</v>
      </c>
      <c r="C457" s="1" t="n">
        <v>45710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2.6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Tibast</t>
        </is>
      </c>
      <c r="S457">
        <f>HYPERLINK("https://klasma.github.io/Logging_0512/artfynd/A 55615-2022 artfynd.xlsx", "A 55615-2022")</f>
        <v/>
      </c>
      <c r="T457">
        <f>HYPERLINK("https://klasma.github.io/Logging_0512/kartor/A 55615-2022 karta.png", "A 55615-2022")</f>
        <v/>
      </c>
      <c r="V457">
        <f>HYPERLINK("https://klasma.github.io/Logging_0512/klagomål/A 55615-2022 FSC-klagomål.docx", "A 55615-2022")</f>
        <v/>
      </c>
      <c r="W457">
        <f>HYPERLINK("https://klasma.github.io/Logging_0512/klagomålsmail/A 55615-2022 FSC-klagomål mail.docx", "A 55615-2022")</f>
        <v/>
      </c>
      <c r="X457">
        <f>HYPERLINK("https://klasma.github.io/Logging_0512/tillsyn/A 55615-2022 tillsynsbegäran.docx", "A 55615-2022")</f>
        <v/>
      </c>
      <c r="Y457">
        <f>HYPERLINK("https://klasma.github.io/Logging_0512/tillsynsmail/A 55615-2022 tillsynsbegäran mail.docx", "A 55615-2022")</f>
        <v/>
      </c>
    </row>
    <row r="458" ht="15" customHeight="1">
      <c r="A458" t="inlineStr">
        <is>
          <t>A 56128-2022</t>
        </is>
      </c>
      <c r="B458" s="1" t="n">
        <v>44889</v>
      </c>
      <c r="C458" s="1" t="n">
        <v>45710</v>
      </c>
      <c r="D458" t="inlineStr">
        <is>
          <t>ÖSTERGÖTLANDS LÄN</t>
        </is>
      </c>
      <c r="E458" t="inlineStr">
        <is>
          <t>LINKÖPING</t>
        </is>
      </c>
      <c r="G458" t="n">
        <v>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Tibast</t>
        </is>
      </c>
      <c r="S458">
        <f>HYPERLINK("https://klasma.github.io/Logging_0580/artfynd/A 56128-2022 artfynd.xlsx", "A 56128-2022")</f>
        <v/>
      </c>
      <c r="T458">
        <f>HYPERLINK("https://klasma.github.io/Logging_0580/kartor/A 56128-2022 karta.png", "A 56128-2022")</f>
        <v/>
      </c>
      <c r="V458">
        <f>HYPERLINK("https://klasma.github.io/Logging_0580/klagomål/A 56128-2022 FSC-klagomål.docx", "A 56128-2022")</f>
        <v/>
      </c>
      <c r="W458">
        <f>HYPERLINK("https://klasma.github.io/Logging_0580/klagomålsmail/A 56128-2022 FSC-klagomål mail.docx", "A 56128-2022")</f>
        <v/>
      </c>
      <c r="X458">
        <f>HYPERLINK("https://klasma.github.io/Logging_0580/tillsyn/A 56128-2022 tillsynsbegäran.docx", "A 56128-2022")</f>
        <v/>
      </c>
      <c r="Y458">
        <f>HYPERLINK("https://klasma.github.io/Logging_0580/tillsynsmail/A 56128-2022 tillsynsbegäran mail.docx", "A 56128-2022")</f>
        <v/>
      </c>
    </row>
    <row r="459" ht="15" customHeight="1">
      <c r="A459" t="inlineStr">
        <is>
          <t>A 59418-2022</t>
        </is>
      </c>
      <c r="B459" s="1" t="n">
        <v>44907</v>
      </c>
      <c r="C459" s="1" t="n">
        <v>45710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Övriga Aktiebolag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HYPERLINK("https://klasma.github.io/Logging_0560/artfynd/A 59418-2022 artfynd.xlsx", "A 59418-2022")</f>
        <v/>
      </c>
      <c r="T459">
        <f>HYPERLINK("https://klasma.github.io/Logging_0560/kartor/A 59418-2022 karta.png", "A 59418-2022")</f>
        <v/>
      </c>
      <c r="V459">
        <f>HYPERLINK("https://klasma.github.io/Logging_0560/klagomål/A 59418-2022 FSC-klagomål.docx", "A 59418-2022")</f>
        <v/>
      </c>
      <c r="W459">
        <f>HYPERLINK("https://klasma.github.io/Logging_0560/klagomålsmail/A 59418-2022 FSC-klagomål mail.docx", "A 59418-2022")</f>
        <v/>
      </c>
      <c r="X459">
        <f>HYPERLINK("https://klasma.github.io/Logging_0560/tillsyn/A 59418-2022 tillsynsbegäran.docx", "A 59418-2022")</f>
        <v/>
      </c>
      <c r="Y459">
        <f>HYPERLINK("https://klasma.github.io/Logging_0560/tillsynsmail/A 59418-2022 tillsynsbegäran mail.docx", "A 59418-2022")</f>
        <v/>
      </c>
    </row>
    <row r="460" ht="15" customHeight="1">
      <c r="A460" t="inlineStr">
        <is>
          <t>A 60958-2022</t>
        </is>
      </c>
      <c r="B460" s="1" t="n">
        <v>44914</v>
      </c>
      <c r="C460" s="1" t="n">
        <v>45710</v>
      </c>
      <c r="D460" t="inlineStr">
        <is>
          <t>ÖSTERGÖTLANDS LÄN</t>
        </is>
      </c>
      <c r="E460" t="inlineStr">
        <is>
          <t>KINDA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Puckelmaskros</t>
        </is>
      </c>
      <c r="S460">
        <f>HYPERLINK("https://klasma.github.io/Logging_0513/artfynd/A 60958-2022 artfynd.xlsx", "A 60958-2022")</f>
        <v/>
      </c>
      <c r="T460">
        <f>HYPERLINK("https://klasma.github.io/Logging_0513/kartor/A 60958-2022 karta.png", "A 60958-2022")</f>
        <v/>
      </c>
      <c r="V460">
        <f>HYPERLINK("https://klasma.github.io/Logging_0513/klagomål/A 60958-2022 FSC-klagomål.docx", "A 60958-2022")</f>
        <v/>
      </c>
      <c r="W460">
        <f>HYPERLINK("https://klasma.github.io/Logging_0513/klagomålsmail/A 60958-2022 FSC-klagomål mail.docx", "A 60958-2022")</f>
        <v/>
      </c>
      <c r="X460">
        <f>HYPERLINK("https://klasma.github.io/Logging_0513/tillsyn/A 60958-2022 tillsynsbegäran.docx", "A 60958-2022")</f>
        <v/>
      </c>
      <c r="Y460">
        <f>HYPERLINK("https://klasma.github.io/Logging_0513/tillsynsmail/A 60958-2022 tillsynsbegäran mail.docx", "A 60958-2022")</f>
        <v/>
      </c>
    </row>
    <row r="461" ht="15" customHeight="1">
      <c r="A461" t="inlineStr">
        <is>
          <t>A 61104-2022</t>
        </is>
      </c>
      <c r="B461" s="1" t="n">
        <v>44915</v>
      </c>
      <c r="C461" s="1" t="n">
        <v>45710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Tallticka</t>
        </is>
      </c>
      <c r="S461">
        <f>HYPERLINK("https://klasma.github.io/Logging_0562/artfynd/A 61104-2022 artfynd.xlsx", "A 61104-2022")</f>
        <v/>
      </c>
      <c r="T461">
        <f>HYPERLINK("https://klasma.github.io/Logging_0562/kartor/A 61104-2022 karta.png", "A 61104-2022")</f>
        <v/>
      </c>
      <c r="V461">
        <f>HYPERLINK("https://klasma.github.io/Logging_0562/klagomål/A 61104-2022 FSC-klagomål.docx", "A 61104-2022")</f>
        <v/>
      </c>
      <c r="W461">
        <f>HYPERLINK("https://klasma.github.io/Logging_0562/klagomålsmail/A 61104-2022 FSC-klagomål mail.docx", "A 61104-2022")</f>
        <v/>
      </c>
      <c r="X461">
        <f>HYPERLINK("https://klasma.github.io/Logging_0562/tillsyn/A 61104-2022 tillsynsbegäran.docx", "A 61104-2022")</f>
        <v/>
      </c>
      <c r="Y461">
        <f>HYPERLINK("https://klasma.github.io/Logging_0562/tillsynsmail/A 61104-2022 tillsynsbegäran mail.docx", "A 61104-2022")</f>
        <v/>
      </c>
    </row>
    <row r="462" ht="15" customHeight="1">
      <c r="A462" t="inlineStr">
        <is>
          <t>A 62388-2022</t>
        </is>
      </c>
      <c r="B462" s="1" t="n">
        <v>44923</v>
      </c>
      <c r="C462" s="1" t="n">
        <v>45710</v>
      </c>
      <c r="D462" t="inlineStr">
        <is>
          <t>ÖSTERGÖTLANDS LÄN</t>
        </is>
      </c>
      <c r="E462" t="inlineStr">
        <is>
          <t>ÅTVIDABERG</t>
        </is>
      </c>
      <c r="G462" t="n">
        <v>5.4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Havsörn</t>
        </is>
      </c>
      <c r="S462">
        <f>HYPERLINK("https://klasma.github.io/Logging_0561/artfynd/A 62388-2022 artfynd.xlsx", "A 62388-2022")</f>
        <v/>
      </c>
      <c r="T462">
        <f>HYPERLINK("https://klasma.github.io/Logging_0561/kartor/A 62388-2022 karta.png", "A 62388-2022")</f>
        <v/>
      </c>
      <c r="V462">
        <f>HYPERLINK("https://klasma.github.io/Logging_0561/klagomål/A 62388-2022 FSC-klagomål.docx", "A 62388-2022")</f>
        <v/>
      </c>
      <c r="W462">
        <f>HYPERLINK("https://klasma.github.io/Logging_0561/klagomålsmail/A 62388-2022 FSC-klagomål mail.docx", "A 62388-2022")</f>
        <v/>
      </c>
      <c r="X462">
        <f>HYPERLINK("https://klasma.github.io/Logging_0561/tillsyn/A 62388-2022 tillsynsbegäran.docx", "A 62388-2022")</f>
        <v/>
      </c>
      <c r="Y462">
        <f>HYPERLINK("https://klasma.github.io/Logging_0561/tillsynsmail/A 62388-2022 tillsynsbegäran mail.docx", "A 62388-2022")</f>
        <v/>
      </c>
      <c r="Z462">
        <f>HYPERLINK("https://klasma.github.io/Logging_0561/fåglar/A 62388-2022 prioriterade fågelarter.docx", "A 62388-2022")</f>
        <v/>
      </c>
    </row>
    <row r="463" ht="15" customHeight="1">
      <c r="A463" t="inlineStr">
        <is>
          <t>A 663-2023</t>
        </is>
      </c>
      <c r="B463" s="1" t="n">
        <v>44930</v>
      </c>
      <c r="C463" s="1" t="n">
        <v>45710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HYPERLINK("https://klasma.github.io/Logging_0562/artfynd/A 663-2023 artfynd.xlsx", "A 663-2023")</f>
        <v/>
      </c>
      <c r="T463">
        <f>HYPERLINK("https://klasma.github.io/Logging_0562/kartor/A 663-2023 karta.png", "A 663-2023")</f>
        <v/>
      </c>
      <c r="V463">
        <f>HYPERLINK("https://klasma.github.io/Logging_0562/klagomål/A 663-2023 FSC-klagomål.docx", "A 663-2023")</f>
        <v/>
      </c>
      <c r="W463">
        <f>HYPERLINK("https://klasma.github.io/Logging_0562/klagomålsmail/A 663-2023 FSC-klagomål mail.docx", "A 663-2023")</f>
        <v/>
      </c>
      <c r="X463">
        <f>HYPERLINK("https://klasma.github.io/Logging_0562/tillsyn/A 663-2023 tillsynsbegäran.docx", "A 663-2023")</f>
        <v/>
      </c>
      <c r="Y463">
        <f>HYPERLINK("https://klasma.github.io/Logging_0562/tillsynsmail/A 663-2023 tillsynsbegäran mail.docx", "A 663-2023")</f>
        <v/>
      </c>
    </row>
    <row r="464" ht="15" customHeight="1">
      <c r="A464" t="inlineStr">
        <is>
          <t>A 1213-2023</t>
        </is>
      </c>
      <c r="B464" s="1" t="n">
        <v>44930</v>
      </c>
      <c r="C464" s="1" t="n">
        <v>45710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17.8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Stubbspretmossa</t>
        </is>
      </c>
      <c r="S464">
        <f>HYPERLINK("https://klasma.github.io/Logging_0580/artfynd/A 1213-2023 artfynd.xlsx", "A 1213-2023")</f>
        <v/>
      </c>
      <c r="T464">
        <f>HYPERLINK("https://klasma.github.io/Logging_0580/kartor/A 1213-2023 karta.png", "A 1213-2023")</f>
        <v/>
      </c>
      <c r="V464">
        <f>HYPERLINK("https://klasma.github.io/Logging_0580/klagomål/A 1213-2023 FSC-klagomål.docx", "A 1213-2023")</f>
        <v/>
      </c>
      <c r="W464">
        <f>HYPERLINK("https://klasma.github.io/Logging_0580/klagomålsmail/A 1213-2023 FSC-klagomål mail.docx", "A 1213-2023")</f>
        <v/>
      </c>
      <c r="X464">
        <f>HYPERLINK("https://klasma.github.io/Logging_0580/tillsyn/A 1213-2023 tillsynsbegäran.docx", "A 1213-2023")</f>
        <v/>
      </c>
      <c r="Y464">
        <f>HYPERLINK("https://klasma.github.io/Logging_0580/tillsynsmail/A 1213-2023 tillsynsbegäran mail.docx", "A 1213-2023")</f>
        <v/>
      </c>
    </row>
    <row r="465" ht="15" customHeight="1">
      <c r="A465" t="inlineStr">
        <is>
          <t>A 1126-2023</t>
        </is>
      </c>
      <c r="B465" s="1" t="n">
        <v>44935</v>
      </c>
      <c r="C465" s="1" t="n">
        <v>45710</v>
      </c>
      <c r="D465" t="inlineStr">
        <is>
          <t>ÖSTERGÖTLANDS LÄN</t>
        </is>
      </c>
      <c r="E465" t="inlineStr">
        <is>
          <t>ÅTVIDABERG</t>
        </is>
      </c>
      <c r="G465" t="n">
        <v>1.6</v>
      </c>
      <c r="H465" t="n">
        <v>1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Purpurknipprot</t>
        </is>
      </c>
      <c r="S465">
        <f>HYPERLINK("https://klasma.github.io/Logging_0561/artfynd/A 1126-2023 artfynd.xlsx", "A 1126-2023")</f>
        <v/>
      </c>
      <c r="T465">
        <f>HYPERLINK("https://klasma.github.io/Logging_0561/kartor/A 1126-2023 karta.png", "A 1126-2023")</f>
        <v/>
      </c>
      <c r="V465">
        <f>HYPERLINK("https://klasma.github.io/Logging_0561/klagomål/A 1126-2023 FSC-klagomål.docx", "A 1126-2023")</f>
        <v/>
      </c>
      <c r="W465">
        <f>HYPERLINK("https://klasma.github.io/Logging_0561/klagomålsmail/A 1126-2023 FSC-klagomål mail.docx", "A 1126-2023")</f>
        <v/>
      </c>
      <c r="X465">
        <f>HYPERLINK("https://klasma.github.io/Logging_0561/tillsyn/A 1126-2023 tillsynsbegäran.docx", "A 1126-2023")</f>
        <v/>
      </c>
      <c r="Y465">
        <f>HYPERLINK("https://klasma.github.io/Logging_0561/tillsynsmail/A 1126-2023 tillsynsbegäran mail.docx", "A 1126-2023")</f>
        <v/>
      </c>
    </row>
    <row r="466" ht="15" customHeight="1">
      <c r="A466" t="inlineStr">
        <is>
          <t>A 1716-2023</t>
        </is>
      </c>
      <c r="B466" s="1" t="n">
        <v>44938</v>
      </c>
      <c r="C466" s="1" t="n">
        <v>45710</v>
      </c>
      <c r="D466" t="inlineStr">
        <is>
          <t>ÖSTERGÖTLANDS LÄN</t>
        </is>
      </c>
      <c r="E466" t="inlineStr">
        <is>
          <t>LINKÖPING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HYPERLINK("https://klasma.github.io/Logging_0580/artfynd/A 1716-2023 artfynd.xlsx", "A 1716-2023")</f>
        <v/>
      </c>
      <c r="T466">
        <f>HYPERLINK("https://klasma.github.io/Logging_0580/kartor/A 1716-2023 karta.png", "A 1716-2023")</f>
        <v/>
      </c>
      <c r="V466">
        <f>HYPERLINK("https://klasma.github.io/Logging_0580/klagomål/A 1716-2023 FSC-klagomål.docx", "A 1716-2023")</f>
        <v/>
      </c>
      <c r="W466">
        <f>HYPERLINK("https://klasma.github.io/Logging_0580/klagomålsmail/A 1716-2023 FSC-klagomål mail.docx", "A 1716-2023")</f>
        <v/>
      </c>
      <c r="X466">
        <f>HYPERLINK("https://klasma.github.io/Logging_0580/tillsyn/A 1716-2023 tillsynsbegäran.docx", "A 1716-2023")</f>
        <v/>
      </c>
      <c r="Y466">
        <f>HYPERLINK("https://klasma.github.io/Logging_0580/tillsynsmail/A 1716-2023 tillsynsbegäran mail.docx", "A 1716-2023")</f>
        <v/>
      </c>
    </row>
    <row r="467" ht="15" customHeight="1">
      <c r="A467" t="inlineStr">
        <is>
          <t>A 2457-2023</t>
        </is>
      </c>
      <c r="B467" s="1" t="n">
        <v>44943</v>
      </c>
      <c r="C467" s="1" t="n">
        <v>45710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1.3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Dropptaggsvamp</t>
        </is>
      </c>
      <c r="S467">
        <f>HYPERLINK("https://klasma.github.io/Logging_0581/artfynd/A 2457-2023 artfynd.xlsx", "A 2457-2023")</f>
        <v/>
      </c>
      <c r="T467">
        <f>HYPERLINK("https://klasma.github.io/Logging_0581/kartor/A 2457-2023 karta.png", "A 2457-2023")</f>
        <v/>
      </c>
      <c r="V467">
        <f>HYPERLINK("https://klasma.github.io/Logging_0581/klagomål/A 2457-2023 FSC-klagomål.docx", "A 2457-2023")</f>
        <v/>
      </c>
      <c r="W467">
        <f>HYPERLINK("https://klasma.github.io/Logging_0581/klagomålsmail/A 2457-2023 FSC-klagomål mail.docx", "A 2457-2023")</f>
        <v/>
      </c>
      <c r="X467">
        <f>HYPERLINK("https://klasma.github.io/Logging_0581/tillsyn/A 2457-2023 tillsynsbegäran.docx", "A 2457-2023")</f>
        <v/>
      </c>
      <c r="Y467">
        <f>HYPERLINK("https://klasma.github.io/Logging_0581/tillsynsmail/A 2457-2023 tillsynsbegäran mail.docx", "A 2457-2023")</f>
        <v/>
      </c>
    </row>
    <row r="468" ht="15" customHeight="1">
      <c r="A468" t="inlineStr">
        <is>
          <t>A 3088-2023</t>
        </is>
      </c>
      <c r="B468" s="1" t="n">
        <v>44946</v>
      </c>
      <c r="C468" s="1" t="n">
        <v>45710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Guldsandbi</t>
        </is>
      </c>
      <c r="S468">
        <f>HYPERLINK("https://klasma.github.io/Logging_0562/artfynd/A 3088-2023 artfynd.xlsx", "A 3088-2023")</f>
        <v/>
      </c>
      <c r="T468">
        <f>HYPERLINK("https://klasma.github.io/Logging_0562/kartor/A 3088-2023 karta.png", "A 3088-2023")</f>
        <v/>
      </c>
      <c r="V468">
        <f>HYPERLINK("https://klasma.github.io/Logging_0562/klagomål/A 3088-2023 FSC-klagomål.docx", "A 3088-2023")</f>
        <v/>
      </c>
      <c r="W468">
        <f>HYPERLINK("https://klasma.github.io/Logging_0562/klagomålsmail/A 3088-2023 FSC-klagomål mail.docx", "A 3088-2023")</f>
        <v/>
      </c>
      <c r="X468">
        <f>HYPERLINK("https://klasma.github.io/Logging_0562/tillsyn/A 3088-2023 tillsynsbegäran.docx", "A 3088-2023")</f>
        <v/>
      </c>
      <c r="Y468">
        <f>HYPERLINK("https://klasma.github.io/Logging_0562/tillsynsmail/A 3088-2023 tillsynsbegäran mail.docx", "A 3088-2023")</f>
        <v/>
      </c>
    </row>
    <row r="469" ht="15" customHeight="1">
      <c r="A469" t="inlineStr">
        <is>
          <t>A 3096-2023</t>
        </is>
      </c>
      <c r="B469" s="1" t="n">
        <v>44946</v>
      </c>
      <c r="C469" s="1" t="n">
        <v>45710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Guldsandbi</t>
        </is>
      </c>
      <c r="S469">
        <f>HYPERLINK("https://klasma.github.io/Logging_0562/artfynd/A 3096-2023 artfynd.xlsx", "A 3096-2023")</f>
        <v/>
      </c>
      <c r="T469">
        <f>HYPERLINK("https://klasma.github.io/Logging_0562/kartor/A 3096-2023 karta.png", "A 3096-2023")</f>
        <v/>
      </c>
      <c r="V469">
        <f>HYPERLINK("https://klasma.github.io/Logging_0562/klagomål/A 3096-2023 FSC-klagomål.docx", "A 3096-2023")</f>
        <v/>
      </c>
      <c r="W469">
        <f>HYPERLINK("https://klasma.github.io/Logging_0562/klagomålsmail/A 3096-2023 FSC-klagomål mail.docx", "A 3096-2023")</f>
        <v/>
      </c>
      <c r="X469">
        <f>HYPERLINK("https://klasma.github.io/Logging_0562/tillsyn/A 3096-2023 tillsynsbegäran.docx", "A 3096-2023")</f>
        <v/>
      </c>
      <c r="Y469">
        <f>HYPERLINK("https://klasma.github.io/Logging_0562/tillsynsmail/A 3096-2023 tillsynsbegäran mail.docx", "A 3096-2023")</f>
        <v/>
      </c>
    </row>
    <row r="470" ht="15" customHeight="1">
      <c r="A470" t="inlineStr">
        <is>
          <t>A 3397-2023</t>
        </is>
      </c>
      <c r="B470" s="1" t="n">
        <v>44949</v>
      </c>
      <c r="C470" s="1" t="n">
        <v>45710</v>
      </c>
      <c r="D470" t="inlineStr">
        <is>
          <t>ÖSTERGÖTLANDS LÄN</t>
        </is>
      </c>
      <c r="E470" t="inlineStr">
        <is>
          <t>LINKÖPING</t>
        </is>
      </c>
      <c r="G470" t="n">
        <v>4.1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Svinrot</t>
        </is>
      </c>
      <c r="S470">
        <f>HYPERLINK("https://klasma.github.io/Logging_0580/artfynd/A 3397-2023 artfynd.xlsx", "A 3397-2023")</f>
        <v/>
      </c>
      <c r="T470">
        <f>HYPERLINK("https://klasma.github.io/Logging_0580/kartor/A 3397-2023 karta.png", "A 3397-2023")</f>
        <v/>
      </c>
      <c r="V470">
        <f>HYPERLINK("https://klasma.github.io/Logging_0580/klagomål/A 3397-2023 FSC-klagomål.docx", "A 3397-2023")</f>
        <v/>
      </c>
      <c r="W470">
        <f>HYPERLINK("https://klasma.github.io/Logging_0580/klagomålsmail/A 3397-2023 FSC-klagomål mail.docx", "A 3397-2023")</f>
        <v/>
      </c>
      <c r="X470">
        <f>HYPERLINK("https://klasma.github.io/Logging_0580/tillsyn/A 3397-2023 tillsynsbegäran.docx", "A 3397-2023")</f>
        <v/>
      </c>
      <c r="Y470">
        <f>HYPERLINK("https://klasma.github.io/Logging_0580/tillsynsmail/A 3397-2023 tillsynsbegäran mail.docx", "A 3397-2023")</f>
        <v/>
      </c>
    </row>
    <row r="471" ht="15" customHeight="1">
      <c r="A471" t="inlineStr">
        <is>
          <t>A 4051-2023</t>
        </is>
      </c>
      <c r="B471" s="1" t="n">
        <v>44952</v>
      </c>
      <c r="C471" s="1" t="n">
        <v>45710</v>
      </c>
      <c r="D471" t="inlineStr">
        <is>
          <t>ÖSTERGÖTLANDS LÄN</t>
        </is>
      </c>
      <c r="E471" t="inlineStr">
        <is>
          <t>VALDEMARSVIK</t>
        </is>
      </c>
      <c r="G471" t="n">
        <v>2.5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Skogsklocka</t>
        </is>
      </c>
      <c r="S471">
        <f>HYPERLINK("https://klasma.github.io/Logging_0563/artfynd/A 4051-2023 artfynd.xlsx", "A 4051-2023")</f>
        <v/>
      </c>
      <c r="T471">
        <f>HYPERLINK("https://klasma.github.io/Logging_0563/kartor/A 4051-2023 karta.png", "A 4051-2023")</f>
        <v/>
      </c>
      <c r="V471">
        <f>HYPERLINK("https://klasma.github.io/Logging_0563/klagomål/A 4051-2023 FSC-klagomål.docx", "A 4051-2023")</f>
        <v/>
      </c>
      <c r="W471">
        <f>HYPERLINK("https://klasma.github.io/Logging_0563/klagomålsmail/A 4051-2023 FSC-klagomål mail.docx", "A 4051-2023")</f>
        <v/>
      </c>
      <c r="X471">
        <f>HYPERLINK("https://klasma.github.io/Logging_0563/tillsyn/A 4051-2023 tillsynsbegäran.docx", "A 4051-2023")</f>
        <v/>
      </c>
      <c r="Y471">
        <f>HYPERLINK("https://klasma.github.io/Logging_0563/tillsynsmail/A 4051-2023 tillsynsbegäran mail.docx", "A 4051-2023")</f>
        <v/>
      </c>
    </row>
    <row r="472" ht="15" customHeight="1">
      <c r="A472" t="inlineStr">
        <is>
          <t>A 4764-2023</t>
        </is>
      </c>
      <c r="B472" s="1" t="n">
        <v>44957</v>
      </c>
      <c r="C472" s="1" t="n">
        <v>45710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Motaggsvamp</t>
        </is>
      </c>
      <c r="S472">
        <f>HYPERLINK("https://klasma.github.io/Logging_0580/artfynd/A 4764-2023 artfynd.xlsx", "A 4764-2023")</f>
        <v/>
      </c>
      <c r="T472">
        <f>HYPERLINK("https://klasma.github.io/Logging_0580/kartor/A 4764-2023 karta.png", "A 4764-2023")</f>
        <v/>
      </c>
      <c r="V472">
        <f>HYPERLINK("https://klasma.github.io/Logging_0580/klagomål/A 4764-2023 FSC-klagomål.docx", "A 4764-2023")</f>
        <v/>
      </c>
      <c r="W472">
        <f>HYPERLINK("https://klasma.github.io/Logging_0580/klagomålsmail/A 4764-2023 FSC-klagomål mail.docx", "A 4764-2023")</f>
        <v/>
      </c>
      <c r="X472">
        <f>HYPERLINK("https://klasma.github.io/Logging_0580/tillsyn/A 4764-2023 tillsynsbegäran.docx", "A 4764-2023")</f>
        <v/>
      </c>
      <c r="Y472">
        <f>HYPERLINK("https://klasma.github.io/Logging_0580/tillsynsmail/A 4764-2023 tillsynsbegäran mail.docx", "A 4764-2023")</f>
        <v/>
      </c>
    </row>
    <row r="473" ht="15" customHeight="1">
      <c r="A473" t="inlineStr">
        <is>
          <t>A 4929-2023</t>
        </is>
      </c>
      <c r="B473" s="1" t="n">
        <v>44958</v>
      </c>
      <c r="C473" s="1" t="n">
        <v>45710</v>
      </c>
      <c r="D473" t="inlineStr">
        <is>
          <t>ÖSTERGÖTLANDS LÄN</t>
        </is>
      </c>
      <c r="E473" t="inlineStr">
        <is>
          <t>LINKÖPING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Sågfibbla</t>
        </is>
      </c>
      <c r="S473">
        <f>HYPERLINK("https://klasma.github.io/Logging_0580/artfynd/A 4929-2023 artfynd.xlsx", "A 4929-2023")</f>
        <v/>
      </c>
      <c r="T473">
        <f>HYPERLINK("https://klasma.github.io/Logging_0580/kartor/A 4929-2023 karta.png", "A 4929-2023")</f>
        <v/>
      </c>
      <c r="V473">
        <f>HYPERLINK("https://klasma.github.io/Logging_0580/klagomål/A 4929-2023 FSC-klagomål.docx", "A 4929-2023")</f>
        <v/>
      </c>
      <c r="W473">
        <f>HYPERLINK("https://klasma.github.io/Logging_0580/klagomålsmail/A 4929-2023 FSC-klagomål mail.docx", "A 4929-2023")</f>
        <v/>
      </c>
      <c r="X473">
        <f>HYPERLINK("https://klasma.github.io/Logging_0580/tillsyn/A 4929-2023 tillsynsbegäran.docx", "A 4929-2023")</f>
        <v/>
      </c>
      <c r="Y473">
        <f>HYPERLINK("https://klasma.github.io/Logging_0580/tillsynsmail/A 4929-2023 tillsynsbegäran mail.docx", "A 4929-2023")</f>
        <v/>
      </c>
    </row>
    <row r="474" ht="15" customHeight="1">
      <c r="A474" t="inlineStr">
        <is>
          <t>A 5668-2023</t>
        </is>
      </c>
      <c r="B474" s="1" t="n">
        <v>44960</v>
      </c>
      <c r="C474" s="1" t="n">
        <v>45710</v>
      </c>
      <c r="D474" t="inlineStr">
        <is>
          <t>ÖSTERGÖTLANDS LÄN</t>
        </is>
      </c>
      <c r="E474" t="inlineStr">
        <is>
          <t>KINDA</t>
        </is>
      </c>
      <c r="G474" t="n">
        <v>7.5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HYPERLINK("https://klasma.github.io/Logging_0513/artfynd/A 5668-2023 artfynd.xlsx", "A 5668-2023")</f>
        <v/>
      </c>
      <c r="T474">
        <f>HYPERLINK("https://klasma.github.io/Logging_0513/kartor/A 5668-2023 karta.png", "A 5668-2023")</f>
        <v/>
      </c>
      <c r="U474">
        <f>HYPERLINK("https://klasma.github.io/Logging_0513/knärot/A 5668-2023 karta knärot.png", "A 5668-2023")</f>
        <v/>
      </c>
      <c r="V474">
        <f>HYPERLINK("https://klasma.github.io/Logging_0513/klagomål/A 5668-2023 FSC-klagomål.docx", "A 5668-2023")</f>
        <v/>
      </c>
      <c r="W474">
        <f>HYPERLINK("https://klasma.github.io/Logging_0513/klagomålsmail/A 5668-2023 FSC-klagomål mail.docx", "A 5668-2023")</f>
        <v/>
      </c>
      <c r="X474">
        <f>HYPERLINK("https://klasma.github.io/Logging_0513/tillsyn/A 5668-2023 tillsynsbegäran.docx", "A 5668-2023")</f>
        <v/>
      </c>
      <c r="Y474">
        <f>HYPERLINK("https://klasma.github.io/Logging_0513/tillsynsmail/A 5668-2023 tillsynsbegäran mail.docx", "A 5668-2023")</f>
        <v/>
      </c>
    </row>
    <row r="475" ht="15" customHeight="1">
      <c r="A475" t="inlineStr">
        <is>
          <t>A 6707-2023</t>
        </is>
      </c>
      <c r="B475" s="1" t="n">
        <v>44966</v>
      </c>
      <c r="C475" s="1" t="n">
        <v>45710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Vedtrappmossa</t>
        </is>
      </c>
      <c r="S475">
        <f>HYPERLINK("https://klasma.github.io/Logging_0562/artfynd/A 6707-2023 artfynd.xlsx", "A 6707-2023")</f>
        <v/>
      </c>
      <c r="T475">
        <f>HYPERLINK("https://klasma.github.io/Logging_0562/kartor/A 6707-2023 karta.png", "A 6707-2023")</f>
        <v/>
      </c>
      <c r="V475">
        <f>HYPERLINK("https://klasma.github.io/Logging_0562/klagomål/A 6707-2023 FSC-klagomål.docx", "A 6707-2023")</f>
        <v/>
      </c>
      <c r="W475">
        <f>HYPERLINK("https://klasma.github.io/Logging_0562/klagomålsmail/A 6707-2023 FSC-klagomål mail.docx", "A 6707-2023")</f>
        <v/>
      </c>
      <c r="X475">
        <f>HYPERLINK("https://klasma.github.io/Logging_0562/tillsyn/A 6707-2023 tillsynsbegäran.docx", "A 6707-2023")</f>
        <v/>
      </c>
      <c r="Y475">
        <f>HYPERLINK("https://klasma.github.io/Logging_0562/tillsynsmail/A 6707-2023 tillsynsbegäran mail.docx", "A 6707-2023")</f>
        <v/>
      </c>
    </row>
    <row r="476" ht="15" customHeight="1">
      <c r="A476" t="inlineStr">
        <is>
          <t>A 6729-2023</t>
        </is>
      </c>
      <c r="B476" s="1" t="n">
        <v>44966</v>
      </c>
      <c r="C476" s="1" t="n">
        <v>45710</v>
      </c>
      <c r="D476" t="inlineStr">
        <is>
          <t>ÖSTERGÖTLANDS LÄN</t>
        </is>
      </c>
      <c r="E476" t="inlineStr">
        <is>
          <t>FINSPÅNG</t>
        </is>
      </c>
      <c r="G476" t="n">
        <v>4</v>
      </c>
      <c r="H476" t="n">
        <v>1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Plattlummer</t>
        </is>
      </c>
      <c r="S476">
        <f>HYPERLINK("https://klasma.github.io/Logging_0562/artfynd/A 6729-2023 artfynd.xlsx", "A 6729-2023")</f>
        <v/>
      </c>
      <c r="T476">
        <f>HYPERLINK("https://klasma.github.io/Logging_0562/kartor/A 6729-2023 karta.png", "A 6729-2023")</f>
        <v/>
      </c>
      <c r="V476">
        <f>HYPERLINK("https://klasma.github.io/Logging_0562/klagomål/A 6729-2023 FSC-klagomål.docx", "A 6729-2023")</f>
        <v/>
      </c>
      <c r="W476">
        <f>HYPERLINK("https://klasma.github.io/Logging_0562/klagomålsmail/A 6729-2023 FSC-klagomål mail.docx", "A 6729-2023")</f>
        <v/>
      </c>
      <c r="X476">
        <f>HYPERLINK("https://klasma.github.io/Logging_0562/tillsyn/A 6729-2023 tillsynsbegäran.docx", "A 6729-2023")</f>
        <v/>
      </c>
      <c r="Y476">
        <f>HYPERLINK("https://klasma.github.io/Logging_0562/tillsynsmail/A 6729-2023 tillsynsbegäran mail.docx", "A 6729-2023")</f>
        <v/>
      </c>
    </row>
    <row r="477" ht="15" customHeight="1">
      <c r="A477" t="inlineStr">
        <is>
          <t>A 7264-2023</t>
        </is>
      </c>
      <c r="B477" s="1" t="n">
        <v>44970</v>
      </c>
      <c r="C477" s="1" t="n">
        <v>45710</v>
      </c>
      <c r="D477" t="inlineStr">
        <is>
          <t>ÖSTERGÖTLANDS LÄN</t>
        </is>
      </c>
      <c r="E477" t="inlineStr">
        <is>
          <t>NORRKÖPING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HYPERLINK("https://klasma.github.io/Logging_0581/artfynd/A 7264-2023 artfynd.xlsx", "A 7264-2023")</f>
        <v/>
      </c>
      <c r="T477">
        <f>HYPERLINK("https://klasma.github.io/Logging_0581/kartor/A 7264-2023 karta.png", "A 7264-2023")</f>
        <v/>
      </c>
      <c r="V477">
        <f>HYPERLINK("https://klasma.github.io/Logging_0581/klagomål/A 7264-2023 FSC-klagomål.docx", "A 7264-2023")</f>
        <v/>
      </c>
      <c r="W477">
        <f>HYPERLINK("https://klasma.github.io/Logging_0581/klagomålsmail/A 7264-2023 FSC-klagomål mail.docx", "A 7264-2023")</f>
        <v/>
      </c>
      <c r="X477">
        <f>HYPERLINK("https://klasma.github.io/Logging_0581/tillsyn/A 7264-2023 tillsynsbegäran.docx", "A 7264-2023")</f>
        <v/>
      </c>
      <c r="Y477">
        <f>HYPERLINK("https://klasma.github.io/Logging_0581/tillsynsmail/A 7264-2023 tillsynsbegäran mail.docx", "A 7264-2023")</f>
        <v/>
      </c>
    </row>
    <row r="478" ht="15" customHeight="1">
      <c r="A478" t="inlineStr">
        <is>
          <t>A 8719-2023</t>
        </is>
      </c>
      <c r="B478" s="1" t="n">
        <v>44973</v>
      </c>
      <c r="C478" s="1" t="n">
        <v>45710</v>
      </c>
      <c r="D478" t="inlineStr">
        <is>
          <t>ÖSTERGÖTLANDS LÄN</t>
        </is>
      </c>
      <c r="E478" t="inlineStr">
        <is>
          <t>LINKÖPING</t>
        </is>
      </c>
      <c r="G478" t="n">
        <v>3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Spillkråka</t>
        </is>
      </c>
      <c r="S478">
        <f>HYPERLINK("https://klasma.github.io/Logging_0580/artfynd/A 8719-2023 artfynd.xlsx", "A 8719-2023")</f>
        <v/>
      </c>
      <c r="T478">
        <f>HYPERLINK("https://klasma.github.io/Logging_0580/kartor/A 8719-2023 karta.png", "A 8719-2023")</f>
        <v/>
      </c>
      <c r="V478">
        <f>HYPERLINK("https://klasma.github.io/Logging_0580/klagomål/A 8719-2023 FSC-klagomål.docx", "A 8719-2023")</f>
        <v/>
      </c>
      <c r="W478">
        <f>HYPERLINK("https://klasma.github.io/Logging_0580/klagomålsmail/A 8719-2023 FSC-klagomål mail.docx", "A 8719-2023")</f>
        <v/>
      </c>
      <c r="X478">
        <f>HYPERLINK("https://klasma.github.io/Logging_0580/tillsyn/A 8719-2023 tillsynsbegäran.docx", "A 8719-2023")</f>
        <v/>
      </c>
      <c r="Y478">
        <f>HYPERLINK("https://klasma.github.io/Logging_0580/tillsynsmail/A 8719-2023 tillsynsbegäran mail.docx", "A 8719-2023")</f>
        <v/>
      </c>
      <c r="Z478">
        <f>HYPERLINK("https://klasma.github.io/Logging_0580/fåglar/A 8719-2023 prioriterade fågelarter.docx", "A 8719-2023")</f>
        <v/>
      </c>
    </row>
    <row r="479" ht="15" customHeight="1">
      <c r="A479" t="inlineStr">
        <is>
          <t>A 8236-2023</t>
        </is>
      </c>
      <c r="B479" s="1" t="n">
        <v>44974</v>
      </c>
      <c r="C479" s="1" t="n">
        <v>45710</v>
      </c>
      <c r="D479" t="inlineStr">
        <is>
          <t>ÖSTERGÖTLANDS LÄN</t>
        </is>
      </c>
      <c r="E479" t="inlineStr">
        <is>
          <t>KINDA</t>
        </is>
      </c>
      <c r="G479" t="n">
        <v>2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Knärot</t>
        </is>
      </c>
      <c r="S479">
        <f>HYPERLINK("https://klasma.github.io/Logging_0513/artfynd/A 8236-2023 artfynd.xlsx", "A 8236-2023")</f>
        <v/>
      </c>
      <c r="T479">
        <f>HYPERLINK("https://klasma.github.io/Logging_0513/kartor/A 8236-2023 karta.png", "A 8236-2023")</f>
        <v/>
      </c>
      <c r="U479">
        <f>HYPERLINK("https://klasma.github.io/Logging_0513/knärot/A 8236-2023 karta knärot.png", "A 8236-2023")</f>
        <v/>
      </c>
      <c r="V479">
        <f>HYPERLINK("https://klasma.github.io/Logging_0513/klagomål/A 8236-2023 FSC-klagomål.docx", "A 8236-2023")</f>
        <v/>
      </c>
      <c r="W479">
        <f>HYPERLINK("https://klasma.github.io/Logging_0513/klagomålsmail/A 8236-2023 FSC-klagomål mail.docx", "A 8236-2023")</f>
        <v/>
      </c>
      <c r="X479">
        <f>HYPERLINK("https://klasma.github.io/Logging_0513/tillsyn/A 8236-2023 tillsynsbegäran.docx", "A 8236-2023")</f>
        <v/>
      </c>
      <c r="Y479">
        <f>HYPERLINK("https://klasma.github.io/Logging_0513/tillsynsmail/A 8236-2023 tillsynsbegäran mail.docx", "A 8236-2023")</f>
        <v/>
      </c>
    </row>
    <row r="480" ht="15" customHeight="1">
      <c r="A480" t="inlineStr">
        <is>
          <t>A 8255-2023</t>
        </is>
      </c>
      <c r="B480" s="1" t="n">
        <v>44974</v>
      </c>
      <c r="C480" s="1" t="n">
        <v>45710</v>
      </c>
      <c r="D480" t="inlineStr">
        <is>
          <t>ÖSTERGÖTLANDS LÄN</t>
        </is>
      </c>
      <c r="E480" t="inlineStr">
        <is>
          <t>ÖDESHÖG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HYPERLINK("https://klasma.github.io/Logging_0509/artfynd/A 8255-2023 artfynd.xlsx", "A 8255-2023")</f>
        <v/>
      </c>
      <c r="T480">
        <f>HYPERLINK("https://klasma.github.io/Logging_0509/kartor/A 8255-2023 karta.png", "A 8255-2023")</f>
        <v/>
      </c>
      <c r="V480">
        <f>HYPERLINK("https://klasma.github.io/Logging_0509/klagomål/A 8255-2023 FSC-klagomål.docx", "A 8255-2023")</f>
        <v/>
      </c>
      <c r="W480">
        <f>HYPERLINK("https://klasma.github.io/Logging_0509/klagomålsmail/A 8255-2023 FSC-klagomål mail.docx", "A 8255-2023")</f>
        <v/>
      </c>
      <c r="X480">
        <f>HYPERLINK("https://klasma.github.io/Logging_0509/tillsyn/A 8255-2023 tillsynsbegäran.docx", "A 8255-2023")</f>
        <v/>
      </c>
      <c r="Y480">
        <f>HYPERLINK("https://klasma.github.io/Logging_0509/tillsynsmail/A 8255-2023 tillsynsbegäran mail.docx", "A 8255-2023")</f>
        <v/>
      </c>
    </row>
    <row r="481" ht="15" customHeight="1">
      <c r="A481" t="inlineStr">
        <is>
          <t>A 11012-2023</t>
        </is>
      </c>
      <c r="B481" s="1" t="n">
        <v>44991</v>
      </c>
      <c r="C481" s="1" t="n">
        <v>45710</v>
      </c>
      <c r="D481" t="inlineStr">
        <is>
          <t>ÖSTERGÖTLANDS LÄN</t>
        </is>
      </c>
      <c r="E481" t="inlineStr">
        <is>
          <t>VALDEMARSVIK</t>
        </is>
      </c>
      <c r="G481" t="n">
        <v>8.5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HYPERLINK("https://klasma.github.io/Logging_0563/artfynd/A 11012-2023 artfynd.xlsx", "A 11012-2023")</f>
        <v/>
      </c>
      <c r="T481">
        <f>HYPERLINK("https://klasma.github.io/Logging_0563/kartor/A 11012-2023 karta.png", "A 11012-2023")</f>
        <v/>
      </c>
      <c r="U481">
        <f>HYPERLINK("https://klasma.github.io/Logging_0563/knärot/A 11012-2023 karta knärot.png", "A 11012-2023")</f>
        <v/>
      </c>
      <c r="V481">
        <f>HYPERLINK("https://klasma.github.io/Logging_0563/klagomål/A 11012-2023 FSC-klagomål.docx", "A 11012-2023")</f>
        <v/>
      </c>
      <c r="W481">
        <f>HYPERLINK("https://klasma.github.io/Logging_0563/klagomålsmail/A 11012-2023 FSC-klagomål mail.docx", "A 11012-2023")</f>
        <v/>
      </c>
      <c r="X481">
        <f>HYPERLINK("https://klasma.github.io/Logging_0563/tillsyn/A 11012-2023 tillsynsbegäran.docx", "A 11012-2023")</f>
        <v/>
      </c>
      <c r="Y481">
        <f>HYPERLINK("https://klasma.github.io/Logging_0563/tillsynsmail/A 11012-2023 tillsynsbegäran mail.docx", "A 11012-2023")</f>
        <v/>
      </c>
    </row>
    <row r="482" ht="15" customHeight="1">
      <c r="A482" t="inlineStr">
        <is>
          <t>A 11749-2023</t>
        </is>
      </c>
      <c r="B482" s="1" t="n">
        <v>44994</v>
      </c>
      <c r="C482" s="1" t="n">
        <v>45710</v>
      </c>
      <c r="D482" t="inlineStr">
        <is>
          <t>ÖSTERGÖTLANDS LÄN</t>
        </is>
      </c>
      <c r="E482" t="inlineStr">
        <is>
          <t>VALDEMARSVIK</t>
        </is>
      </c>
      <c r="G482" t="n">
        <v>2.4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Adam och eva</t>
        </is>
      </c>
      <c r="S482">
        <f>HYPERLINK("https://klasma.github.io/Logging_0563/artfynd/A 11749-2023 artfynd.xlsx", "A 11749-2023")</f>
        <v/>
      </c>
      <c r="T482">
        <f>HYPERLINK("https://klasma.github.io/Logging_0563/kartor/A 11749-2023 karta.png", "A 11749-2023")</f>
        <v/>
      </c>
      <c r="V482">
        <f>HYPERLINK("https://klasma.github.io/Logging_0563/klagomål/A 11749-2023 FSC-klagomål.docx", "A 11749-2023")</f>
        <v/>
      </c>
      <c r="W482">
        <f>HYPERLINK("https://klasma.github.io/Logging_0563/klagomålsmail/A 11749-2023 FSC-klagomål mail.docx", "A 11749-2023")</f>
        <v/>
      </c>
      <c r="X482">
        <f>HYPERLINK("https://klasma.github.io/Logging_0563/tillsyn/A 11749-2023 tillsynsbegäran.docx", "A 11749-2023")</f>
        <v/>
      </c>
      <c r="Y482">
        <f>HYPERLINK("https://klasma.github.io/Logging_0563/tillsynsmail/A 11749-2023 tillsynsbegäran mail.docx", "A 11749-2023")</f>
        <v/>
      </c>
    </row>
    <row r="483" ht="15" customHeight="1">
      <c r="A483" t="inlineStr">
        <is>
          <t>A 13718-2023</t>
        </is>
      </c>
      <c r="B483" s="1" t="n">
        <v>45007</v>
      </c>
      <c r="C483" s="1" t="n">
        <v>45710</v>
      </c>
      <c r="D483" t="inlineStr">
        <is>
          <t>ÖSTERGÖTLANDS LÄN</t>
        </is>
      </c>
      <c r="E483" t="inlineStr">
        <is>
          <t>KINDA</t>
        </is>
      </c>
      <c r="G483" t="n">
        <v>1.5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Kavelhirs</t>
        </is>
      </c>
      <c r="S483">
        <f>HYPERLINK("https://klasma.github.io/Logging_0513/artfynd/A 13718-2023 artfynd.xlsx", "A 13718-2023")</f>
        <v/>
      </c>
      <c r="T483">
        <f>HYPERLINK("https://klasma.github.io/Logging_0513/kartor/A 13718-2023 karta.png", "A 13718-2023")</f>
        <v/>
      </c>
      <c r="V483">
        <f>HYPERLINK("https://klasma.github.io/Logging_0513/klagomål/A 13718-2023 FSC-klagomål.docx", "A 13718-2023")</f>
        <v/>
      </c>
      <c r="W483">
        <f>HYPERLINK("https://klasma.github.io/Logging_0513/klagomålsmail/A 13718-2023 FSC-klagomål mail.docx", "A 13718-2023")</f>
        <v/>
      </c>
      <c r="X483">
        <f>HYPERLINK("https://klasma.github.io/Logging_0513/tillsyn/A 13718-2023 tillsynsbegäran.docx", "A 13718-2023")</f>
        <v/>
      </c>
      <c r="Y483">
        <f>HYPERLINK("https://klasma.github.io/Logging_0513/tillsynsmail/A 13718-2023 tillsynsbegäran mail.docx", "A 13718-2023")</f>
        <v/>
      </c>
    </row>
    <row r="484" ht="15" customHeight="1">
      <c r="A484" t="inlineStr">
        <is>
          <t>A 16169-2023</t>
        </is>
      </c>
      <c r="B484" s="1" t="n">
        <v>45027</v>
      </c>
      <c r="C484" s="1" t="n">
        <v>45710</v>
      </c>
      <c r="D484" t="inlineStr">
        <is>
          <t>ÖSTERGÖTLANDS LÄN</t>
        </is>
      </c>
      <c r="E484" t="inlineStr">
        <is>
          <t>ÖDESHÖG</t>
        </is>
      </c>
      <c r="F484" t="inlineStr">
        <is>
          <t>Allmännings- och besparingsskogar</t>
        </is>
      </c>
      <c r="G484" t="n">
        <v>11.9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HYPERLINK("https://klasma.github.io/Logging_0509/artfynd/A 16169-2023 artfynd.xlsx", "A 16169-2023")</f>
        <v/>
      </c>
      <c r="T484">
        <f>HYPERLINK("https://klasma.github.io/Logging_0509/kartor/A 16169-2023 karta.png", "A 16169-2023")</f>
        <v/>
      </c>
      <c r="V484">
        <f>HYPERLINK("https://klasma.github.io/Logging_0509/klagomål/A 16169-2023 FSC-klagomål.docx", "A 16169-2023")</f>
        <v/>
      </c>
      <c r="W484">
        <f>HYPERLINK("https://klasma.github.io/Logging_0509/klagomålsmail/A 16169-2023 FSC-klagomål mail.docx", "A 16169-2023")</f>
        <v/>
      </c>
      <c r="X484">
        <f>HYPERLINK("https://klasma.github.io/Logging_0509/tillsyn/A 16169-2023 tillsynsbegäran.docx", "A 16169-2023")</f>
        <v/>
      </c>
      <c r="Y484">
        <f>HYPERLINK("https://klasma.github.io/Logging_0509/tillsynsmail/A 16169-2023 tillsynsbegäran mail.docx", "A 16169-2023")</f>
        <v/>
      </c>
    </row>
    <row r="485" ht="15" customHeight="1">
      <c r="A485" t="inlineStr">
        <is>
          <t>A 18500-2023</t>
        </is>
      </c>
      <c r="B485" s="1" t="n">
        <v>45042</v>
      </c>
      <c r="C485" s="1" t="n">
        <v>45710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Garnlav</t>
        </is>
      </c>
      <c r="S485">
        <f>HYPERLINK("https://klasma.github.io/Logging_0581/artfynd/A 18500-2023 artfynd.xlsx", "A 18500-2023")</f>
        <v/>
      </c>
      <c r="T485">
        <f>HYPERLINK("https://klasma.github.io/Logging_0581/kartor/A 18500-2023 karta.png", "A 18500-2023")</f>
        <v/>
      </c>
      <c r="V485">
        <f>HYPERLINK("https://klasma.github.io/Logging_0581/klagomål/A 18500-2023 FSC-klagomål.docx", "A 18500-2023")</f>
        <v/>
      </c>
      <c r="W485">
        <f>HYPERLINK("https://klasma.github.io/Logging_0581/klagomålsmail/A 18500-2023 FSC-klagomål mail.docx", "A 18500-2023")</f>
        <v/>
      </c>
      <c r="X485">
        <f>HYPERLINK("https://klasma.github.io/Logging_0581/tillsyn/A 18500-2023 tillsynsbegäran.docx", "A 18500-2023")</f>
        <v/>
      </c>
      <c r="Y485">
        <f>HYPERLINK("https://klasma.github.io/Logging_0581/tillsynsmail/A 18500-2023 tillsynsbegäran mail.docx", "A 18500-2023")</f>
        <v/>
      </c>
    </row>
    <row r="486" ht="15" customHeight="1">
      <c r="A486" t="inlineStr">
        <is>
          <t>A 19360-2023</t>
        </is>
      </c>
      <c r="B486" s="1" t="n">
        <v>45049</v>
      </c>
      <c r="C486" s="1" t="n">
        <v>45710</v>
      </c>
      <c r="D486" t="inlineStr">
        <is>
          <t>ÖSTERGÖTLANDS LÄN</t>
        </is>
      </c>
      <c r="E486" t="inlineStr">
        <is>
          <t>KINDA</t>
        </is>
      </c>
      <c r="G486" t="n">
        <v>5.8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Sårläka</t>
        </is>
      </c>
      <c r="S486">
        <f>HYPERLINK("https://klasma.github.io/Logging_0513/artfynd/A 19360-2023 artfynd.xlsx", "A 19360-2023")</f>
        <v/>
      </c>
      <c r="T486">
        <f>HYPERLINK("https://klasma.github.io/Logging_0513/kartor/A 19360-2023 karta.png", "A 19360-2023")</f>
        <v/>
      </c>
      <c r="V486">
        <f>HYPERLINK("https://klasma.github.io/Logging_0513/klagomål/A 19360-2023 FSC-klagomål.docx", "A 19360-2023")</f>
        <v/>
      </c>
      <c r="W486">
        <f>HYPERLINK("https://klasma.github.io/Logging_0513/klagomålsmail/A 19360-2023 FSC-klagomål mail.docx", "A 19360-2023")</f>
        <v/>
      </c>
      <c r="X486">
        <f>HYPERLINK("https://klasma.github.io/Logging_0513/tillsyn/A 19360-2023 tillsynsbegäran.docx", "A 19360-2023")</f>
        <v/>
      </c>
      <c r="Y486">
        <f>HYPERLINK("https://klasma.github.io/Logging_0513/tillsynsmail/A 19360-2023 tillsynsbegäran mail.docx", "A 19360-2023")</f>
        <v/>
      </c>
    </row>
    <row r="487" ht="15" customHeight="1">
      <c r="A487" t="inlineStr">
        <is>
          <t>A 19404-2023</t>
        </is>
      </c>
      <c r="B487" s="1" t="n">
        <v>45049</v>
      </c>
      <c r="C487" s="1" t="n">
        <v>45710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Naturvårdsverket</t>
        </is>
      </c>
      <c r="G487" t="n">
        <v>5.1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Motaggsvamp</t>
        </is>
      </c>
      <c r="S487">
        <f>HYPERLINK("https://klasma.github.io/Logging_0562/artfynd/A 19404-2023 artfynd.xlsx", "A 19404-2023")</f>
        <v/>
      </c>
      <c r="T487">
        <f>HYPERLINK("https://klasma.github.io/Logging_0562/kartor/A 19404-2023 karta.png", "A 19404-2023")</f>
        <v/>
      </c>
      <c r="V487">
        <f>HYPERLINK("https://klasma.github.io/Logging_0562/klagomål/A 19404-2023 FSC-klagomål.docx", "A 19404-2023")</f>
        <v/>
      </c>
      <c r="W487">
        <f>HYPERLINK("https://klasma.github.io/Logging_0562/klagomålsmail/A 19404-2023 FSC-klagomål mail.docx", "A 19404-2023")</f>
        <v/>
      </c>
      <c r="X487">
        <f>HYPERLINK("https://klasma.github.io/Logging_0562/tillsyn/A 19404-2023 tillsynsbegäran.docx", "A 19404-2023")</f>
        <v/>
      </c>
      <c r="Y487">
        <f>HYPERLINK("https://klasma.github.io/Logging_0562/tillsynsmail/A 19404-2023 tillsynsbegäran mail.docx", "A 19404-2023")</f>
        <v/>
      </c>
    </row>
    <row r="488" ht="15" customHeight="1">
      <c r="A488" t="inlineStr">
        <is>
          <t>A 20377-2023</t>
        </is>
      </c>
      <c r="B488" s="1" t="n">
        <v>45056</v>
      </c>
      <c r="C488" s="1" t="n">
        <v>45710</v>
      </c>
      <c r="D488" t="inlineStr">
        <is>
          <t>ÖSTERGÖTLANDS LÄN</t>
        </is>
      </c>
      <c r="E488" t="inlineStr">
        <is>
          <t>NORRKÖPING</t>
        </is>
      </c>
      <c r="G488" t="n">
        <v>0.5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HYPERLINK("https://klasma.github.io/Logging_0581/artfynd/A 20377-2023 artfynd.xlsx", "A 20377-2023")</f>
        <v/>
      </c>
      <c r="T488">
        <f>HYPERLINK("https://klasma.github.io/Logging_0581/kartor/A 20377-2023 karta.png", "A 20377-2023")</f>
        <v/>
      </c>
      <c r="V488">
        <f>HYPERLINK("https://klasma.github.io/Logging_0581/klagomål/A 20377-2023 FSC-klagomål.docx", "A 20377-2023")</f>
        <v/>
      </c>
      <c r="W488">
        <f>HYPERLINK("https://klasma.github.io/Logging_0581/klagomålsmail/A 20377-2023 FSC-klagomål mail.docx", "A 20377-2023")</f>
        <v/>
      </c>
      <c r="X488">
        <f>HYPERLINK("https://klasma.github.io/Logging_0581/tillsyn/A 20377-2023 tillsynsbegäran.docx", "A 20377-2023")</f>
        <v/>
      </c>
      <c r="Y488">
        <f>HYPERLINK("https://klasma.github.io/Logging_0581/tillsynsmail/A 20377-2023 tillsynsbegäran mail.docx", "A 20377-2023")</f>
        <v/>
      </c>
    </row>
    <row r="489" ht="15" customHeight="1">
      <c r="A489" t="inlineStr">
        <is>
          <t>A 20668-2023</t>
        </is>
      </c>
      <c r="B489" s="1" t="n">
        <v>45058</v>
      </c>
      <c r="C489" s="1" t="n">
        <v>45710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3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Grönpyrola</t>
        </is>
      </c>
      <c r="S489">
        <f>HYPERLINK("https://klasma.github.io/Logging_0581/artfynd/A 20668-2023 artfynd.xlsx", "A 20668-2023")</f>
        <v/>
      </c>
      <c r="T489">
        <f>HYPERLINK("https://klasma.github.io/Logging_0581/kartor/A 20668-2023 karta.png", "A 20668-2023")</f>
        <v/>
      </c>
      <c r="V489">
        <f>HYPERLINK("https://klasma.github.io/Logging_0581/klagomål/A 20668-2023 FSC-klagomål.docx", "A 20668-2023")</f>
        <v/>
      </c>
      <c r="W489">
        <f>HYPERLINK("https://klasma.github.io/Logging_0581/klagomålsmail/A 20668-2023 FSC-klagomål mail.docx", "A 20668-2023")</f>
        <v/>
      </c>
      <c r="X489">
        <f>HYPERLINK("https://klasma.github.io/Logging_0581/tillsyn/A 20668-2023 tillsynsbegäran.docx", "A 20668-2023")</f>
        <v/>
      </c>
      <c r="Y489">
        <f>HYPERLINK("https://klasma.github.io/Logging_0581/tillsynsmail/A 20668-2023 tillsynsbegäran mail.docx", "A 20668-2023")</f>
        <v/>
      </c>
    </row>
    <row r="490" ht="15" customHeight="1">
      <c r="A490" t="inlineStr">
        <is>
          <t>A 21833-2023</t>
        </is>
      </c>
      <c r="B490" s="1" t="n">
        <v>45068</v>
      </c>
      <c r="C490" s="1" t="n">
        <v>45710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HYPERLINK("https://klasma.github.io/Logging_0581/artfynd/A 21833-2023 artfynd.xlsx", "A 21833-2023")</f>
        <v/>
      </c>
      <c r="T490">
        <f>HYPERLINK("https://klasma.github.io/Logging_0581/kartor/A 21833-2023 karta.png", "A 21833-2023")</f>
        <v/>
      </c>
      <c r="V490">
        <f>HYPERLINK("https://klasma.github.io/Logging_0581/klagomål/A 21833-2023 FSC-klagomål.docx", "A 21833-2023")</f>
        <v/>
      </c>
      <c r="W490">
        <f>HYPERLINK("https://klasma.github.io/Logging_0581/klagomålsmail/A 21833-2023 FSC-klagomål mail.docx", "A 21833-2023")</f>
        <v/>
      </c>
      <c r="X490">
        <f>HYPERLINK("https://klasma.github.io/Logging_0581/tillsyn/A 21833-2023 tillsynsbegäran.docx", "A 21833-2023")</f>
        <v/>
      </c>
      <c r="Y490">
        <f>HYPERLINK("https://klasma.github.io/Logging_0581/tillsynsmail/A 21833-2023 tillsynsbegäran mail.docx", "A 21833-2023")</f>
        <v/>
      </c>
    </row>
    <row r="491" ht="15" customHeight="1">
      <c r="A491" t="inlineStr">
        <is>
          <t>A 22040-2023</t>
        </is>
      </c>
      <c r="B491" s="1" t="n">
        <v>45068</v>
      </c>
      <c r="C491" s="1" t="n">
        <v>45710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Kommuner</t>
        </is>
      </c>
      <c r="G491" t="n">
        <v>1</v>
      </c>
      <c r="H491" t="n">
        <v>1</v>
      </c>
      <c r="I491" t="n">
        <v>0</v>
      </c>
      <c r="J491" t="n">
        <v>0</v>
      </c>
      <c r="K491" t="n">
        <v>1</v>
      </c>
      <c r="L491" t="n">
        <v>0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Bombmurkla</t>
        </is>
      </c>
      <c r="S491">
        <f>HYPERLINK("https://klasma.github.io/Logging_0580/artfynd/A 22040-2023 artfynd.xlsx", "A 22040-2023")</f>
        <v/>
      </c>
      <c r="T491">
        <f>HYPERLINK("https://klasma.github.io/Logging_0580/kartor/A 22040-2023 karta.png", "A 22040-2023")</f>
        <v/>
      </c>
      <c r="V491">
        <f>HYPERLINK("https://klasma.github.io/Logging_0580/klagomål/A 22040-2023 FSC-klagomål.docx", "A 22040-2023")</f>
        <v/>
      </c>
      <c r="W491">
        <f>HYPERLINK("https://klasma.github.io/Logging_0580/klagomålsmail/A 22040-2023 FSC-klagomål mail.docx", "A 22040-2023")</f>
        <v/>
      </c>
      <c r="X491">
        <f>HYPERLINK("https://klasma.github.io/Logging_0580/tillsyn/A 22040-2023 tillsynsbegäran.docx", "A 22040-2023")</f>
        <v/>
      </c>
      <c r="Y491">
        <f>HYPERLINK("https://klasma.github.io/Logging_0580/tillsynsmail/A 22040-2023 tillsynsbegäran mail.docx", "A 22040-2023")</f>
        <v/>
      </c>
    </row>
    <row r="492" ht="15" customHeight="1">
      <c r="A492" t="inlineStr">
        <is>
          <t>A 22137-2023</t>
        </is>
      </c>
      <c r="B492" s="1" t="n">
        <v>45069</v>
      </c>
      <c r="C492" s="1" t="n">
        <v>45710</v>
      </c>
      <c r="D492" t="inlineStr">
        <is>
          <t>ÖSTERGÖTLANDS LÄN</t>
        </is>
      </c>
      <c r="E492" t="inlineStr">
        <is>
          <t>LINKÖPING</t>
        </is>
      </c>
      <c r="G492" t="n">
        <v>10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Granbarkgnagare</t>
        </is>
      </c>
      <c r="S492">
        <f>HYPERLINK("https://klasma.github.io/Logging_0580/artfynd/A 22137-2023 artfynd.xlsx", "A 22137-2023")</f>
        <v/>
      </c>
      <c r="T492">
        <f>HYPERLINK("https://klasma.github.io/Logging_0580/kartor/A 22137-2023 karta.png", "A 22137-2023")</f>
        <v/>
      </c>
      <c r="V492">
        <f>HYPERLINK("https://klasma.github.io/Logging_0580/klagomål/A 22137-2023 FSC-klagomål.docx", "A 22137-2023")</f>
        <v/>
      </c>
      <c r="W492">
        <f>HYPERLINK("https://klasma.github.io/Logging_0580/klagomålsmail/A 22137-2023 FSC-klagomål mail.docx", "A 22137-2023")</f>
        <v/>
      </c>
      <c r="X492">
        <f>HYPERLINK("https://klasma.github.io/Logging_0580/tillsyn/A 22137-2023 tillsynsbegäran.docx", "A 22137-2023")</f>
        <v/>
      </c>
      <c r="Y492">
        <f>HYPERLINK("https://klasma.github.io/Logging_0580/tillsynsmail/A 22137-2023 tillsynsbegäran mail.docx", "A 22137-2023")</f>
        <v/>
      </c>
    </row>
    <row r="493" ht="15" customHeight="1">
      <c r="A493" t="inlineStr">
        <is>
          <t>A 22949-2023</t>
        </is>
      </c>
      <c r="B493" s="1" t="n">
        <v>45072</v>
      </c>
      <c r="C493" s="1" t="n">
        <v>45710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Murgröna</t>
        </is>
      </c>
      <c r="S493">
        <f>HYPERLINK("https://klasma.github.io/Logging_0561/artfynd/A 22949-2023 artfynd.xlsx", "A 22949-2023")</f>
        <v/>
      </c>
      <c r="T493">
        <f>HYPERLINK("https://klasma.github.io/Logging_0561/kartor/A 22949-2023 karta.png", "A 22949-2023")</f>
        <v/>
      </c>
      <c r="V493">
        <f>HYPERLINK("https://klasma.github.io/Logging_0561/klagomål/A 22949-2023 FSC-klagomål.docx", "A 22949-2023")</f>
        <v/>
      </c>
      <c r="W493">
        <f>HYPERLINK("https://klasma.github.io/Logging_0561/klagomålsmail/A 22949-2023 FSC-klagomål mail.docx", "A 22949-2023")</f>
        <v/>
      </c>
      <c r="X493">
        <f>HYPERLINK("https://klasma.github.io/Logging_0561/tillsyn/A 22949-2023 tillsynsbegäran.docx", "A 22949-2023")</f>
        <v/>
      </c>
      <c r="Y493">
        <f>HYPERLINK("https://klasma.github.io/Logging_0561/tillsynsmail/A 22949-2023 tillsynsbegäran mail.docx", "A 22949-2023")</f>
        <v/>
      </c>
    </row>
    <row r="494" ht="15" customHeight="1">
      <c r="A494" t="inlineStr">
        <is>
          <t>A 23864-2023</t>
        </is>
      </c>
      <c r="B494" s="1" t="n">
        <v>45078</v>
      </c>
      <c r="C494" s="1" t="n">
        <v>45710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Sveaskog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23864-2023 artfynd.xlsx", "A 23864-2023")</f>
        <v/>
      </c>
      <c r="T494">
        <f>HYPERLINK("https://klasma.github.io/Logging_0580/kartor/A 23864-2023 karta.png", "A 23864-2023")</f>
        <v/>
      </c>
      <c r="V494">
        <f>HYPERLINK("https://klasma.github.io/Logging_0580/klagomål/A 23864-2023 FSC-klagomål.docx", "A 23864-2023")</f>
        <v/>
      </c>
      <c r="W494">
        <f>HYPERLINK("https://klasma.github.io/Logging_0580/klagomålsmail/A 23864-2023 FSC-klagomål mail.docx", "A 23864-2023")</f>
        <v/>
      </c>
      <c r="X494">
        <f>HYPERLINK("https://klasma.github.io/Logging_0580/tillsyn/A 23864-2023 tillsynsbegäran.docx", "A 23864-2023")</f>
        <v/>
      </c>
      <c r="Y494">
        <f>HYPERLINK("https://klasma.github.io/Logging_0580/tillsynsmail/A 23864-2023 tillsynsbegäran mail.docx", "A 23864-2023")</f>
        <v/>
      </c>
    </row>
    <row r="495" ht="15" customHeight="1">
      <c r="A495" t="inlineStr">
        <is>
          <t>A 24411-2023</t>
        </is>
      </c>
      <c r="B495" s="1" t="n">
        <v>45082</v>
      </c>
      <c r="C495" s="1" t="n">
        <v>45710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Blåmossa</t>
        </is>
      </c>
      <c r="S495">
        <f>HYPERLINK("https://klasma.github.io/Logging_0562/artfynd/A 24411-2023 artfynd.xlsx", "A 24411-2023")</f>
        <v/>
      </c>
      <c r="T495">
        <f>HYPERLINK("https://klasma.github.io/Logging_0562/kartor/A 24411-2023 karta.png", "A 24411-2023")</f>
        <v/>
      </c>
      <c r="V495">
        <f>HYPERLINK("https://klasma.github.io/Logging_0562/klagomål/A 24411-2023 FSC-klagomål.docx", "A 24411-2023")</f>
        <v/>
      </c>
      <c r="W495">
        <f>HYPERLINK("https://klasma.github.io/Logging_0562/klagomålsmail/A 24411-2023 FSC-klagomål mail.docx", "A 24411-2023")</f>
        <v/>
      </c>
      <c r="X495">
        <f>HYPERLINK("https://klasma.github.io/Logging_0562/tillsyn/A 24411-2023 tillsynsbegäran.docx", "A 24411-2023")</f>
        <v/>
      </c>
      <c r="Y495">
        <f>HYPERLINK("https://klasma.github.io/Logging_0562/tillsynsmail/A 24411-2023 tillsynsbegäran mail.docx", "A 24411-2023")</f>
        <v/>
      </c>
    </row>
    <row r="496" ht="15" customHeight="1">
      <c r="A496" t="inlineStr">
        <is>
          <t>A 25203-2023</t>
        </is>
      </c>
      <c r="B496" s="1" t="n">
        <v>45086</v>
      </c>
      <c r="C496" s="1" t="n">
        <v>45710</v>
      </c>
      <c r="D496" t="inlineStr">
        <is>
          <t>ÖSTERGÖTLANDS LÄN</t>
        </is>
      </c>
      <c r="E496" t="inlineStr">
        <is>
          <t>VADSTENA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HYPERLINK("https://klasma.github.io/Logging_0584/artfynd/A 25203-2023 artfynd.xlsx", "A 25203-2023")</f>
        <v/>
      </c>
      <c r="T496">
        <f>HYPERLINK("https://klasma.github.io/Logging_0584/kartor/A 25203-2023 karta.png", "A 25203-2023")</f>
        <v/>
      </c>
      <c r="V496">
        <f>HYPERLINK("https://klasma.github.io/Logging_0584/klagomål/A 25203-2023 FSC-klagomål.docx", "A 25203-2023")</f>
        <v/>
      </c>
      <c r="W496">
        <f>HYPERLINK("https://klasma.github.io/Logging_0584/klagomålsmail/A 25203-2023 FSC-klagomål mail.docx", "A 25203-2023")</f>
        <v/>
      </c>
      <c r="X496">
        <f>HYPERLINK("https://klasma.github.io/Logging_0584/tillsyn/A 25203-2023 tillsynsbegäran.docx", "A 25203-2023")</f>
        <v/>
      </c>
      <c r="Y496">
        <f>HYPERLINK("https://klasma.github.io/Logging_0584/tillsynsmail/A 25203-2023 tillsynsbegäran mail.docx", "A 25203-2023")</f>
        <v/>
      </c>
    </row>
    <row r="497" ht="15" customHeight="1">
      <c r="A497" t="inlineStr">
        <is>
          <t>A 25855-2023</t>
        </is>
      </c>
      <c r="B497" s="1" t="n">
        <v>45090</v>
      </c>
      <c r="C497" s="1" t="n">
        <v>45710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HYPERLINK("https://klasma.github.io/Logging_0512/artfynd/A 25855-2023 artfynd.xlsx", "A 25855-2023")</f>
        <v/>
      </c>
      <c r="T497">
        <f>HYPERLINK("https://klasma.github.io/Logging_0512/kartor/A 25855-2023 karta.png", "A 25855-2023")</f>
        <v/>
      </c>
      <c r="V497">
        <f>HYPERLINK("https://klasma.github.io/Logging_0512/klagomål/A 25855-2023 FSC-klagomål.docx", "A 25855-2023")</f>
        <v/>
      </c>
      <c r="W497">
        <f>HYPERLINK("https://klasma.github.io/Logging_0512/klagomålsmail/A 25855-2023 FSC-klagomål mail.docx", "A 25855-2023")</f>
        <v/>
      </c>
      <c r="X497">
        <f>HYPERLINK("https://klasma.github.io/Logging_0512/tillsyn/A 25855-2023 tillsynsbegäran.docx", "A 25855-2023")</f>
        <v/>
      </c>
      <c r="Y497">
        <f>HYPERLINK("https://klasma.github.io/Logging_0512/tillsynsmail/A 25855-2023 tillsynsbegäran mail.docx", "A 25855-2023")</f>
        <v/>
      </c>
    </row>
    <row r="498" ht="15" customHeight="1">
      <c r="A498" t="inlineStr">
        <is>
          <t>A 26800-2023</t>
        </is>
      </c>
      <c r="B498" s="1" t="n">
        <v>45093</v>
      </c>
      <c r="C498" s="1" t="n">
        <v>45710</v>
      </c>
      <c r="D498" t="inlineStr">
        <is>
          <t>ÖSTERGÖTLANDS LÄN</t>
        </is>
      </c>
      <c r="E498" t="inlineStr">
        <is>
          <t>KINDA</t>
        </is>
      </c>
      <c r="G498" t="n">
        <v>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Sandviol</t>
        </is>
      </c>
      <c r="S498">
        <f>HYPERLINK("https://klasma.github.io/Logging_0513/artfynd/A 26800-2023 artfynd.xlsx", "A 26800-2023")</f>
        <v/>
      </c>
      <c r="T498">
        <f>HYPERLINK("https://klasma.github.io/Logging_0513/kartor/A 26800-2023 karta.png", "A 26800-2023")</f>
        <v/>
      </c>
      <c r="V498">
        <f>HYPERLINK("https://klasma.github.io/Logging_0513/klagomål/A 26800-2023 FSC-klagomål.docx", "A 26800-2023")</f>
        <v/>
      </c>
      <c r="W498">
        <f>HYPERLINK("https://klasma.github.io/Logging_0513/klagomålsmail/A 26800-2023 FSC-klagomål mail.docx", "A 26800-2023")</f>
        <v/>
      </c>
      <c r="X498">
        <f>HYPERLINK("https://klasma.github.io/Logging_0513/tillsyn/A 26800-2023 tillsynsbegäran.docx", "A 26800-2023")</f>
        <v/>
      </c>
      <c r="Y498">
        <f>HYPERLINK("https://klasma.github.io/Logging_0513/tillsynsmail/A 26800-2023 tillsynsbegäran mail.docx", "A 26800-2023")</f>
        <v/>
      </c>
    </row>
    <row r="499" ht="15" customHeight="1">
      <c r="A499" t="inlineStr">
        <is>
          <t>A 26808-2023</t>
        </is>
      </c>
      <c r="B499" s="1" t="n">
        <v>45093</v>
      </c>
      <c r="C499" s="1" t="n">
        <v>45710</v>
      </c>
      <c r="D499" t="inlineStr">
        <is>
          <t>ÖSTERGÖTLANDS LÄN</t>
        </is>
      </c>
      <c r="E499" t="inlineStr">
        <is>
          <t>KINDA</t>
        </is>
      </c>
      <c r="G499" t="n">
        <v>2.1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Järpe</t>
        </is>
      </c>
      <c r="S499">
        <f>HYPERLINK("https://klasma.github.io/Logging_0513/artfynd/A 26808-2023 artfynd.xlsx", "A 26808-2023")</f>
        <v/>
      </c>
      <c r="T499">
        <f>HYPERLINK("https://klasma.github.io/Logging_0513/kartor/A 26808-2023 karta.png", "A 26808-2023")</f>
        <v/>
      </c>
      <c r="V499">
        <f>HYPERLINK("https://klasma.github.io/Logging_0513/klagomål/A 26808-2023 FSC-klagomål.docx", "A 26808-2023")</f>
        <v/>
      </c>
      <c r="W499">
        <f>HYPERLINK("https://klasma.github.io/Logging_0513/klagomålsmail/A 26808-2023 FSC-klagomål mail.docx", "A 26808-2023")</f>
        <v/>
      </c>
      <c r="X499">
        <f>HYPERLINK("https://klasma.github.io/Logging_0513/tillsyn/A 26808-2023 tillsynsbegäran.docx", "A 26808-2023")</f>
        <v/>
      </c>
      <c r="Y499">
        <f>HYPERLINK("https://klasma.github.io/Logging_0513/tillsynsmail/A 26808-2023 tillsynsbegäran mail.docx", "A 26808-2023")</f>
        <v/>
      </c>
      <c r="Z499">
        <f>HYPERLINK("https://klasma.github.io/Logging_0513/fåglar/A 26808-2023 prioriterade fågelarter.docx", "A 26808-2023")</f>
        <v/>
      </c>
    </row>
    <row r="500" ht="15" customHeight="1">
      <c r="A500" t="inlineStr">
        <is>
          <t>A 26812-2023</t>
        </is>
      </c>
      <c r="B500" s="1" t="n">
        <v>45093</v>
      </c>
      <c r="C500" s="1" t="n">
        <v>45710</v>
      </c>
      <c r="D500" t="inlineStr">
        <is>
          <t>ÖSTERGÖTLANDS LÄN</t>
        </is>
      </c>
      <c r="E500" t="inlineStr">
        <is>
          <t>KINDA</t>
        </is>
      </c>
      <c r="G500" t="n">
        <v>6.4</v>
      </c>
      <c r="H500" t="n">
        <v>1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Korallrot</t>
        </is>
      </c>
      <c r="S500">
        <f>HYPERLINK("https://klasma.github.io/Logging_0513/artfynd/A 26812-2023 artfynd.xlsx", "A 26812-2023")</f>
        <v/>
      </c>
      <c r="T500">
        <f>HYPERLINK("https://klasma.github.io/Logging_0513/kartor/A 26812-2023 karta.png", "A 26812-2023")</f>
        <v/>
      </c>
      <c r="V500">
        <f>HYPERLINK("https://klasma.github.io/Logging_0513/klagomål/A 26812-2023 FSC-klagomål.docx", "A 26812-2023")</f>
        <v/>
      </c>
      <c r="W500">
        <f>HYPERLINK("https://klasma.github.io/Logging_0513/klagomålsmail/A 26812-2023 FSC-klagomål mail.docx", "A 26812-2023")</f>
        <v/>
      </c>
      <c r="X500">
        <f>HYPERLINK("https://klasma.github.io/Logging_0513/tillsyn/A 26812-2023 tillsynsbegäran.docx", "A 26812-2023")</f>
        <v/>
      </c>
      <c r="Y500">
        <f>HYPERLINK("https://klasma.github.io/Logging_0513/tillsynsmail/A 26812-2023 tillsynsbegäran mail.docx", "A 26812-2023")</f>
        <v/>
      </c>
    </row>
    <row r="501" ht="15" customHeight="1">
      <c r="A501" t="inlineStr">
        <is>
          <t>A 26928-2023</t>
        </is>
      </c>
      <c r="B501" s="1" t="n">
        <v>45093</v>
      </c>
      <c r="C501" s="1" t="n">
        <v>45710</v>
      </c>
      <c r="D501" t="inlineStr">
        <is>
          <t>ÖSTERGÖTLANDS LÄN</t>
        </is>
      </c>
      <c r="E501" t="inlineStr">
        <is>
          <t>KINDA</t>
        </is>
      </c>
      <c r="G501" t="n">
        <v>2.2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Nötkråka</t>
        </is>
      </c>
      <c r="S501">
        <f>HYPERLINK("https://klasma.github.io/Logging_0513/artfynd/A 26928-2023 artfynd.xlsx", "A 26928-2023")</f>
        <v/>
      </c>
      <c r="T501">
        <f>HYPERLINK("https://klasma.github.io/Logging_0513/kartor/A 26928-2023 karta.png", "A 26928-2023")</f>
        <v/>
      </c>
      <c r="V501">
        <f>HYPERLINK("https://klasma.github.io/Logging_0513/klagomål/A 26928-2023 FSC-klagomål.docx", "A 26928-2023")</f>
        <v/>
      </c>
      <c r="W501">
        <f>HYPERLINK("https://klasma.github.io/Logging_0513/klagomålsmail/A 26928-2023 FSC-klagomål mail.docx", "A 26928-2023")</f>
        <v/>
      </c>
      <c r="X501">
        <f>HYPERLINK("https://klasma.github.io/Logging_0513/tillsyn/A 26928-2023 tillsynsbegäran.docx", "A 26928-2023")</f>
        <v/>
      </c>
      <c r="Y501">
        <f>HYPERLINK("https://klasma.github.io/Logging_0513/tillsynsmail/A 26928-2023 tillsynsbegäran mail.docx", "A 26928-2023")</f>
        <v/>
      </c>
    </row>
    <row r="502" ht="15" customHeight="1">
      <c r="A502" t="inlineStr">
        <is>
          <t>A 27107-2023</t>
        </is>
      </c>
      <c r="B502" s="1" t="n">
        <v>45096</v>
      </c>
      <c r="C502" s="1" t="n">
        <v>45710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Svartvit flugsnappare</t>
        </is>
      </c>
      <c r="S502">
        <f>HYPERLINK("https://klasma.github.io/Logging_0581/artfynd/A 27107-2023 artfynd.xlsx", "A 27107-2023")</f>
        <v/>
      </c>
      <c r="T502">
        <f>HYPERLINK("https://klasma.github.io/Logging_0581/kartor/A 27107-2023 karta.png", "A 27107-2023")</f>
        <v/>
      </c>
      <c r="V502">
        <f>HYPERLINK("https://klasma.github.io/Logging_0581/klagomål/A 27107-2023 FSC-klagomål.docx", "A 27107-2023")</f>
        <v/>
      </c>
      <c r="W502">
        <f>HYPERLINK("https://klasma.github.io/Logging_0581/klagomålsmail/A 27107-2023 FSC-klagomål mail.docx", "A 27107-2023")</f>
        <v/>
      </c>
      <c r="X502">
        <f>HYPERLINK("https://klasma.github.io/Logging_0581/tillsyn/A 27107-2023 tillsynsbegäran.docx", "A 27107-2023")</f>
        <v/>
      </c>
      <c r="Y502">
        <f>HYPERLINK("https://klasma.github.io/Logging_0581/tillsynsmail/A 27107-2023 tillsynsbegäran mail.docx", "A 27107-2023")</f>
        <v/>
      </c>
      <c r="Z502">
        <f>HYPERLINK("https://klasma.github.io/Logging_0581/fåglar/A 27107-2023 prioriterade fågelarter.docx", "A 27107-2023")</f>
        <v/>
      </c>
    </row>
    <row r="503" ht="15" customHeight="1">
      <c r="A503" t="inlineStr">
        <is>
          <t>A 29236-2023</t>
        </is>
      </c>
      <c r="B503" s="1" t="n">
        <v>45105</v>
      </c>
      <c r="C503" s="1" t="n">
        <v>45710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14.5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HYPERLINK("https://klasma.github.io/Logging_0581/artfynd/A 29236-2023 artfynd.xlsx", "A 29236-2023")</f>
        <v/>
      </c>
      <c r="T503">
        <f>HYPERLINK("https://klasma.github.io/Logging_0581/kartor/A 29236-2023 karta.png", "A 29236-2023")</f>
        <v/>
      </c>
      <c r="V503">
        <f>HYPERLINK("https://klasma.github.io/Logging_0581/klagomål/A 29236-2023 FSC-klagomål.docx", "A 29236-2023")</f>
        <v/>
      </c>
      <c r="W503">
        <f>HYPERLINK("https://klasma.github.io/Logging_0581/klagomålsmail/A 29236-2023 FSC-klagomål mail.docx", "A 29236-2023")</f>
        <v/>
      </c>
      <c r="X503">
        <f>HYPERLINK("https://klasma.github.io/Logging_0581/tillsyn/A 29236-2023 tillsynsbegäran.docx", "A 29236-2023")</f>
        <v/>
      </c>
      <c r="Y503">
        <f>HYPERLINK("https://klasma.github.io/Logging_0581/tillsynsmail/A 29236-2023 tillsynsbegäran mail.docx", "A 29236-2023")</f>
        <v/>
      </c>
    </row>
    <row r="504" ht="15" customHeight="1">
      <c r="A504" t="inlineStr">
        <is>
          <t>A 31663-2023</t>
        </is>
      </c>
      <c r="B504" s="1" t="n">
        <v>45117</v>
      </c>
      <c r="C504" s="1" t="n">
        <v>45710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Kamjordstjärna</t>
        </is>
      </c>
      <c r="S504">
        <f>HYPERLINK("https://klasma.github.io/Logging_0581/artfynd/A 31663-2023 artfynd.xlsx", "A 31663-2023")</f>
        <v/>
      </c>
      <c r="T504">
        <f>HYPERLINK("https://klasma.github.io/Logging_0581/kartor/A 31663-2023 karta.png", "A 31663-2023")</f>
        <v/>
      </c>
      <c r="V504">
        <f>HYPERLINK("https://klasma.github.io/Logging_0581/klagomål/A 31663-2023 FSC-klagomål.docx", "A 31663-2023")</f>
        <v/>
      </c>
      <c r="W504">
        <f>HYPERLINK("https://klasma.github.io/Logging_0581/klagomålsmail/A 31663-2023 FSC-klagomål mail.docx", "A 31663-2023")</f>
        <v/>
      </c>
      <c r="X504">
        <f>HYPERLINK("https://klasma.github.io/Logging_0581/tillsyn/A 31663-2023 tillsynsbegäran.docx", "A 31663-2023")</f>
        <v/>
      </c>
      <c r="Y504">
        <f>HYPERLINK("https://klasma.github.io/Logging_0581/tillsynsmail/A 31663-2023 tillsynsbegäran mail.docx", "A 31663-2023")</f>
        <v/>
      </c>
    </row>
    <row r="505" ht="15" customHeight="1">
      <c r="A505" t="inlineStr">
        <is>
          <t>A 31659-2023</t>
        </is>
      </c>
      <c r="B505" s="1" t="n">
        <v>45117</v>
      </c>
      <c r="C505" s="1" t="n">
        <v>45710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1.4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Tjäder</t>
        </is>
      </c>
      <c r="S505">
        <f>HYPERLINK("https://klasma.github.io/Logging_0581/artfynd/A 31659-2023 artfynd.xlsx", "A 31659-2023")</f>
        <v/>
      </c>
      <c r="T505">
        <f>HYPERLINK("https://klasma.github.io/Logging_0581/kartor/A 31659-2023 karta.png", "A 31659-2023")</f>
        <v/>
      </c>
      <c r="V505">
        <f>HYPERLINK("https://klasma.github.io/Logging_0581/klagomål/A 31659-2023 FSC-klagomål.docx", "A 31659-2023")</f>
        <v/>
      </c>
      <c r="W505">
        <f>HYPERLINK("https://klasma.github.io/Logging_0581/klagomålsmail/A 31659-2023 FSC-klagomål mail.docx", "A 31659-2023")</f>
        <v/>
      </c>
      <c r="X505">
        <f>HYPERLINK("https://klasma.github.io/Logging_0581/tillsyn/A 31659-2023 tillsynsbegäran.docx", "A 31659-2023")</f>
        <v/>
      </c>
      <c r="Y505">
        <f>HYPERLINK("https://klasma.github.io/Logging_0581/tillsynsmail/A 31659-2023 tillsynsbegäran mail.docx", "A 31659-2023")</f>
        <v/>
      </c>
      <c r="Z505">
        <f>HYPERLINK("https://klasma.github.io/Logging_0581/fåglar/A 31659-2023 prioriterade fågelarter.docx", "A 31659-2023")</f>
        <v/>
      </c>
    </row>
    <row r="506" ht="15" customHeight="1">
      <c r="A506" t="inlineStr">
        <is>
          <t>A 32510-2023</t>
        </is>
      </c>
      <c r="B506" s="1" t="n">
        <v>45121</v>
      </c>
      <c r="C506" s="1" t="n">
        <v>45710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Gullklöver</t>
        </is>
      </c>
      <c r="S506">
        <f>HYPERLINK("https://klasma.github.io/Logging_0581/artfynd/A 32510-2023 artfynd.xlsx", "A 32510-2023")</f>
        <v/>
      </c>
      <c r="T506">
        <f>HYPERLINK("https://klasma.github.io/Logging_0581/kartor/A 32510-2023 karta.png", "A 32510-2023")</f>
        <v/>
      </c>
      <c r="V506">
        <f>HYPERLINK("https://klasma.github.io/Logging_0581/klagomål/A 32510-2023 FSC-klagomål.docx", "A 32510-2023")</f>
        <v/>
      </c>
      <c r="W506">
        <f>HYPERLINK("https://klasma.github.io/Logging_0581/klagomålsmail/A 32510-2023 FSC-klagomål mail.docx", "A 32510-2023")</f>
        <v/>
      </c>
      <c r="X506">
        <f>HYPERLINK("https://klasma.github.io/Logging_0581/tillsyn/A 32510-2023 tillsynsbegäran.docx", "A 32510-2023")</f>
        <v/>
      </c>
      <c r="Y506">
        <f>HYPERLINK("https://klasma.github.io/Logging_0581/tillsynsmail/A 32510-2023 tillsynsbegäran mail.docx", "A 32510-2023")</f>
        <v/>
      </c>
    </row>
    <row r="507" ht="15" customHeight="1">
      <c r="A507" t="inlineStr">
        <is>
          <t>A 32570-2023</t>
        </is>
      </c>
      <c r="B507" s="1" t="n">
        <v>45121</v>
      </c>
      <c r="C507" s="1" t="n">
        <v>45710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7.7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Havsörn</t>
        </is>
      </c>
      <c r="S507">
        <f>HYPERLINK("https://klasma.github.io/Logging_0562/artfynd/A 32570-2023 artfynd.xlsx", "A 32570-2023")</f>
        <v/>
      </c>
      <c r="T507">
        <f>HYPERLINK("https://klasma.github.io/Logging_0562/kartor/A 32570-2023 karta.png", "A 32570-2023")</f>
        <v/>
      </c>
      <c r="V507">
        <f>HYPERLINK("https://klasma.github.io/Logging_0562/klagomål/A 32570-2023 FSC-klagomål.docx", "A 32570-2023")</f>
        <v/>
      </c>
      <c r="W507">
        <f>HYPERLINK("https://klasma.github.io/Logging_0562/klagomålsmail/A 32570-2023 FSC-klagomål mail.docx", "A 32570-2023")</f>
        <v/>
      </c>
      <c r="X507">
        <f>HYPERLINK("https://klasma.github.io/Logging_0562/tillsyn/A 32570-2023 tillsynsbegäran.docx", "A 32570-2023")</f>
        <v/>
      </c>
      <c r="Y507">
        <f>HYPERLINK("https://klasma.github.io/Logging_0562/tillsynsmail/A 32570-2023 tillsynsbegäran mail.docx", "A 32570-2023")</f>
        <v/>
      </c>
      <c r="Z507">
        <f>HYPERLINK("https://klasma.github.io/Logging_0562/fåglar/A 32570-2023 prioriterade fågelarter.docx", "A 32570-2023")</f>
        <v/>
      </c>
    </row>
    <row r="508" ht="15" customHeight="1">
      <c r="A508" t="inlineStr">
        <is>
          <t>A 32738-2023</t>
        </is>
      </c>
      <c r="B508" s="1" t="n">
        <v>45122</v>
      </c>
      <c r="C508" s="1" t="n">
        <v>45710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Knärot</t>
        </is>
      </c>
      <c r="S508">
        <f>HYPERLINK("https://klasma.github.io/Logging_0561/artfynd/A 32738-2023 artfynd.xlsx", "A 32738-2023")</f>
        <v/>
      </c>
      <c r="T508">
        <f>HYPERLINK("https://klasma.github.io/Logging_0561/kartor/A 32738-2023 karta.png", "A 32738-2023")</f>
        <v/>
      </c>
      <c r="U508">
        <f>HYPERLINK("https://klasma.github.io/Logging_0561/knärot/A 32738-2023 karta knärot.png", "A 32738-2023")</f>
        <v/>
      </c>
      <c r="V508">
        <f>HYPERLINK("https://klasma.github.io/Logging_0561/klagomål/A 32738-2023 FSC-klagomål.docx", "A 32738-2023")</f>
        <v/>
      </c>
      <c r="W508">
        <f>HYPERLINK("https://klasma.github.io/Logging_0561/klagomålsmail/A 32738-2023 FSC-klagomål mail.docx", "A 32738-2023")</f>
        <v/>
      </c>
      <c r="X508">
        <f>HYPERLINK("https://klasma.github.io/Logging_0561/tillsyn/A 32738-2023 tillsynsbegäran.docx", "A 32738-2023")</f>
        <v/>
      </c>
      <c r="Y508">
        <f>HYPERLINK("https://klasma.github.io/Logging_0561/tillsynsmail/A 32738-2023 tillsynsbegäran mail.docx", "A 32738-2023")</f>
        <v/>
      </c>
    </row>
    <row r="509" ht="15" customHeight="1">
      <c r="A509" t="inlineStr">
        <is>
          <t>A 33573-2023</t>
        </is>
      </c>
      <c r="B509" s="1" t="n">
        <v>45131</v>
      </c>
      <c r="C509" s="1" t="n">
        <v>45710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HYPERLINK("https://klasma.github.io/Logging_0580/artfynd/A 33573-2023 artfynd.xlsx", "A 33573-2023")</f>
        <v/>
      </c>
      <c r="T509">
        <f>HYPERLINK("https://klasma.github.io/Logging_0580/kartor/A 33573-2023 karta.png", "A 33573-2023")</f>
        <v/>
      </c>
      <c r="V509">
        <f>HYPERLINK("https://klasma.github.io/Logging_0580/klagomål/A 33573-2023 FSC-klagomål.docx", "A 33573-2023")</f>
        <v/>
      </c>
      <c r="W509">
        <f>HYPERLINK("https://klasma.github.io/Logging_0580/klagomålsmail/A 33573-2023 FSC-klagomål mail.docx", "A 33573-2023")</f>
        <v/>
      </c>
      <c r="X509">
        <f>HYPERLINK("https://klasma.github.io/Logging_0580/tillsyn/A 33573-2023 tillsynsbegäran.docx", "A 33573-2023")</f>
        <v/>
      </c>
      <c r="Y509">
        <f>HYPERLINK("https://klasma.github.io/Logging_0580/tillsynsmail/A 33573-2023 tillsynsbegäran mail.docx", "A 33573-2023")</f>
        <v/>
      </c>
    </row>
    <row r="510" ht="15" customHeight="1">
      <c r="A510" t="inlineStr">
        <is>
          <t>A 34115-2023</t>
        </is>
      </c>
      <c r="B510" s="1" t="n">
        <v>45135</v>
      </c>
      <c r="C510" s="1" t="n">
        <v>45710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4.8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Järpe</t>
        </is>
      </c>
      <c r="S510">
        <f>HYPERLINK("https://klasma.github.io/Logging_0562/artfynd/A 34115-2023 artfynd.xlsx", "A 34115-2023")</f>
        <v/>
      </c>
      <c r="T510">
        <f>HYPERLINK("https://klasma.github.io/Logging_0562/kartor/A 34115-2023 karta.png", "A 34115-2023")</f>
        <v/>
      </c>
      <c r="V510">
        <f>HYPERLINK("https://klasma.github.io/Logging_0562/klagomål/A 34115-2023 FSC-klagomål.docx", "A 34115-2023")</f>
        <v/>
      </c>
      <c r="W510">
        <f>HYPERLINK("https://klasma.github.io/Logging_0562/klagomålsmail/A 34115-2023 FSC-klagomål mail.docx", "A 34115-2023")</f>
        <v/>
      </c>
      <c r="X510">
        <f>HYPERLINK("https://klasma.github.io/Logging_0562/tillsyn/A 34115-2023 tillsynsbegäran.docx", "A 34115-2023")</f>
        <v/>
      </c>
      <c r="Y510">
        <f>HYPERLINK("https://klasma.github.io/Logging_0562/tillsynsmail/A 34115-2023 tillsynsbegäran mail.docx", "A 34115-2023")</f>
        <v/>
      </c>
      <c r="Z510">
        <f>HYPERLINK("https://klasma.github.io/Logging_0562/fåglar/A 34115-2023 prioriterade fågelarter.docx", "A 34115-2023")</f>
        <v/>
      </c>
    </row>
    <row r="511" ht="15" customHeight="1">
      <c r="A511" t="inlineStr">
        <is>
          <t>A 35948-2023</t>
        </is>
      </c>
      <c r="B511" s="1" t="n">
        <v>45148</v>
      </c>
      <c r="C511" s="1" t="n">
        <v>45710</v>
      </c>
      <c r="D511" t="inlineStr">
        <is>
          <t>ÖSTERGÖTLANDS LÄN</t>
        </is>
      </c>
      <c r="E511" t="inlineStr">
        <is>
          <t>LINKÖPING</t>
        </is>
      </c>
      <c r="G511" t="n">
        <v>1.9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Brun nållav</t>
        </is>
      </c>
      <c r="S511">
        <f>HYPERLINK("https://klasma.github.io/Logging_0580/artfynd/A 35948-2023 artfynd.xlsx", "A 35948-2023")</f>
        <v/>
      </c>
      <c r="T511">
        <f>HYPERLINK("https://klasma.github.io/Logging_0580/kartor/A 35948-2023 karta.png", "A 35948-2023")</f>
        <v/>
      </c>
      <c r="V511">
        <f>HYPERLINK("https://klasma.github.io/Logging_0580/klagomål/A 35948-2023 FSC-klagomål.docx", "A 35948-2023")</f>
        <v/>
      </c>
      <c r="W511">
        <f>HYPERLINK("https://klasma.github.io/Logging_0580/klagomålsmail/A 35948-2023 FSC-klagomål mail.docx", "A 35948-2023")</f>
        <v/>
      </c>
      <c r="X511">
        <f>HYPERLINK("https://klasma.github.io/Logging_0580/tillsyn/A 35948-2023 tillsynsbegäran.docx", "A 35948-2023")</f>
        <v/>
      </c>
      <c r="Y511">
        <f>HYPERLINK("https://klasma.github.io/Logging_0580/tillsynsmail/A 35948-2023 tillsynsbegäran mail.docx", "A 35948-2023")</f>
        <v/>
      </c>
    </row>
    <row r="512" ht="15" customHeight="1">
      <c r="A512" t="inlineStr">
        <is>
          <t>A 36732-2023</t>
        </is>
      </c>
      <c r="B512" s="1" t="n">
        <v>45153</v>
      </c>
      <c r="C512" s="1" t="n">
        <v>45710</v>
      </c>
      <c r="D512" t="inlineStr">
        <is>
          <t>ÖSTERGÖTLANDS LÄN</t>
        </is>
      </c>
      <c r="E512" t="inlineStr">
        <is>
          <t>YDRE</t>
        </is>
      </c>
      <c r="G512" t="n">
        <v>7.4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Stor aspticka</t>
        </is>
      </c>
      <c r="S512">
        <f>HYPERLINK("https://klasma.github.io/Logging_0512/artfynd/A 36732-2023 artfynd.xlsx", "A 36732-2023")</f>
        <v/>
      </c>
      <c r="T512">
        <f>HYPERLINK("https://klasma.github.io/Logging_0512/kartor/A 36732-2023 karta.png", "A 36732-2023")</f>
        <v/>
      </c>
      <c r="U512">
        <f>HYPERLINK("https://klasma.github.io/Logging_0512/knärot/A 36732-2023 karta knärot.png", "A 36732-2023")</f>
        <v/>
      </c>
      <c r="V512">
        <f>HYPERLINK("https://klasma.github.io/Logging_0512/klagomål/A 36732-2023 FSC-klagomål.docx", "A 36732-2023")</f>
        <v/>
      </c>
      <c r="W512">
        <f>HYPERLINK("https://klasma.github.io/Logging_0512/klagomålsmail/A 36732-2023 FSC-klagomål mail.docx", "A 36732-2023")</f>
        <v/>
      </c>
      <c r="X512">
        <f>HYPERLINK("https://klasma.github.io/Logging_0512/tillsyn/A 36732-2023 tillsynsbegäran.docx", "A 36732-2023")</f>
        <v/>
      </c>
      <c r="Y512">
        <f>HYPERLINK("https://klasma.github.io/Logging_0512/tillsynsmail/A 36732-2023 tillsynsbegäran mail.docx", "A 36732-2023")</f>
        <v/>
      </c>
    </row>
    <row r="513" ht="15" customHeight="1">
      <c r="A513" t="inlineStr">
        <is>
          <t>A 36723-2023</t>
        </is>
      </c>
      <c r="B513" s="1" t="n">
        <v>45153</v>
      </c>
      <c r="C513" s="1" t="n">
        <v>45710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Allmännings- och besparingsskogar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Bitter taggsvamp</t>
        </is>
      </c>
      <c r="S513">
        <f>HYPERLINK("https://klasma.github.io/Logging_0580/artfynd/A 36723-2023 artfynd.xlsx", "A 36723-2023")</f>
        <v/>
      </c>
      <c r="T513">
        <f>HYPERLINK("https://klasma.github.io/Logging_0580/kartor/A 36723-2023 karta.png", "A 36723-2023")</f>
        <v/>
      </c>
      <c r="V513">
        <f>HYPERLINK("https://klasma.github.io/Logging_0580/klagomål/A 36723-2023 FSC-klagomål.docx", "A 36723-2023")</f>
        <v/>
      </c>
      <c r="W513">
        <f>HYPERLINK("https://klasma.github.io/Logging_0580/klagomålsmail/A 36723-2023 FSC-klagomål mail.docx", "A 36723-2023")</f>
        <v/>
      </c>
      <c r="X513">
        <f>HYPERLINK("https://klasma.github.io/Logging_0580/tillsyn/A 36723-2023 tillsynsbegäran.docx", "A 36723-2023")</f>
        <v/>
      </c>
      <c r="Y513">
        <f>HYPERLINK("https://klasma.github.io/Logging_0580/tillsynsmail/A 36723-2023 tillsynsbegäran mail.docx", "A 36723-2023")</f>
        <v/>
      </c>
    </row>
    <row r="514" ht="15" customHeight="1">
      <c r="A514" t="inlineStr">
        <is>
          <t>A 37283-2023</t>
        </is>
      </c>
      <c r="B514" s="1" t="n">
        <v>45156</v>
      </c>
      <c r="C514" s="1" t="n">
        <v>45710</v>
      </c>
      <c r="D514" t="inlineStr">
        <is>
          <t>ÖSTERGÖTLANDS LÄN</t>
        </is>
      </c>
      <c r="E514" t="inlineStr">
        <is>
          <t>ÅTVIDABERG</t>
        </is>
      </c>
      <c r="G514" t="n">
        <v>0.1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Spillkråka</t>
        </is>
      </c>
      <c r="S514">
        <f>HYPERLINK("https://klasma.github.io/Logging_0561/artfynd/A 37283-2023 artfynd.xlsx", "A 37283-2023")</f>
        <v/>
      </c>
      <c r="T514">
        <f>HYPERLINK("https://klasma.github.io/Logging_0561/kartor/A 37283-2023 karta.png", "A 37283-2023")</f>
        <v/>
      </c>
      <c r="U514">
        <f>HYPERLINK("https://klasma.github.io/Logging_0561/knärot/A 37283-2023 karta knärot.png", "A 37283-2023")</f>
        <v/>
      </c>
      <c r="V514">
        <f>HYPERLINK("https://klasma.github.io/Logging_0561/klagomål/A 37283-2023 FSC-klagomål.docx", "A 37283-2023")</f>
        <v/>
      </c>
      <c r="W514">
        <f>HYPERLINK("https://klasma.github.io/Logging_0561/klagomålsmail/A 37283-2023 FSC-klagomål mail.docx", "A 37283-2023")</f>
        <v/>
      </c>
      <c r="X514">
        <f>HYPERLINK("https://klasma.github.io/Logging_0561/tillsyn/A 37283-2023 tillsynsbegäran.docx", "A 37283-2023")</f>
        <v/>
      </c>
      <c r="Y514">
        <f>HYPERLINK("https://klasma.github.io/Logging_0561/tillsynsmail/A 37283-2023 tillsynsbegäran mail.docx", "A 37283-2023")</f>
        <v/>
      </c>
      <c r="Z514">
        <f>HYPERLINK("https://klasma.github.io/Logging_0561/fåglar/A 37283-2023 prioriterade fågelarter.docx", "A 37283-2023")</f>
        <v/>
      </c>
    </row>
    <row r="515" ht="15" customHeight="1">
      <c r="A515" t="inlineStr">
        <is>
          <t>A 38229-2023</t>
        </is>
      </c>
      <c r="B515" s="1" t="n">
        <v>45161</v>
      </c>
      <c r="C515" s="1" t="n">
        <v>45710</v>
      </c>
      <c r="D515" t="inlineStr">
        <is>
          <t>ÖSTERGÖTLANDS LÄN</t>
        </is>
      </c>
      <c r="E515" t="inlineStr">
        <is>
          <t>LINKÖPING</t>
        </is>
      </c>
      <c r="G515" t="n">
        <v>2.8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Sommarfibbla</t>
        </is>
      </c>
      <c r="S515">
        <f>HYPERLINK("https://klasma.github.io/Logging_0580/artfynd/A 38229-2023 artfynd.xlsx", "A 38229-2023")</f>
        <v/>
      </c>
      <c r="T515">
        <f>HYPERLINK("https://klasma.github.io/Logging_0580/kartor/A 38229-2023 karta.png", "A 38229-2023")</f>
        <v/>
      </c>
      <c r="V515">
        <f>HYPERLINK("https://klasma.github.io/Logging_0580/klagomål/A 38229-2023 FSC-klagomål.docx", "A 38229-2023")</f>
        <v/>
      </c>
      <c r="W515">
        <f>HYPERLINK("https://klasma.github.io/Logging_0580/klagomålsmail/A 38229-2023 FSC-klagomål mail.docx", "A 38229-2023")</f>
        <v/>
      </c>
      <c r="X515">
        <f>HYPERLINK("https://klasma.github.io/Logging_0580/tillsyn/A 38229-2023 tillsynsbegäran.docx", "A 38229-2023")</f>
        <v/>
      </c>
      <c r="Y515">
        <f>HYPERLINK("https://klasma.github.io/Logging_0580/tillsynsmail/A 38229-2023 tillsynsbegäran mail.docx", "A 38229-2023")</f>
        <v/>
      </c>
    </row>
    <row r="516" ht="15" customHeight="1">
      <c r="A516" t="inlineStr">
        <is>
          <t>A 39389-2023</t>
        </is>
      </c>
      <c r="B516" s="1" t="n">
        <v>45166</v>
      </c>
      <c r="C516" s="1" t="n">
        <v>45710</v>
      </c>
      <c r="D516" t="inlineStr">
        <is>
          <t>ÖSTERGÖTLANDS LÄN</t>
        </is>
      </c>
      <c r="E516" t="inlineStr">
        <is>
          <t>SÖDERKÖPING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Tallharticka</t>
        </is>
      </c>
      <c r="S516">
        <f>HYPERLINK("https://klasma.github.io/Logging_0582/artfynd/A 39389-2023 artfynd.xlsx", "A 39389-2023")</f>
        <v/>
      </c>
      <c r="T516">
        <f>HYPERLINK("https://klasma.github.io/Logging_0582/kartor/A 39389-2023 karta.png", "A 39389-2023")</f>
        <v/>
      </c>
      <c r="V516">
        <f>HYPERLINK("https://klasma.github.io/Logging_0582/klagomål/A 39389-2023 FSC-klagomål.docx", "A 39389-2023")</f>
        <v/>
      </c>
      <c r="W516">
        <f>HYPERLINK("https://klasma.github.io/Logging_0582/klagomålsmail/A 39389-2023 FSC-klagomål mail.docx", "A 39389-2023")</f>
        <v/>
      </c>
      <c r="X516">
        <f>HYPERLINK("https://klasma.github.io/Logging_0582/tillsyn/A 39389-2023 tillsynsbegäran.docx", "A 39389-2023")</f>
        <v/>
      </c>
      <c r="Y516">
        <f>HYPERLINK("https://klasma.github.io/Logging_0582/tillsynsmail/A 39389-2023 tillsynsbegäran mail.docx", "A 39389-2023")</f>
        <v/>
      </c>
    </row>
    <row r="517" ht="15" customHeight="1">
      <c r="A517" t="inlineStr">
        <is>
          <t>A 41369-2023</t>
        </is>
      </c>
      <c r="B517" s="1" t="n">
        <v>45174</v>
      </c>
      <c r="C517" s="1" t="n">
        <v>45710</v>
      </c>
      <c r="D517" t="inlineStr">
        <is>
          <t>ÖSTERGÖTLANDS LÄN</t>
        </is>
      </c>
      <c r="E517" t="inlineStr">
        <is>
          <t>NORRKÖPING</t>
        </is>
      </c>
      <c r="G517" t="n">
        <v>2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Tallticka</t>
        </is>
      </c>
      <c r="S517">
        <f>HYPERLINK("https://klasma.github.io/Logging_0581/artfynd/A 41369-2023 artfynd.xlsx", "A 41369-2023")</f>
        <v/>
      </c>
      <c r="T517">
        <f>HYPERLINK("https://klasma.github.io/Logging_0581/kartor/A 41369-2023 karta.png", "A 41369-2023")</f>
        <v/>
      </c>
      <c r="V517">
        <f>HYPERLINK("https://klasma.github.io/Logging_0581/klagomål/A 41369-2023 FSC-klagomål.docx", "A 41369-2023")</f>
        <v/>
      </c>
      <c r="W517">
        <f>HYPERLINK("https://klasma.github.io/Logging_0581/klagomålsmail/A 41369-2023 FSC-klagomål mail.docx", "A 41369-2023")</f>
        <v/>
      </c>
      <c r="X517">
        <f>HYPERLINK("https://klasma.github.io/Logging_0581/tillsyn/A 41369-2023 tillsynsbegäran.docx", "A 41369-2023")</f>
        <v/>
      </c>
      <c r="Y517">
        <f>HYPERLINK("https://klasma.github.io/Logging_0581/tillsynsmail/A 41369-2023 tillsynsbegäran mail.docx", "A 41369-2023")</f>
        <v/>
      </c>
    </row>
    <row r="518" ht="15" customHeight="1">
      <c r="A518" t="inlineStr">
        <is>
          <t>A 41749-2023</t>
        </is>
      </c>
      <c r="B518" s="1" t="n">
        <v>45176</v>
      </c>
      <c r="C518" s="1" t="n">
        <v>45710</v>
      </c>
      <c r="D518" t="inlineStr">
        <is>
          <t>ÖSTERGÖTLANDS LÄN</t>
        </is>
      </c>
      <c r="E518" t="inlineStr">
        <is>
          <t>LINKÖPING</t>
        </is>
      </c>
      <c r="G518" t="n">
        <v>3.6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41749-2023 artfynd.xlsx", "A 41749-2023")</f>
        <v/>
      </c>
      <c r="T518">
        <f>HYPERLINK("https://klasma.github.io/Logging_0580/kartor/A 41749-2023 karta.png", "A 41749-2023")</f>
        <v/>
      </c>
      <c r="V518">
        <f>HYPERLINK("https://klasma.github.io/Logging_0580/klagomål/A 41749-2023 FSC-klagomål.docx", "A 41749-2023")</f>
        <v/>
      </c>
      <c r="W518">
        <f>HYPERLINK("https://klasma.github.io/Logging_0580/klagomålsmail/A 41749-2023 FSC-klagomål mail.docx", "A 41749-2023")</f>
        <v/>
      </c>
      <c r="X518">
        <f>HYPERLINK("https://klasma.github.io/Logging_0580/tillsyn/A 41749-2023 tillsynsbegäran.docx", "A 41749-2023")</f>
        <v/>
      </c>
      <c r="Y518">
        <f>HYPERLINK("https://klasma.github.io/Logging_0580/tillsynsmail/A 41749-2023 tillsynsbegäran mail.docx", "A 41749-2023")</f>
        <v/>
      </c>
    </row>
    <row r="519" ht="15" customHeight="1">
      <c r="A519" t="inlineStr">
        <is>
          <t>A 42486-2023</t>
        </is>
      </c>
      <c r="B519" s="1" t="n">
        <v>45180</v>
      </c>
      <c r="C519" s="1" t="n">
        <v>45710</v>
      </c>
      <c r="D519" t="inlineStr">
        <is>
          <t>ÖSTERGÖTLANDS LÄN</t>
        </is>
      </c>
      <c r="E519" t="inlineStr">
        <is>
          <t>ÅTVIDABERG</t>
        </is>
      </c>
      <c r="G519" t="n">
        <v>1.1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Revlummer</t>
        </is>
      </c>
      <c r="S519">
        <f>HYPERLINK("https://klasma.github.io/Logging_0561/artfynd/A 42486-2023 artfynd.xlsx", "A 42486-2023")</f>
        <v/>
      </c>
      <c r="T519">
        <f>HYPERLINK("https://klasma.github.io/Logging_0561/kartor/A 42486-2023 karta.png", "A 42486-2023")</f>
        <v/>
      </c>
      <c r="V519">
        <f>HYPERLINK("https://klasma.github.io/Logging_0561/klagomål/A 42486-2023 FSC-klagomål.docx", "A 42486-2023")</f>
        <v/>
      </c>
      <c r="W519">
        <f>HYPERLINK("https://klasma.github.io/Logging_0561/klagomålsmail/A 42486-2023 FSC-klagomål mail.docx", "A 42486-2023")</f>
        <v/>
      </c>
      <c r="X519">
        <f>HYPERLINK("https://klasma.github.io/Logging_0561/tillsyn/A 42486-2023 tillsynsbegäran.docx", "A 42486-2023")</f>
        <v/>
      </c>
      <c r="Y519">
        <f>HYPERLINK("https://klasma.github.io/Logging_0561/tillsynsmail/A 42486-2023 tillsynsbegäran mail.docx", "A 42486-2023")</f>
        <v/>
      </c>
    </row>
    <row r="520" ht="15" customHeight="1">
      <c r="A520" t="inlineStr">
        <is>
          <t>A 42352-2023</t>
        </is>
      </c>
      <c r="B520" s="1" t="n">
        <v>45180</v>
      </c>
      <c r="C520" s="1" t="n">
        <v>45710</v>
      </c>
      <c r="D520" t="inlineStr">
        <is>
          <t>ÖSTERGÖTLANDS LÄN</t>
        </is>
      </c>
      <c r="E520" t="inlineStr">
        <is>
          <t>SÖDERKÖPING</t>
        </is>
      </c>
      <c r="F520" t="inlineStr">
        <is>
          <t>Allmännings- och besparingsskogar</t>
        </is>
      </c>
      <c r="G520" t="n">
        <v>4.5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HYPERLINK("https://klasma.github.io/Logging_0582/artfynd/A 42352-2023 artfynd.xlsx", "A 42352-2023")</f>
        <v/>
      </c>
      <c r="T520">
        <f>HYPERLINK("https://klasma.github.io/Logging_0582/kartor/A 42352-2023 karta.png", "A 42352-2023")</f>
        <v/>
      </c>
      <c r="V520">
        <f>HYPERLINK("https://klasma.github.io/Logging_0582/klagomål/A 42352-2023 FSC-klagomål.docx", "A 42352-2023")</f>
        <v/>
      </c>
      <c r="W520">
        <f>HYPERLINK("https://klasma.github.io/Logging_0582/klagomålsmail/A 42352-2023 FSC-klagomål mail.docx", "A 42352-2023")</f>
        <v/>
      </c>
      <c r="X520">
        <f>HYPERLINK("https://klasma.github.io/Logging_0582/tillsyn/A 42352-2023 tillsynsbegäran.docx", "A 42352-2023")</f>
        <v/>
      </c>
      <c r="Y520">
        <f>HYPERLINK("https://klasma.github.io/Logging_0582/tillsynsmail/A 42352-2023 tillsynsbegäran mail.docx", "A 42352-2023")</f>
        <v/>
      </c>
    </row>
    <row r="521" ht="15" customHeight="1">
      <c r="A521" t="inlineStr">
        <is>
          <t>A 43262-2023</t>
        </is>
      </c>
      <c r="B521" s="1" t="n">
        <v>45183</v>
      </c>
      <c r="C521" s="1" t="n">
        <v>45710</v>
      </c>
      <c r="D521" t="inlineStr">
        <is>
          <t>ÖSTERGÖTLANDS LÄN</t>
        </is>
      </c>
      <c r="E521" t="inlineStr">
        <is>
          <t>MOTALA</t>
        </is>
      </c>
      <c r="G521" t="n">
        <v>2.1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Björksplintborre</t>
        </is>
      </c>
      <c r="S521">
        <f>HYPERLINK("https://klasma.github.io/Logging_0583/artfynd/A 43262-2023 artfynd.xlsx", "A 43262-2023")</f>
        <v/>
      </c>
      <c r="T521">
        <f>HYPERLINK("https://klasma.github.io/Logging_0583/kartor/A 43262-2023 karta.png", "A 43262-2023")</f>
        <v/>
      </c>
      <c r="V521">
        <f>HYPERLINK("https://klasma.github.io/Logging_0583/klagomål/A 43262-2023 FSC-klagomål.docx", "A 43262-2023")</f>
        <v/>
      </c>
      <c r="W521">
        <f>HYPERLINK("https://klasma.github.io/Logging_0583/klagomålsmail/A 43262-2023 FSC-klagomål mail.docx", "A 43262-2023")</f>
        <v/>
      </c>
      <c r="X521">
        <f>HYPERLINK("https://klasma.github.io/Logging_0583/tillsyn/A 43262-2023 tillsynsbegäran.docx", "A 43262-2023")</f>
        <v/>
      </c>
      <c r="Y521">
        <f>HYPERLINK("https://klasma.github.io/Logging_0583/tillsynsmail/A 43262-2023 tillsynsbegäran mail.docx", "A 43262-2023")</f>
        <v/>
      </c>
    </row>
    <row r="522" ht="15" customHeight="1">
      <c r="A522" t="inlineStr">
        <is>
          <t>A 45317-2023</t>
        </is>
      </c>
      <c r="B522" s="1" t="n">
        <v>45191</v>
      </c>
      <c r="C522" s="1" t="n">
        <v>45710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Allmännings- och besparingsskogar</t>
        </is>
      </c>
      <c r="G522" t="n">
        <v>29.3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45317-2023 artfynd.xlsx", "A 45317-2023")</f>
        <v/>
      </c>
      <c r="T522">
        <f>HYPERLINK("https://klasma.github.io/Logging_0580/kartor/A 45317-2023 karta.png", "A 45317-2023")</f>
        <v/>
      </c>
      <c r="V522">
        <f>HYPERLINK("https://klasma.github.io/Logging_0580/klagomål/A 45317-2023 FSC-klagomål.docx", "A 45317-2023")</f>
        <v/>
      </c>
      <c r="W522">
        <f>HYPERLINK("https://klasma.github.io/Logging_0580/klagomålsmail/A 45317-2023 FSC-klagomål mail.docx", "A 45317-2023")</f>
        <v/>
      </c>
      <c r="X522">
        <f>HYPERLINK("https://klasma.github.io/Logging_0580/tillsyn/A 45317-2023 tillsynsbegäran.docx", "A 45317-2023")</f>
        <v/>
      </c>
      <c r="Y522">
        <f>HYPERLINK("https://klasma.github.io/Logging_0580/tillsynsmail/A 45317-2023 tillsynsbegäran mail.docx", "A 45317-2023")</f>
        <v/>
      </c>
    </row>
    <row r="523" ht="15" customHeight="1">
      <c r="A523" t="inlineStr">
        <is>
          <t>A 45754-2023</t>
        </is>
      </c>
      <c r="B523" s="1" t="n">
        <v>45195</v>
      </c>
      <c r="C523" s="1" t="n">
        <v>45710</v>
      </c>
      <c r="D523" t="inlineStr">
        <is>
          <t>ÖSTERGÖTLANDS LÄN</t>
        </is>
      </c>
      <c r="E523" t="inlineStr">
        <is>
          <t>LINKÖPING</t>
        </is>
      </c>
      <c r="G523" t="n">
        <v>0.9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Rostfläck</t>
        </is>
      </c>
      <c r="S523">
        <f>HYPERLINK("https://klasma.github.io/Logging_0580/artfynd/A 45754-2023 artfynd.xlsx", "A 45754-2023")</f>
        <v/>
      </c>
      <c r="T523">
        <f>HYPERLINK("https://klasma.github.io/Logging_0580/kartor/A 45754-2023 karta.png", "A 45754-2023")</f>
        <v/>
      </c>
      <c r="V523">
        <f>HYPERLINK("https://klasma.github.io/Logging_0580/klagomål/A 45754-2023 FSC-klagomål.docx", "A 45754-2023")</f>
        <v/>
      </c>
      <c r="W523">
        <f>HYPERLINK("https://klasma.github.io/Logging_0580/klagomålsmail/A 45754-2023 FSC-klagomål mail.docx", "A 45754-2023")</f>
        <v/>
      </c>
      <c r="X523">
        <f>HYPERLINK("https://klasma.github.io/Logging_0580/tillsyn/A 45754-2023 tillsynsbegäran.docx", "A 45754-2023")</f>
        <v/>
      </c>
      <c r="Y523">
        <f>HYPERLINK("https://klasma.github.io/Logging_0580/tillsynsmail/A 45754-2023 tillsynsbegäran mail.docx", "A 45754-2023")</f>
        <v/>
      </c>
    </row>
    <row r="524" ht="15" customHeight="1">
      <c r="A524" t="inlineStr">
        <is>
          <t>A 46145-2023</t>
        </is>
      </c>
      <c r="B524" s="1" t="n">
        <v>45196</v>
      </c>
      <c r="C524" s="1" t="n">
        <v>45710</v>
      </c>
      <c r="D524" t="inlineStr">
        <is>
          <t>ÖSTERGÖTLANDS LÄN</t>
        </is>
      </c>
      <c r="E524" t="inlineStr">
        <is>
          <t>KINDA</t>
        </is>
      </c>
      <c r="G524" t="n">
        <v>4.2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Svart trolldruva</t>
        </is>
      </c>
      <c r="S524">
        <f>HYPERLINK("https://klasma.github.io/Logging_0513/artfynd/A 46145-2023 artfynd.xlsx", "A 46145-2023")</f>
        <v/>
      </c>
      <c r="T524">
        <f>HYPERLINK("https://klasma.github.io/Logging_0513/kartor/A 46145-2023 karta.png", "A 46145-2023")</f>
        <v/>
      </c>
      <c r="V524">
        <f>HYPERLINK("https://klasma.github.io/Logging_0513/klagomål/A 46145-2023 FSC-klagomål.docx", "A 46145-2023")</f>
        <v/>
      </c>
      <c r="W524">
        <f>HYPERLINK("https://klasma.github.io/Logging_0513/klagomålsmail/A 46145-2023 FSC-klagomål mail.docx", "A 46145-2023")</f>
        <v/>
      </c>
      <c r="X524">
        <f>HYPERLINK("https://klasma.github.io/Logging_0513/tillsyn/A 46145-2023 tillsynsbegäran.docx", "A 46145-2023")</f>
        <v/>
      </c>
      <c r="Y524">
        <f>HYPERLINK("https://klasma.github.io/Logging_0513/tillsynsmail/A 46145-2023 tillsynsbegäran mail.docx", "A 46145-2023")</f>
        <v/>
      </c>
    </row>
    <row r="525" ht="15" customHeight="1">
      <c r="A525" t="inlineStr">
        <is>
          <t>A 46582-2023</t>
        </is>
      </c>
      <c r="B525" s="1" t="n">
        <v>45198</v>
      </c>
      <c r="C525" s="1" t="n">
        <v>45710</v>
      </c>
      <c r="D525" t="inlineStr">
        <is>
          <t>ÖSTERGÖTLANDS LÄN</t>
        </is>
      </c>
      <c r="E525" t="inlineStr">
        <is>
          <t>YDRE</t>
        </is>
      </c>
      <c r="G525" t="n">
        <v>4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Vedtrappmossa</t>
        </is>
      </c>
      <c r="S525">
        <f>HYPERLINK("https://klasma.github.io/Logging_0512/artfynd/A 46582-2023 artfynd.xlsx", "A 46582-2023")</f>
        <v/>
      </c>
      <c r="T525">
        <f>HYPERLINK("https://klasma.github.io/Logging_0512/kartor/A 46582-2023 karta.png", "A 46582-2023")</f>
        <v/>
      </c>
      <c r="U525">
        <f>HYPERLINK("https://klasma.github.io/Logging_0512/knärot/A 46582-2023 karta knärot.png", "A 46582-2023")</f>
        <v/>
      </c>
      <c r="V525">
        <f>HYPERLINK("https://klasma.github.io/Logging_0512/klagomål/A 46582-2023 FSC-klagomål.docx", "A 46582-2023")</f>
        <v/>
      </c>
      <c r="W525">
        <f>HYPERLINK("https://klasma.github.io/Logging_0512/klagomålsmail/A 46582-2023 FSC-klagomål mail.docx", "A 46582-2023")</f>
        <v/>
      </c>
      <c r="X525">
        <f>HYPERLINK("https://klasma.github.io/Logging_0512/tillsyn/A 46582-2023 tillsynsbegäran.docx", "A 46582-2023")</f>
        <v/>
      </c>
      <c r="Y525">
        <f>HYPERLINK("https://klasma.github.io/Logging_0512/tillsynsmail/A 46582-2023 tillsynsbegäran mail.docx", "A 46582-2023")</f>
        <v/>
      </c>
    </row>
    <row r="526" ht="15" customHeight="1">
      <c r="A526" t="inlineStr">
        <is>
          <t>A 46955-2023</t>
        </is>
      </c>
      <c r="B526" s="1" t="n">
        <v>45201</v>
      </c>
      <c r="C526" s="1" t="n">
        <v>45710</v>
      </c>
      <c r="D526" t="inlineStr">
        <is>
          <t>ÖSTERGÖTLANDS LÄN</t>
        </is>
      </c>
      <c r="E526" t="inlineStr">
        <is>
          <t>NORRKÖPING</t>
        </is>
      </c>
      <c r="G526" t="n">
        <v>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Dropptaggsvamp</t>
        </is>
      </c>
      <c r="S526">
        <f>HYPERLINK("https://klasma.github.io/Logging_0581/artfynd/A 46955-2023 artfynd.xlsx", "A 46955-2023")</f>
        <v/>
      </c>
      <c r="T526">
        <f>HYPERLINK("https://klasma.github.io/Logging_0581/kartor/A 46955-2023 karta.png", "A 46955-2023")</f>
        <v/>
      </c>
      <c r="V526">
        <f>HYPERLINK("https://klasma.github.io/Logging_0581/klagomål/A 46955-2023 FSC-klagomål.docx", "A 46955-2023")</f>
        <v/>
      </c>
      <c r="W526">
        <f>HYPERLINK("https://klasma.github.io/Logging_0581/klagomålsmail/A 46955-2023 FSC-klagomål mail.docx", "A 46955-2023")</f>
        <v/>
      </c>
      <c r="X526">
        <f>HYPERLINK("https://klasma.github.io/Logging_0581/tillsyn/A 46955-2023 tillsynsbegäran.docx", "A 46955-2023")</f>
        <v/>
      </c>
      <c r="Y526">
        <f>HYPERLINK("https://klasma.github.io/Logging_0581/tillsynsmail/A 46955-2023 tillsynsbegäran mail.docx", "A 46955-2023")</f>
        <v/>
      </c>
    </row>
    <row r="527" ht="15" customHeight="1">
      <c r="A527" t="inlineStr">
        <is>
          <t>A 46957-2023</t>
        </is>
      </c>
      <c r="B527" s="1" t="n">
        <v>45201</v>
      </c>
      <c r="C527" s="1" t="n">
        <v>45710</v>
      </c>
      <c r="D527" t="inlineStr">
        <is>
          <t>ÖSTERGÖTLANDS LÄN</t>
        </is>
      </c>
      <c r="E527" t="inlineStr">
        <is>
          <t>NORRKÖPING</t>
        </is>
      </c>
      <c r="G527" t="n">
        <v>1.8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Vedskivlav</t>
        </is>
      </c>
      <c r="S527">
        <f>HYPERLINK("https://klasma.github.io/Logging_0581/artfynd/A 46957-2023 artfynd.xlsx", "A 46957-2023")</f>
        <v/>
      </c>
      <c r="T527">
        <f>HYPERLINK("https://klasma.github.io/Logging_0581/kartor/A 46957-2023 karta.png", "A 46957-2023")</f>
        <v/>
      </c>
      <c r="V527">
        <f>HYPERLINK("https://klasma.github.io/Logging_0581/klagomål/A 46957-2023 FSC-klagomål.docx", "A 46957-2023")</f>
        <v/>
      </c>
      <c r="W527">
        <f>HYPERLINK("https://klasma.github.io/Logging_0581/klagomålsmail/A 46957-2023 FSC-klagomål mail.docx", "A 46957-2023")</f>
        <v/>
      </c>
      <c r="X527">
        <f>HYPERLINK("https://klasma.github.io/Logging_0581/tillsyn/A 46957-2023 tillsynsbegäran.docx", "A 46957-2023")</f>
        <v/>
      </c>
      <c r="Y527">
        <f>HYPERLINK("https://klasma.github.io/Logging_0581/tillsynsmail/A 46957-2023 tillsynsbegäran mail.docx", "A 46957-2023")</f>
        <v/>
      </c>
    </row>
    <row r="528" ht="15" customHeight="1">
      <c r="A528" t="inlineStr">
        <is>
          <t>A 47200-2023</t>
        </is>
      </c>
      <c r="B528" s="1" t="n">
        <v>45202</v>
      </c>
      <c r="C528" s="1" t="n">
        <v>45710</v>
      </c>
      <c r="D528" t="inlineStr">
        <is>
          <t>ÖSTERGÖTLANDS LÄN</t>
        </is>
      </c>
      <c r="E528" t="inlineStr">
        <is>
          <t>VALDEMARSVIK</t>
        </is>
      </c>
      <c r="G528" t="n">
        <v>2.9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HYPERLINK("https://klasma.github.io/Logging_0563/artfynd/A 47200-2023 artfynd.xlsx", "A 47200-2023")</f>
        <v/>
      </c>
      <c r="T528">
        <f>HYPERLINK("https://klasma.github.io/Logging_0563/kartor/A 47200-2023 karta.png", "A 47200-2023")</f>
        <v/>
      </c>
      <c r="V528">
        <f>HYPERLINK("https://klasma.github.io/Logging_0563/klagomål/A 47200-2023 FSC-klagomål.docx", "A 47200-2023")</f>
        <v/>
      </c>
      <c r="W528">
        <f>HYPERLINK("https://klasma.github.io/Logging_0563/klagomålsmail/A 47200-2023 FSC-klagomål mail.docx", "A 47200-2023")</f>
        <v/>
      </c>
      <c r="X528">
        <f>HYPERLINK("https://klasma.github.io/Logging_0563/tillsyn/A 47200-2023 tillsynsbegäran.docx", "A 47200-2023")</f>
        <v/>
      </c>
      <c r="Y528">
        <f>HYPERLINK("https://klasma.github.io/Logging_0563/tillsynsmail/A 47200-2023 tillsynsbegäran mail.docx", "A 47200-2023")</f>
        <v/>
      </c>
      <c r="Z528">
        <f>HYPERLINK("https://klasma.github.io/Logging_0563/fåglar/A 47200-2023 prioriterade fågelarter.docx", "A 47200-2023")</f>
        <v/>
      </c>
    </row>
    <row r="529" ht="15" customHeight="1">
      <c r="A529" t="inlineStr">
        <is>
          <t>A 48586-2023</t>
        </is>
      </c>
      <c r="B529" s="1" t="n">
        <v>45208</v>
      </c>
      <c r="C529" s="1" t="n">
        <v>45710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4.4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Grönpyrola</t>
        </is>
      </c>
      <c r="S529">
        <f>HYPERLINK("https://klasma.github.io/Logging_0581/artfynd/A 48586-2023 artfynd.xlsx", "A 48586-2023")</f>
        <v/>
      </c>
      <c r="T529">
        <f>HYPERLINK("https://klasma.github.io/Logging_0581/kartor/A 48586-2023 karta.png", "A 48586-2023")</f>
        <v/>
      </c>
      <c r="V529">
        <f>HYPERLINK("https://klasma.github.io/Logging_0581/klagomål/A 48586-2023 FSC-klagomål.docx", "A 48586-2023")</f>
        <v/>
      </c>
      <c r="W529">
        <f>HYPERLINK("https://klasma.github.io/Logging_0581/klagomålsmail/A 48586-2023 FSC-klagomål mail.docx", "A 48586-2023")</f>
        <v/>
      </c>
      <c r="X529">
        <f>HYPERLINK("https://klasma.github.io/Logging_0581/tillsyn/A 48586-2023 tillsynsbegäran.docx", "A 48586-2023")</f>
        <v/>
      </c>
      <c r="Y529">
        <f>HYPERLINK("https://klasma.github.io/Logging_0581/tillsynsmail/A 48586-2023 tillsynsbegäran mail.docx", "A 48586-2023")</f>
        <v/>
      </c>
    </row>
    <row r="530" ht="15" customHeight="1">
      <c r="A530" t="inlineStr">
        <is>
          <t>A 52070-2023</t>
        </is>
      </c>
      <c r="B530" s="1" t="n">
        <v>45216</v>
      </c>
      <c r="C530" s="1" t="n">
        <v>45710</v>
      </c>
      <c r="D530" t="inlineStr">
        <is>
          <t>ÖSTERGÖTLANDS LÄN</t>
        </is>
      </c>
      <c r="E530" t="inlineStr">
        <is>
          <t>YDRE</t>
        </is>
      </c>
      <c r="G530" t="n">
        <v>0.5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Dvärghäxört</t>
        </is>
      </c>
      <c r="S530">
        <f>HYPERLINK("https://klasma.github.io/Logging_0512/artfynd/A 52070-2023 artfynd.xlsx", "A 52070-2023")</f>
        <v/>
      </c>
      <c r="T530">
        <f>HYPERLINK("https://klasma.github.io/Logging_0512/kartor/A 52070-2023 karta.png", "A 52070-2023")</f>
        <v/>
      </c>
      <c r="V530">
        <f>HYPERLINK("https://klasma.github.io/Logging_0512/klagomål/A 52070-2023 FSC-klagomål.docx", "A 52070-2023")</f>
        <v/>
      </c>
      <c r="W530">
        <f>HYPERLINK("https://klasma.github.io/Logging_0512/klagomålsmail/A 52070-2023 FSC-klagomål mail.docx", "A 52070-2023")</f>
        <v/>
      </c>
      <c r="X530">
        <f>HYPERLINK("https://klasma.github.io/Logging_0512/tillsyn/A 52070-2023 tillsynsbegäran.docx", "A 52070-2023")</f>
        <v/>
      </c>
      <c r="Y530">
        <f>HYPERLINK("https://klasma.github.io/Logging_0512/tillsynsmail/A 52070-2023 tillsynsbegäran mail.docx", "A 52070-2023")</f>
        <v/>
      </c>
    </row>
    <row r="531" ht="15" customHeight="1">
      <c r="A531" t="inlineStr">
        <is>
          <t>A 52024-2023</t>
        </is>
      </c>
      <c r="B531" s="1" t="n">
        <v>45216</v>
      </c>
      <c r="C531" s="1" t="n">
        <v>45710</v>
      </c>
      <c r="D531" t="inlineStr">
        <is>
          <t>ÖSTERGÖTLANDS LÄN</t>
        </is>
      </c>
      <c r="E531" t="inlineStr">
        <is>
          <t>KINDA</t>
        </is>
      </c>
      <c r="G531" t="n">
        <v>17.4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Revlummer</t>
        </is>
      </c>
      <c r="S531">
        <f>HYPERLINK("https://klasma.github.io/Logging_0513/artfynd/A 52024-2023 artfynd.xlsx", "A 52024-2023")</f>
        <v/>
      </c>
      <c r="T531">
        <f>HYPERLINK("https://klasma.github.io/Logging_0513/kartor/A 52024-2023 karta.png", "A 52024-2023")</f>
        <v/>
      </c>
      <c r="V531">
        <f>HYPERLINK("https://klasma.github.io/Logging_0513/klagomål/A 52024-2023 FSC-klagomål.docx", "A 52024-2023")</f>
        <v/>
      </c>
      <c r="W531">
        <f>HYPERLINK("https://klasma.github.io/Logging_0513/klagomålsmail/A 52024-2023 FSC-klagomål mail.docx", "A 52024-2023")</f>
        <v/>
      </c>
      <c r="X531">
        <f>HYPERLINK("https://klasma.github.io/Logging_0513/tillsyn/A 52024-2023 tillsynsbegäran.docx", "A 52024-2023")</f>
        <v/>
      </c>
      <c r="Y531">
        <f>HYPERLINK("https://klasma.github.io/Logging_0513/tillsynsmail/A 52024-2023 tillsynsbegäran mail.docx", "A 52024-2023")</f>
        <v/>
      </c>
    </row>
    <row r="532" ht="15" customHeight="1">
      <c r="A532" t="inlineStr">
        <is>
          <t>A 50806-2023</t>
        </is>
      </c>
      <c r="B532" s="1" t="n">
        <v>45217</v>
      </c>
      <c r="C532" s="1" t="n">
        <v>45710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Aktiebolag</t>
        </is>
      </c>
      <c r="G532" t="n">
        <v>0.7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Gullviva</t>
        </is>
      </c>
      <c r="S532">
        <f>HYPERLINK("https://klasma.github.io/Logging_0580/artfynd/A 50806-2023 artfynd.xlsx", "A 50806-2023")</f>
        <v/>
      </c>
      <c r="T532">
        <f>HYPERLINK("https://klasma.github.io/Logging_0580/kartor/A 50806-2023 karta.png", "A 50806-2023")</f>
        <v/>
      </c>
      <c r="V532">
        <f>HYPERLINK("https://klasma.github.io/Logging_0580/klagomål/A 50806-2023 FSC-klagomål.docx", "A 50806-2023")</f>
        <v/>
      </c>
      <c r="W532">
        <f>HYPERLINK("https://klasma.github.io/Logging_0580/klagomålsmail/A 50806-2023 FSC-klagomål mail.docx", "A 50806-2023")</f>
        <v/>
      </c>
      <c r="X532">
        <f>HYPERLINK("https://klasma.github.io/Logging_0580/tillsyn/A 50806-2023 tillsynsbegäran.docx", "A 50806-2023")</f>
        <v/>
      </c>
      <c r="Y532">
        <f>HYPERLINK("https://klasma.github.io/Logging_0580/tillsynsmail/A 50806-2023 tillsynsbegäran mail.docx", "A 50806-2023")</f>
        <v/>
      </c>
    </row>
    <row r="533" ht="15" customHeight="1">
      <c r="A533" t="inlineStr">
        <is>
          <t>A 50780-2023</t>
        </is>
      </c>
      <c r="B533" s="1" t="n">
        <v>45217</v>
      </c>
      <c r="C533" s="1" t="n">
        <v>45710</v>
      </c>
      <c r="D533" t="inlineStr">
        <is>
          <t>ÖSTERGÖTLANDS LÄN</t>
        </is>
      </c>
      <c r="E533" t="inlineStr">
        <is>
          <t>YDRE</t>
        </is>
      </c>
      <c r="F533" t="inlineStr">
        <is>
          <t>Övriga Aktiebolag</t>
        </is>
      </c>
      <c r="G533" t="n">
        <v>5.4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Korallticka</t>
        </is>
      </c>
      <c r="S533">
        <f>HYPERLINK("https://klasma.github.io/Logging_0512/artfynd/A 50780-2023 artfynd.xlsx", "A 50780-2023")</f>
        <v/>
      </c>
      <c r="T533">
        <f>HYPERLINK("https://klasma.github.io/Logging_0512/kartor/A 50780-2023 karta.png", "A 50780-2023")</f>
        <v/>
      </c>
      <c r="V533">
        <f>HYPERLINK("https://klasma.github.io/Logging_0512/klagomål/A 50780-2023 FSC-klagomål.docx", "A 50780-2023")</f>
        <v/>
      </c>
      <c r="W533">
        <f>HYPERLINK("https://klasma.github.io/Logging_0512/klagomålsmail/A 50780-2023 FSC-klagomål mail.docx", "A 50780-2023")</f>
        <v/>
      </c>
      <c r="X533">
        <f>HYPERLINK("https://klasma.github.io/Logging_0512/tillsyn/A 50780-2023 tillsynsbegäran.docx", "A 50780-2023")</f>
        <v/>
      </c>
      <c r="Y533">
        <f>HYPERLINK("https://klasma.github.io/Logging_0512/tillsynsmail/A 50780-2023 tillsynsbegäran mail.docx", "A 50780-2023")</f>
        <v/>
      </c>
    </row>
    <row r="534" ht="15" customHeight="1">
      <c r="A534" t="inlineStr">
        <is>
          <t>A 50811-2023</t>
        </is>
      </c>
      <c r="B534" s="1" t="n">
        <v>45217</v>
      </c>
      <c r="C534" s="1" t="n">
        <v>45710</v>
      </c>
      <c r="D534" t="inlineStr">
        <is>
          <t>ÖSTERGÖTLANDS LÄN</t>
        </is>
      </c>
      <c r="E534" t="inlineStr">
        <is>
          <t>ÅTVIDABERG</t>
        </is>
      </c>
      <c r="G534" t="n">
        <v>4.9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Dårgräsfjäril</t>
        </is>
      </c>
      <c r="S534">
        <f>HYPERLINK("https://klasma.github.io/Logging_0561/artfynd/A 50811-2023 artfynd.xlsx", "A 50811-2023")</f>
        <v/>
      </c>
      <c r="T534">
        <f>HYPERLINK("https://klasma.github.io/Logging_0561/kartor/A 50811-2023 karta.png", "A 50811-2023")</f>
        <v/>
      </c>
      <c r="V534">
        <f>HYPERLINK("https://klasma.github.io/Logging_0561/klagomål/A 50811-2023 FSC-klagomål.docx", "A 50811-2023")</f>
        <v/>
      </c>
      <c r="W534">
        <f>HYPERLINK("https://klasma.github.io/Logging_0561/klagomålsmail/A 50811-2023 FSC-klagomål mail.docx", "A 50811-2023")</f>
        <v/>
      </c>
      <c r="X534">
        <f>HYPERLINK("https://klasma.github.io/Logging_0561/tillsyn/A 50811-2023 tillsynsbegäran.docx", "A 50811-2023")</f>
        <v/>
      </c>
      <c r="Y534">
        <f>HYPERLINK("https://klasma.github.io/Logging_0561/tillsynsmail/A 50811-2023 tillsynsbegäran mail.docx", "A 50811-2023")</f>
        <v/>
      </c>
    </row>
    <row r="535" ht="15" customHeight="1">
      <c r="A535" t="inlineStr">
        <is>
          <t>A 51591-2023</t>
        </is>
      </c>
      <c r="B535" s="1" t="n">
        <v>45222</v>
      </c>
      <c r="C535" s="1" t="n">
        <v>45710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7.8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Äkta lopplummer</t>
        </is>
      </c>
      <c r="S535">
        <f>HYPERLINK("https://klasma.github.io/Logging_0580/artfynd/A 51591-2023 artfynd.xlsx", "A 51591-2023")</f>
        <v/>
      </c>
      <c r="T535">
        <f>HYPERLINK("https://klasma.github.io/Logging_0580/kartor/A 51591-2023 karta.png", "A 51591-2023")</f>
        <v/>
      </c>
      <c r="V535">
        <f>HYPERLINK("https://klasma.github.io/Logging_0580/klagomål/A 51591-2023 FSC-klagomål.docx", "A 51591-2023")</f>
        <v/>
      </c>
      <c r="W535">
        <f>HYPERLINK("https://klasma.github.io/Logging_0580/klagomålsmail/A 51591-2023 FSC-klagomål mail.docx", "A 51591-2023")</f>
        <v/>
      </c>
      <c r="X535">
        <f>HYPERLINK("https://klasma.github.io/Logging_0580/tillsyn/A 51591-2023 tillsynsbegäran.docx", "A 51591-2023")</f>
        <v/>
      </c>
      <c r="Y535">
        <f>HYPERLINK("https://klasma.github.io/Logging_0580/tillsynsmail/A 51591-2023 tillsynsbegäran mail.docx", "A 51591-2023")</f>
        <v/>
      </c>
    </row>
    <row r="536" ht="15" customHeight="1">
      <c r="A536" t="inlineStr">
        <is>
          <t>A 51973-2023</t>
        </is>
      </c>
      <c r="B536" s="1" t="n">
        <v>45223</v>
      </c>
      <c r="C536" s="1" t="n">
        <v>45710</v>
      </c>
      <c r="D536" t="inlineStr">
        <is>
          <t>ÖSTERGÖTLANDS LÄN</t>
        </is>
      </c>
      <c r="E536" t="inlineStr">
        <is>
          <t>NORRKÖPING</t>
        </is>
      </c>
      <c r="G536" t="n">
        <v>8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Tallticka</t>
        </is>
      </c>
      <c r="S536">
        <f>HYPERLINK("https://klasma.github.io/Logging_0581/artfynd/A 51973-2023 artfynd.xlsx", "A 51973-2023")</f>
        <v/>
      </c>
      <c r="T536">
        <f>HYPERLINK("https://klasma.github.io/Logging_0581/kartor/A 51973-2023 karta.png", "A 51973-2023")</f>
        <v/>
      </c>
      <c r="V536">
        <f>HYPERLINK("https://klasma.github.io/Logging_0581/klagomål/A 51973-2023 FSC-klagomål.docx", "A 51973-2023")</f>
        <v/>
      </c>
      <c r="W536">
        <f>HYPERLINK("https://klasma.github.io/Logging_0581/klagomålsmail/A 51973-2023 FSC-klagomål mail.docx", "A 51973-2023")</f>
        <v/>
      </c>
      <c r="X536">
        <f>HYPERLINK("https://klasma.github.io/Logging_0581/tillsyn/A 51973-2023 tillsynsbegäran.docx", "A 51973-2023")</f>
        <v/>
      </c>
      <c r="Y536">
        <f>HYPERLINK("https://klasma.github.io/Logging_0581/tillsynsmail/A 51973-2023 tillsynsbegäran mail.docx", "A 51973-2023")</f>
        <v/>
      </c>
    </row>
    <row r="537" ht="15" customHeight="1">
      <c r="A537" t="inlineStr">
        <is>
          <t>A 53265-2023</t>
        </is>
      </c>
      <c r="B537" s="1" t="n">
        <v>45229</v>
      </c>
      <c r="C537" s="1" t="n">
        <v>45710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1.6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Fläcknycklar</t>
        </is>
      </c>
      <c r="S537">
        <f>HYPERLINK("https://klasma.github.io/Logging_0562/artfynd/A 53265-2023 artfynd.xlsx", "A 53265-2023")</f>
        <v/>
      </c>
      <c r="T537">
        <f>HYPERLINK("https://klasma.github.io/Logging_0562/kartor/A 53265-2023 karta.png", "A 53265-2023")</f>
        <v/>
      </c>
      <c r="V537">
        <f>HYPERLINK("https://klasma.github.io/Logging_0562/klagomål/A 53265-2023 FSC-klagomål.docx", "A 53265-2023")</f>
        <v/>
      </c>
      <c r="W537">
        <f>HYPERLINK("https://klasma.github.io/Logging_0562/klagomålsmail/A 53265-2023 FSC-klagomål mail.docx", "A 53265-2023")</f>
        <v/>
      </c>
      <c r="X537">
        <f>HYPERLINK("https://klasma.github.io/Logging_0562/tillsyn/A 53265-2023 tillsynsbegäran.docx", "A 53265-2023")</f>
        <v/>
      </c>
      <c r="Y537">
        <f>HYPERLINK("https://klasma.github.io/Logging_0562/tillsynsmail/A 53265-2023 tillsynsbegäran mail.docx", "A 53265-2023")</f>
        <v/>
      </c>
    </row>
    <row r="538" ht="15" customHeight="1">
      <c r="A538" t="inlineStr">
        <is>
          <t>A 54379-2023</t>
        </is>
      </c>
      <c r="B538" s="1" t="n">
        <v>45233</v>
      </c>
      <c r="C538" s="1" t="n">
        <v>45710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Flagellkvastmossa</t>
        </is>
      </c>
      <c r="S538">
        <f>HYPERLINK("https://klasma.github.io/Logging_0562/artfynd/A 54379-2023 artfynd.xlsx", "A 54379-2023")</f>
        <v/>
      </c>
      <c r="T538">
        <f>HYPERLINK("https://klasma.github.io/Logging_0562/kartor/A 54379-2023 karta.png", "A 54379-2023")</f>
        <v/>
      </c>
      <c r="V538">
        <f>HYPERLINK("https://klasma.github.io/Logging_0562/klagomål/A 54379-2023 FSC-klagomål.docx", "A 54379-2023")</f>
        <v/>
      </c>
      <c r="W538">
        <f>HYPERLINK("https://klasma.github.io/Logging_0562/klagomålsmail/A 54379-2023 FSC-klagomål mail.docx", "A 54379-2023")</f>
        <v/>
      </c>
      <c r="X538">
        <f>HYPERLINK("https://klasma.github.io/Logging_0562/tillsyn/A 54379-2023 tillsynsbegäran.docx", "A 54379-2023")</f>
        <v/>
      </c>
      <c r="Y538">
        <f>HYPERLINK("https://klasma.github.io/Logging_0562/tillsynsmail/A 54379-2023 tillsynsbegäran mail.docx", "A 54379-2023")</f>
        <v/>
      </c>
    </row>
    <row r="539" ht="15" customHeight="1">
      <c r="A539" t="inlineStr">
        <is>
          <t>A 54835-2023</t>
        </is>
      </c>
      <c r="B539" s="1" t="n">
        <v>45236</v>
      </c>
      <c r="C539" s="1" t="n">
        <v>45710</v>
      </c>
      <c r="D539" t="inlineStr">
        <is>
          <t>ÖSTERGÖTLANDS LÄN</t>
        </is>
      </c>
      <c r="E539" t="inlineStr">
        <is>
          <t>LINKÖPING</t>
        </is>
      </c>
      <c r="G539" t="n">
        <v>2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Sparvuggla</t>
        </is>
      </c>
      <c r="S539">
        <f>HYPERLINK("https://klasma.github.io/Logging_0580/artfynd/A 54835-2023 artfynd.xlsx", "A 54835-2023")</f>
        <v/>
      </c>
      <c r="T539">
        <f>HYPERLINK("https://klasma.github.io/Logging_0580/kartor/A 54835-2023 karta.png", "A 54835-2023")</f>
        <v/>
      </c>
      <c r="V539">
        <f>HYPERLINK("https://klasma.github.io/Logging_0580/klagomål/A 54835-2023 FSC-klagomål.docx", "A 54835-2023")</f>
        <v/>
      </c>
      <c r="W539">
        <f>HYPERLINK("https://klasma.github.io/Logging_0580/klagomålsmail/A 54835-2023 FSC-klagomål mail.docx", "A 54835-2023")</f>
        <v/>
      </c>
      <c r="X539">
        <f>HYPERLINK("https://klasma.github.io/Logging_0580/tillsyn/A 54835-2023 tillsynsbegäran.docx", "A 54835-2023")</f>
        <v/>
      </c>
      <c r="Y539">
        <f>HYPERLINK("https://klasma.github.io/Logging_0580/tillsynsmail/A 54835-2023 tillsynsbegäran mail.docx", "A 54835-2023")</f>
        <v/>
      </c>
      <c r="Z539">
        <f>HYPERLINK("https://klasma.github.io/Logging_0580/fåglar/A 54835-2023 prioriterade fågelarter.docx", "A 54835-2023")</f>
        <v/>
      </c>
    </row>
    <row r="540" ht="15" customHeight="1">
      <c r="A540" t="inlineStr">
        <is>
          <t>A 54756-2023</t>
        </is>
      </c>
      <c r="B540" s="1" t="n">
        <v>45236</v>
      </c>
      <c r="C540" s="1" t="n">
        <v>45710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1.9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Havsörn</t>
        </is>
      </c>
      <c r="S540">
        <f>HYPERLINK("https://klasma.github.io/Logging_0562/artfynd/A 54756-2023 artfynd.xlsx", "A 54756-2023")</f>
        <v/>
      </c>
      <c r="T540">
        <f>HYPERLINK("https://klasma.github.io/Logging_0562/kartor/A 54756-2023 karta.png", "A 54756-2023")</f>
        <v/>
      </c>
      <c r="V540">
        <f>HYPERLINK("https://klasma.github.io/Logging_0562/klagomål/A 54756-2023 FSC-klagomål.docx", "A 54756-2023")</f>
        <v/>
      </c>
      <c r="W540">
        <f>HYPERLINK("https://klasma.github.io/Logging_0562/klagomålsmail/A 54756-2023 FSC-klagomål mail.docx", "A 54756-2023")</f>
        <v/>
      </c>
      <c r="X540">
        <f>HYPERLINK("https://klasma.github.io/Logging_0562/tillsyn/A 54756-2023 tillsynsbegäran.docx", "A 54756-2023")</f>
        <v/>
      </c>
      <c r="Y540">
        <f>HYPERLINK("https://klasma.github.io/Logging_0562/tillsynsmail/A 54756-2023 tillsynsbegäran mail.docx", "A 54756-2023")</f>
        <v/>
      </c>
      <c r="Z540">
        <f>HYPERLINK("https://klasma.github.io/Logging_0562/fåglar/A 54756-2023 prioriterade fågelarter.docx", "A 54756-2023")</f>
        <v/>
      </c>
    </row>
    <row r="541" ht="15" customHeight="1">
      <c r="A541" t="inlineStr">
        <is>
          <t>A 56822-2023</t>
        </is>
      </c>
      <c r="B541" s="1" t="n">
        <v>45238</v>
      </c>
      <c r="C541" s="1" t="n">
        <v>45710</v>
      </c>
      <c r="D541" t="inlineStr">
        <is>
          <t>ÖSTERGÖTLANDS LÄN</t>
        </is>
      </c>
      <c r="E541" t="inlineStr">
        <is>
          <t>KINDA</t>
        </is>
      </c>
      <c r="G541" t="n">
        <v>5.1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Mattlummer</t>
        </is>
      </c>
      <c r="S541">
        <f>HYPERLINK("https://klasma.github.io/Logging_0513/artfynd/A 56822-2023 artfynd.xlsx", "A 56822-2023")</f>
        <v/>
      </c>
      <c r="T541">
        <f>HYPERLINK("https://klasma.github.io/Logging_0513/kartor/A 56822-2023 karta.png", "A 56822-2023")</f>
        <v/>
      </c>
      <c r="V541">
        <f>HYPERLINK("https://klasma.github.io/Logging_0513/klagomål/A 56822-2023 FSC-klagomål.docx", "A 56822-2023")</f>
        <v/>
      </c>
      <c r="W541">
        <f>HYPERLINK("https://klasma.github.io/Logging_0513/klagomålsmail/A 56822-2023 FSC-klagomål mail.docx", "A 56822-2023")</f>
        <v/>
      </c>
      <c r="X541">
        <f>HYPERLINK("https://klasma.github.io/Logging_0513/tillsyn/A 56822-2023 tillsynsbegäran.docx", "A 56822-2023")</f>
        <v/>
      </c>
      <c r="Y541">
        <f>HYPERLINK("https://klasma.github.io/Logging_0513/tillsynsmail/A 56822-2023 tillsynsbegäran mail.docx", "A 56822-2023")</f>
        <v/>
      </c>
    </row>
    <row r="542" ht="15" customHeight="1">
      <c r="A542" t="inlineStr">
        <is>
          <t>A 56637-2023</t>
        </is>
      </c>
      <c r="B542" s="1" t="n">
        <v>45243</v>
      </c>
      <c r="C542" s="1" t="n">
        <v>45710</v>
      </c>
      <c r="D542" t="inlineStr">
        <is>
          <t>ÖSTERGÖTLANDS LÄN</t>
        </is>
      </c>
      <c r="E542" t="inlineStr">
        <is>
          <t>ÖDESHÖG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1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Skogsalm</t>
        </is>
      </c>
      <c r="S542">
        <f>HYPERLINK("https://klasma.github.io/Logging_0509/artfynd/A 56637-2023 artfynd.xlsx", "A 56637-2023")</f>
        <v/>
      </c>
      <c r="T542">
        <f>HYPERLINK("https://klasma.github.io/Logging_0509/kartor/A 56637-2023 karta.png", "A 56637-2023")</f>
        <v/>
      </c>
      <c r="V542">
        <f>HYPERLINK("https://klasma.github.io/Logging_0509/klagomål/A 56637-2023 FSC-klagomål.docx", "A 56637-2023")</f>
        <v/>
      </c>
      <c r="W542">
        <f>HYPERLINK("https://klasma.github.io/Logging_0509/klagomålsmail/A 56637-2023 FSC-klagomål mail.docx", "A 56637-2023")</f>
        <v/>
      </c>
      <c r="X542">
        <f>HYPERLINK("https://klasma.github.io/Logging_0509/tillsyn/A 56637-2023 tillsynsbegäran.docx", "A 56637-2023")</f>
        <v/>
      </c>
      <c r="Y542">
        <f>HYPERLINK("https://klasma.github.io/Logging_0509/tillsynsmail/A 56637-2023 tillsynsbegäran mail.docx", "A 56637-2023")</f>
        <v/>
      </c>
    </row>
    <row r="543" ht="15" customHeight="1">
      <c r="A543" t="inlineStr">
        <is>
          <t>A 56651-2023</t>
        </is>
      </c>
      <c r="B543" s="1" t="n">
        <v>45243</v>
      </c>
      <c r="C543" s="1" t="n">
        <v>45710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Aktiebolag</t>
        </is>
      </c>
      <c r="G543" t="n">
        <v>2.3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Gul dropplav</t>
        </is>
      </c>
      <c r="S543">
        <f>HYPERLINK("https://klasma.github.io/Logging_0580/artfynd/A 56651-2023 artfynd.xlsx", "A 56651-2023")</f>
        <v/>
      </c>
      <c r="T543">
        <f>HYPERLINK("https://klasma.github.io/Logging_0580/kartor/A 56651-2023 karta.png", "A 56651-2023")</f>
        <v/>
      </c>
      <c r="V543">
        <f>HYPERLINK("https://klasma.github.io/Logging_0580/klagomål/A 56651-2023 FSC-klagomål.docx", "A 56651-2023")</f>
        <v/>
      </c>
      <c r="W543">
        <f>HYPERLINK("https://klasma.github.io/Logging_0580/klagomålsmail/A 56651-2023 FSC-klagomål mail.docx", "A 56651-2023")</f>
        <v/>
      </c>
      <c r="X543">
        <f>HYPERLINK("https://klasma.github.io/Logging_0580/tillsyn/A 56651-2023 tillsynsbegäran.docx", "A 56651-2023")</f>
        <v/>
      </c>
      <c r="Y543">
        <f>HYPERLINK("https://klasma.github.io/Logging_0580/tillsynsmail/A 56651-2023 tillsynsbegäran mail.docx", "A 56651-2023")</f>
        <v/>
      </c>
    </row>
    <row r="544" ht="15" customHeight="1">
      <c r="A544" t="inlineStr">
        <is>
          <t>A 58711-2023</t>
        </is>
      </c>
      <c r="B544" s="1" t="n">
        <v>45251</v>
      </c>
      <c r="C544" s="1" t="n">
        <v>45710</v>
      </c>
      <c r="D544" t="inlineStr">
        <is>
          <t>ÖSTERGÖTLANDS LÄN</t>
        </is>
      </c>
      <c r="E544" t="inlineStr">
        <is>
          <t>NORRKÖPING</t>
        </is>
      </c>
      <c r="G544" t="n">
        <v>4.3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Ängsskära</t>
        </is>
      </c>
      <c r="S544">
        <f>HYPERLINK("https://klasma.github.io/Logging_0581/artfynd/A 58711-2023 artfynd.xlsx", "A 58711-2023")</f>
        <v/>
      </c>
      <c r="T544">
        <f>HYPERLINK("https://klasma.github.io/Logging_0581/kartor/A 58711-2023 karta.png", "A 58711-2023")</f>
        <v/>
      </c>
      <c r="V544">
        <f>HYPERLINK("https://klasma.github.io/Logging_0581/klagomål/A 58711-2023 FSC-klagomål.docx", "A 58711-2023")</f>
        <v/>
      </c>
      <c r="W544">
        <f>HYPERLINK("https://klasma.github.io/Logging_0581/klagomålsmail/A 58711-2023 FSC-klagomål mail.docx", "A 58711-2023")</f>
        <v/>
      </c>
      <c r="X544">
        <f>HYPERLINK("https://klasma.github.io/Logging_0581/tillsyn/A 58711-2023 tillsynsbegäran.docx", "A 58711-2023")</f>
        <v/>
      </c>
      <c r="Y544">
        <f>HYPERLINK("https://klasma.github.io/Logging_0581/tillsynsmail/A 58711-2023 tillsynsbegäran mail.docx", "A 58711-2023")</f>
        <v/>
      </c>
    </row>
    <row r="545" ht="15" customHeight="1">
      <c r="A545" t="inlineStr">
        <is>
          <t>A 59527-2023</t>
        </is>
      </c>
      <c r="B545" s="1" t="n">
        <v>45254</v>
      </c>
      <c r="C545" s="1" t="n">
        <v>45710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2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HYPERLINK("https://klasma.github.io/Logging_0581/artfynd/A 59527-2023 artfynd.xlsx", "A 59527-2023")</f>
        <v/>
      </c>
      <c r="T545">
        <f>HYPERLINK("https://klasma.github.io/Logging_0581/kartor/A 59527-2023 karta.png", "A 59527-2023")</f>
        <v/>
      </c>
      <c r="V545">
        <f>HYPERLINK("https://klasma.github.io/Logging_0581/klagomål/A 59527-2023 FSC-klagomål.docx", "A 59527-2023")</f>
        <v/>
      </c>
      <c r="W545">
        <f>HYPERLINK("https://klasma.github.io/Logging_0581/klagomålsmail/A 59527-2023 FSC-klagomål mail.docx", "A 59527-2023")</f>
        <v/>
      </c>
      <c r="X545">
        <f>HYPERLINK("https://klasma.github.io/Logging_0581/tillsyn/A 59527-2023 tillsynsbegäran.docx", "A 59527-2023")</f>
        <v/>
      </c>
      <c r="Y545">
        <f>HYPERLINK("https://klasma.github.io/Logging_0581/tillsynsmail/A 59527-2023 tillsynsbegäran mail.docx", "A 59527-2023")</f>
        <v/>
      </c>
    </row>
    <row r="546" ht="15" customHeight="1">
      <c r="A546" t="inlineStr">
        <is>
          <t>A 60983-2023</t>
        </is>
      </c>
      <c r="B546" s="1" t="n">
        <v>45261</v>
      </c>
      <c r="C546" s="1" t="n">
        <v>45710</v>
      </c>
      <c r="D546" t="inlineStr">
        <is>
          <t>ÖSTERGÖTLANDS LÄN</t>
        </is>
      </c>
      <c r="E546" t="inlineStr">
        <is>
          <t>MJÖLBY</t>
        </is>
      </c>
      <c r="G546" t="n">
        <v>3.8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Grönvit nattviol</t>
        </is>
      </c>
      <c r="S546">
        <f>HYPERLINK("https://klasma.github.io/Logging_0586/artfynd/A 60983-2023 artfynd.xlsx", "A 60983-2023")</f>
        <v/>
      </c>
      <c r="T546">
        <f>HYPERLINK("https://klasma.github.io/Logging_0586/kartor/A 60983-2023 karta.png", "A 60983-2023")</f>
        <v/>
      </c>
      <c r="V546">
        <f>HYPERLINK("https://klasma.github.io/Logging_0586/klagomål/A 60983-2023 FSC-klagomål.docx", "A 60983-2023")</f>
        <v/>
      </c>
      <c r="W546">
        <f>HYPERLINK("https://klasma.github.io/Logging_0586/klagomålsmail/A 60983-2023 FSC-klagomål mail.docx", "A 60983-2023")</f>
        <v/>
      </c>
      <c r="X546">
        <f>HYPERLINK("https://klasma.github.io/Logging_0586/tillsyn/A 60983-2023 tillsynsbegäran.docx", "A 60983-2023")</f>
        <v/>
      </c>
      <c r="Y546">
        <f>HYPERLINK("https://klasma.github.io/Logging_0586/tillsynsmail/A 60983-2023 tillsynsbegäran mail.docx", "A 60983-2023")</f>
        <v/>
      </c>
    </row>
    <row r="547" ht="15" customHeight="1">
      <c r="A547" t="inlineStr">
        <is>
          <t>A 62071-2023</t>
        </is>
      </c>
      <c r="B547" s="1" t="n">
        <v>45266</v>
      </c>
      <c r="C547" s="1" t="n">
        <v>45710</v>
      </c>
      <c r="D547" t="inlineStr">
        <is>
          <t>ÖSTERGÖTLANDS LÄN</t>
        </is>
      </c>
      <c r="E547" t="inlineStr">
        <is>
          <t>LINKÖPING</t>
        </is>
      </c>
      <c r="G547" t="n">
        <v>6.5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HYPERLINK("https://klasma.github.io/Logging_0580/artfynd/A 62071-2023 artfynd.xlsx", "A 62071-2023")</f>
        <v/>
      </c>
      <c r="T547">
        <f>HYPERLINK("https://klasma.github.io/Logging_0580/kartor/A 62071-2023 karta.png", "A 62071-2023")</f>
        <v/>
      </c>
      <c r="V547">
        <f>HYPERLINK("https://klasma.github.io/Logging_0580/klagomål/A 62071-2023 FSC-klagomål.docx", "A 62071-2023")</f>
        <v/>
      </c>
      <c r="W547">
        <f>HYPERLINK("https://klasma.github.io/Logging_0580/klagomålsmail/A 62071-2023 FSC-klagomål mail.docx", "A 62071-2023")</f>
        <v/>
      </c>
      <c r="X547">
        <f>HYPERLINK("https://klasma.github.io/Logging_0580/tillsyn/A 62071-2023 tillsynsbegäran.docx", "A 62071-2023")</f>
        <v/>
      </c>
      <c r="Y547">
        <f>HYPERLINK("https://klasma.github.io/Logging_0580/tillsynsmail/A 62071-2023 tillsynsbegäran mail.docx", "A 62071-2023")</f>
        <v/>
      </c>
    </row>
    <row r="548" ht="15" customHeight="1">
      <c r="A548" t="inlineStr">
        <is>
          <t>A 62571-2023</t>
        </is>
      </c>
      <c r="B548" s="1" t="n">
        <v>45269</v>
      </c>
      <c r="C548" s="1" t="n">
        <v>45710</v>
      </c>
      <c r="D548" t="inlineStr">
        <is>
          <t>ÖSTERGÖTLANDS LÄN</t>
        </is>
      </c>
      <c r="E548" t="inlineStr">
        <is>
          <t>MJÖLBY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HYPERLINK("https://klasma.github.io/Logging_0586/artfynd/A 62571-2023 artfynd.xlsx", "A 62571-2023")</f>
        <v/>
      </c>
      <c r="T548">
        <f>HYPERLINK("https://klasma.github.io/Logging_0586/kartor/A 62571-2023 karta.png", "A 62571-2023")</f>
        <v/>
      </c>
      <c r="V548">
        <f>HYPERLINK("https://klasma.github.io/Logging_0586/klagomål/A 62571-2023 FSC-klagomål.docx", "A 62571-2023")</f>
        <v/>
      </c>
      <c r="W548">
        <f>HYPERLINK("https://klasma.github.io/Logging_0586/klagomålsmail/A 62571-2023 FSC-klagomål mail.docx", "A 62571-2023")</f>
        <v/>
      </c>
      <c r="X548">
        <f>HYPERLINK("https://klasma.github.io/Logging_0586/tillsyn/A 62571-2023 tillsynsbegäran.docx", "A 62571-2023")</f>
        <v/>
      </c>
      <c r="Y548">
        <f>HYPERLINK("https://klasma.github.io/Logging_0586/tillsynsmail/A 62571-2023 tillsynsbegäran mail.docx", "A 62571-2023")</f>
        <v/>
      </c>
    </row>
    <row r="549" ht="15" customHeight="1">
      <c r="A549" t="inlineStr">
        <is>
          <t>A 62614-2023</t>
        </is>
      </c>
      <c r="B549" s="1" t="n">
        <v>45271</v>
      </c>
      <c r="C549" s="1" t="n">
        <v>45710</v>
      </c>
      <c r="D549" t="inlineStr">
        <is>
          <t>ÖSTERGÖTLANDS LÄN</t>
        </is>
      </c>
      <c r="E549" t="inlineStr">
        <is>
          <t>ÅTVIDABERG</t>
        </is>
      </c>
      <c r="G549" t="n">
        <v>2.7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Ögonpyrola</t>
        </is>
      </c>
      <c r="S549">
        <f>HYPERLINK("https://klasma.github.io/Logging_0561/artfynd/A 62614-2023 artfynd.xlsx", "A 62614-2023")</f>
        <v/>
      </c>
      <c r="T549">
        <f>HYPERLINK("https://klasma.github.io/Logging_0561/kartor/A 62614-2023 karta.png", "A 62614-2023")</f>
        <v/>
      </c>
      <c r="V549">
        <f>HYPERLINK("https://klasma.github.io/Logging_0561/klagomål/A 62614-2023 FSC-klagomål.docx", "A 62614-2023")</f>
        <v/>
      </c>
      <c r="W549">
        <f>HYPERLINK("https://klasma.github.io/Logging_0561/klagomålsmail/A 62614-2023 FSC-klagomål mail.docx", "A 62614-2023")</f>
        <v/>
      </c>
      <c r="X549">
        <f>HYPERLINK("https://klasma.github.io/Logging_0561/tillsyn/A 62614-2023 tillsynsbegäran.docx", "A 62614-2023")</f>
        <v/>
      </c>
      <c r="Y549">
        <f>HYPERLINK("https://klasma.github.io/Logging_0561/tillsynsmail/A 62614-2023 tillsynsbegäran mail.docx", "A 62614-2023")</f>
        <v/>
      </c>
    </row>
    <row r="550" ht="15" customHeight="1">
      <c r="A550" t="inlineStr">
        <is>
          <t>A 63433-2023</t>
        </is>
      </c>
      <c r="B550" s="1" t="n">
        <v>45274</v>
      </c>
      <c r="C550" s="1" t="n">
        <v>45710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5.7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Grönvit nattviol</t>
        </is>
      </c>
      <c r="S550">
        <f>HYPERLINK("https://klasma.github.io/Logging_0561/artfynd/A 63433-2023 artfynd.xlsx", "A 63433-2023")</f>
        <v/>
      </c>
      <c r="T550">
        <f>HYPERLINK("https://klasma.github.io/Logging_0561/kartor/A 63433-2023 karta.png", "A 63433-2023")</f>
        <v/>
      </c>
      <c r="V550">
        <f>HYPERLINK("https://klasma.github.io/Logging_0561/klagomål/A 63433-2023 FSC-klagomål.docx", "A 63433-2023")</f>
        <v/>
      </c>
      <c r="W550">
        <f>HYPERLINK("https://klasma.github.io/Logging_0561/klagomålsmail/A 63433-2023 FSC-klagomål mail.docx", "A 63433-2023")</f>
        <v/>
      </c>
      <c r="X550">
        <f>HYPERLINK("https://klasma.github.io/Logging_0561/tillsyn/A 63433-2023 tillsynsbegäran.docx", "A 63433-2023")</f>
        <v/>
      </c>
      <c r="Y550">
        <f>HYPERLINK("https://klasma.github.io/Logging_0561/tillsynsmail/A 63433-2023 tillsynsbegäran mail.docx", "A 63433-2023")</f>
        <v/>
      </c>
    </row>
    <row r="551" ht="15" customHeight="1">
      <c r="A551" t="inlineStr">
        <is>
          <t>A 63325-2023</t>
        </is>
      </c>
      <c r="B551" s="1" t="n">
        <v>45274</v>
      </c>
      <c r="C551" s="1" t="n">
        <v>45710</v>
      </c>
      <c r="D551" t="inlineStr">
        <is>
          <t>ÖSTERGÖTLANDS LÄN</t>
        </is>
      </c>
      <c r="E551" t="inlineStr">
        <is>
          <t>LINKÖPING</t>
        </is>
      </c>
      <c r="G551" t="n">
        <v>2.2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Tibast</t>
        </is>
      </c>
      <c r="S551">
        <f>HYPERLINK("https://klasma.github.io/Logging_0580/artfynd/A 63325-2023 artfynd.xlsx", "A 63325-2023")</f>
        <v/>
      </c>
      <c r="T551">
        <f>HYPERLINK("https://klasma.github.io/Logging_0580/kartor/A 63325-2023 karta.png", "A 63325-2023")</f>
        <v/>
      </c>
      <c r="V551">
        <f>HYPERLINK("https://klasma.github.io/Logging_0580/klagomål/A 63325-2023 FSC-klagomål.docx", "A 63325-2023")</f>
        <v/>
      </c>
      <c r="W551">
        <f>HYPERLINK("https://klasma.github.io/Logging_0580/klagomålsmail/A 63325-2023 FSC-klagomål mail.docx", "A 63325-2023")</f>
        <v/>
      </c>
      <c r="X551">
        <f>HYPERLINK("https://klasma.github.io/Logging_0580/tillsyn/A 63325-2023 tillsynsbegäran.docx", "A 63325-2023")</f>
        <v/>
      </c>
      <c r="Y551">
        <f>HYPERLINK("https://klasma.github.io/Logging_0580/tillsynsmail/A 63325-2023 tillsynsbegäran mail.docx", "A 63325-2023")</f>
        <v/>
      </c>
    </row>
    <row r="552" ht="15" customHeight="1">
      <c r="A552" t="inlineStr">
        <is>
          <t>A 63558-2023</t>
        </is>
      </c>
      <c r="B552" s="1" t="n">
        <v>45275</v>
      </c>
      <c r="C552" s="1" t="n">
        <v>45710</v>
      </c>
      <c r="D552" t="inlineStr">
        <is>
          <t>ÖSTERGÖTLANDS LÄN</t>
        </is>
      </c>
      <c r="E552" t="inlineStr">
        <is>
          <t>LINKÖPING</t>
        </is>
      </c>
      <c r="G552" t="n">
        <v>5.3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Blåmossa</t>
        </is>
      </c>
      <c r="S552">
        <f>HYPERLINK("https://klasma.github.io/Logging_0580/artfynd/A 63558-2023 artfynd.xlsx", "A 63558-2023")</f>
        <v/>
      </c>
      <c r="T552">
        <f>HYPERLINK("https://klasma.github.io/Logging_0580/kartor/A 63558-2023 karta.png", "A 63558-2023")</f>
        <v/>
      </c>
      <c r="V552">
        <f>HYPERLINK("https://klasma.github.io/Logging_0580/klagomål/A 63558-2023 FSC-klagomål.docx", "A 63558-2023")</f>
        <v/>
      </c>
      <c r="W552">
        <f>HYPERLINK("https://klasma.github.io/Logging_0580/klagomålsmail/A 63558-2023 FSC-klagomål mail.docx", "A 63558-2023")</f>
        <v/>
      </c>
      <c r="X552">
        <f>HYPERLINK("https://klasma.github.io/Logging_0580/tillsyn/A 63558-2023 tillsynsbegäran.docx", "A 63558-2023")</f>
        <v/>
      </c>
      <c r="Y552">
        <f>HYPERLINK("https://klasma.github.io/Logging_0580/tillsynsmail/A 63558-2023 tillsynsbegäran mail.docx", "A 63558-2023")</f>
        <v/>
      </c>
    </row>
    <row r="553" ht="15" customHeight="1">
      <c r="A553" t="inlineStr">
        <is>
          <t>A 63966-2023</t>
        </is>
      </c>
      <c r="B553" s="1" t="n">
        <v>45278</v>
      </c>
      <c r="C553" s="1" t="n">
        <v>45710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Tallticka</t>
        </is>
      </c>
      <c r="S553">
        <f>HYPERLINK("https://klasma.github.io/Logging_0581/artfynd/A 63966-2023 artfynd.xlsx", "A 63966-2023")</f>
        <v/>
      </c>
      <c r="T553">
        <f>HYPERLINK("https://klasma.github.io/Logging_0581/kartor/A 63966-2023 karta.png", "A 63966-2023")</f>
        <v/>
      </c>
      <c r="V553">
        <f>HYPERLINK("https://klasma.github.io/Logging_0581/klagomål/A 63966-2023 FSC-klagomål.docx", "A 63966-2023")</f>
        <v/>
      </c>
      <c r="W553">
        <f>HYPERLINK("https://klasma.github.io/Logging_0581/klagomålsmail/A 63966-2023 FSC-klagomål mail.docx", "A 63966-2023")</f>
        <v/>
      </c>
      <c r="X553">
        <f>HYPERLINK("https://klasma.github.io/Logging_0581/tillsyn/A 63966-2023 tillsynsbegäran.docx", "A 63966-2023")</f>
        <v/>
      </c>
      <c r="Y553">
        <f>HYPERLINK("https://klasma.github.io/Logging_0581/tillsynsmail/A 63966-2023 tillsynsbegäran mail.docx", "A 63966-2023")</f>
        <v/>
      </c>
    </row>
    <row r="554" ht="15" customHeight="1">
      <c r="A554" t="inlineStr">
        <is>
          <t>A 90-2024</t>
        </is>
      </c>
      <c r="B554" s="1" t="n">
        <v>45293</v>
      </c>
      <c r="C554" s="1" t="n">
        <v>45710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Grov fjädermossa</t>
        </is>
      </c>
      <c r="S554">
        <f>HYPERLINK("https://klasma.github.io/Logging_0580/artfynd/A 90-2024 artfynd.xlsx", "A 90-2024")</f>
        <v/>
      </c>
      <c r="T554">
        <f>HYPERLINK("https://klasma.github.io/Logging_0580/kartor/A 90-2024 karta.png", "A 90-2024")</f>
        <v/>
      </c>
      <c r="V554">
        <f>HYPERLINK("https://klasma.github.io/Logging_0580/klagomål/A 90-2024 FSC-klagomål.docx", "A 90-2024")</f>
        <v/>
      </c>
      <c r="W554">
        <f>HYPERLINK("https://klasma.github.io/Logging_0580/klagomålsmail/A 90-2024 FSC-klagomål mail.docx", "A 90-2024")</f>
        <v/>
      </c>
      <c r="X554">
        <f>HYPERLINK("https://klasma.github.io/Logging_0580/tillsyn/A 90-2024 tillsynsbegäran.docx", "A 90-2024")</f>
        <v/>
      </c>
      <c r="Y554">
        <f>HYPERLINK("https://klasma.github.io/Logging_0580/tillsynsmail/A 90-2024 tillsynsbegäran mail.docx", "A 90-2024")</f>
        <v/>
      </c>
    </row>
    <row r="555" ht="15" customHeight="1">
      <c r="A555" t="inlineStr">
        <is>
          <t>A 145-2024</t>
        </is>
      </c>
      <c r="B555" s="1" t="n">
        <v>45294</v>
      </c>
      <c r="C555" s="1" t="n">
        <v>45710</v>
      </c>
      <c r="D555" t="inlineStr">
        <is>
          <t>ÖSTERGÖTLANDS LÄN</t>
        </is>
      </c>
      <c r="E555" t="inlineStr">
        <is>
          <t>KINDA</t>
        </is>
      </c>
      <c r="G555" t="n">
        <v>4.9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Ekgetingbock</t>
        </is>
      </c>
      <c r="S555">
        <f>HYPERLINK("https://klasma.github.io/Logging_0513/artfynd/A 145-2024 artfynd.xlsx", "A 145-2024")</f>
        <v/>
      </c>
      <c r="T555">
        <f>HYPERLINK("https://klasma.github.io/Logging_0513/kartor/A 145-2024 karta.png", "A 145-2024")</f>
        <v/>
      </c>
      <c r="V555">
        <f>HYPERLINK("https://klasma.github.io/Logging_0513/klagomål/A 145-2024 FSC-klagomål.docx", "A 145-2024")</f>
        <v/>
      </c>
      <c r="W555">
        <f>HYPERLINK("https://klasma.github.io/Logging_0513/klagomålsmail/A 145-2024 FSC-klagomål mail.docx", "A 145-2024")</f>
        <v/>
      </c>
      <c r="X555">
        <f>HYPERLINK("https://klasma.github.io/Logging_0513/tillsyn/A 145-2024 tillsynsbegäran.docx", "A 145-2024")</f>
        <v/>
      </c>
      <c r="Y555">
        <f>HYPERLINK("https://klasma.github.io/Logging_0513/tillsynsmail/A 145-2024 tillsynsbegäran mail.docx", "A 145-2024")</f>
        <v/>
      </c>
    </row>
    <row r="556" ht="15" customHeight="1">
      <c r="A556" t="inlineStr">
        <is>
          <t>A 126-2024</t>
        </is>
      </c>
      <c r="B556" s="1" t="n">
        <v>45294</v>
      </c>
      <c r="C556" s="1" t="n">
        <v>45710</v>
      </c>
      <c r="D556" t="inlineStr">
        <is>
          <t>ÖSTERGÖTLANDS LÄN</t>
        </is>
      </c>
      <c r="E556" t="inlineStr">
        <is>
          <t>LINKÖPING</t>
        </is>
      </c>
      <c r="G556" t="n">
        <v>1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HYPERLINK("https://klasma.github.io/Logging_0580/artfynd/A 126-2024 artfynd.xlsx", "A 126-2024")</f>
        <v/>
      </c>
      <c r="T556">
        <f>HYPERLINK("https://klasma.github.io/Logging_0580/kartor/A 126-2024 karta.png", "A 126-2024")</f>
        <v/>
      </c>
      <c r="V556">
        <f>HYPERLINK("https://klasma.github.io/Logging_0580/klagomål/A 126-2024 FSC-klagomål.docx", "A 126-2024")</f>
        <v/>
      </c>
      <c r="W556">
        <f>HYPERLINK("https://klasma.github.io/Logging_0580/klagomålsmail/A 126-2024 FSC-klagomål mail.docx", "A 126-2024")</f>
        <v/>
      </c>
      <c r="X556">
        <f>HYPERLINK("https://klasma.github.io/Logging_0580/tillsyn/A 126-2024 tillsynsbegäran.docx", "A 126-2024")</f>
        <v/>
      </c>
      <c r="Y556">
        <f>HYPERLINK("https://klasma.github.io/Logging_0580/tillsynsmail/A 126-2024 tillsynsbegäran mail.docx", "A 126-2024")</f>
        <v/>
      </c>
    </row>
    <row r="557" ht="15" customHeight="1">
      <c r="A557" t="inlineStr">
        <is>
          <t>A 1177-2024</t>
        </is>
      </c>
      <c r="B557" s="1" t="n">
        <v>45302</v>
      </c>
      <c r="C557" s="1" t="n">
        <v>45710</v>
      </c>
      <c r="D557" t="inlineStr">
        <is>
          <t>ÖSTERGÖTLANDS LÄN</t>
        </is>
      </c>
      <c r="E557" t="inlineStr">
        <is>
          <t>FINSPÅNG</t>
        </is>
      </c>
      <c r="G557" t="n">
        <v>6.7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HYPERLINK("https://klasma.github.io/Logging_0562/artfynd/A 1177-2024 artfynd.xlsx", "A 1177-2024")</f>
        <v/>
      </c>
      <c r="T557">
        <f>HYPERLINK("https://klasma.github.io/Logging_0562/kartor/A 1177-2024 karta.png", "A 1177-2024")</f>
        <v/>
      </c>
      <c r="U557">
        <f>HYPERLINK("https://klasma.github.io/Logging_0562/knärot/A 1177-2024 karta knärot.png", "A 1177-2024")</f>
        <v/>
      </c>
      <c r="V557">
        <f>HYPERLINK("https://klasma.github.io/Logging_0562/klagomål/A 1177-2024 FSC-klagomål.docx", "A 1177-2024")</f>
        <v/>
      </c>
      <c r="W557">
        <f>HYPERLINK("https://klasma.github.io/Logging_0562/klagomålsmail/A 1177-2024 FSC-klagomål mail.docx", "A 1177-2024")</f>
        <v/>
      </c>
      <c r="X557">
        <f>HYPERLINK("https://klasma.github.io/Logging_0562/tillsyn/A 1177-2024 tillsynsbegäran.docx", "A 1177-2024")</f>
        <v/>
      </c>
      <c r="Y557">
        <f>HYPERLINK("https://klasma.github.io/Logging_0562/tillsynsmail/A 1177-2024 tillsynsbegäran mail.docx", "A 1177-2024")</f>
        <v/>
      </c>
    </row>
    <row r="558" ht="15" customHeight="1">
      <c r="A558" t="inlineStr">
        <is>
          <t>A 1734-2024</t>
        </is>
      </c>
      <c r="B558" s="1" t="n">
        <v>45307</v>
      </c>
      <c r="C558" s="1" t="n">
        <v>45710</v>
      </c>
      <c r="D558" t="inlineStr">
        <is>
          <t>ÖSTERGÖTLANDS LÄN</t>
        </is>
      </c>
      <c r="E558" t="inlineStr">
        <is>
          <t>NORRKÖPING</t>
        </is>
      </c>
      <c r="G558" t="n">
        <v>7.5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Gröngöling</t>
        </is>
      </c>
      <c r="S558">
        <f>HYPERLINK("https://klasma.github.io/Logging_0581/artfynd/A 1734-2024 artfynd.xlsx", "A 1734-2024")</f>
        <v/>
      </c>
      <c r="T558">
        <f>HYPERLINK("https://klasma.github.io/Logging_0581/kartor/A 1734-2024 karta.png", "A 1734-2024")</f>
        <v/>
      </c>
      <c r="V558">
        <f>HYPERLINK("https://klasma.github.io/Logging_0581/klagomål/A 1734-2024 FSC-klagomål.docx", "A 1734-2024")</f>
        <v/>
      </c>
      <c r="W558">
        <f>HYPERLINK("https://klasma.github.io/Logging_0581/klagomålsmail/A 1734-2024 FSC-klagomål mail.docx", "A 1734-2024")</f>
        <v/>
      </c>
      <c r="X558">
        <f>HYPERLINK("https://klasma.github.io/Logging_0581/tillsyn/A 1734-2024 tillsynsbegäran.docx", "A 1734-2024")</f>
        <v/>
      </c>
      <c r="Y558">
        <f>HYPERLINK("https://klasma.github.io/Logging_0581/tillsynsmail/A 1734-2024 tillsynsbegäran mail.docx", "A 1734-2024")</f>
        <v/>
      </c>
      <c r="Z558">
        <f>HYPERLINK("https://klasma.github.io/Logging_0581/fåglar/A 1734-2024 prioriterade fågelarter.docx", "A 1734-2024")</f>
        <v/>
      </c>
    </row>
    <row r="559" ht="15" customHeight="1">
      <c r="A559" t="inlineStr">
        <is>
          <t>A 2033-2024</t>
        </is>
      </c>
      <c r="B559" s="1" t="n">
        <v>45308</v>
      </c>
      <c r="C559" s="1" t="n">
        <v>45710</v>
      </c>
      <c r="D559" t="inlineStr">
        <is>
          <t>ÖSTERGÖTLANDS LÄN</t>
        </is>
      </c>
      <c r="E559" t="inlineStr">
        <is>
          <t>ÅTVIDABERG</t>
        </is>
      </c>
      <c r="G559" t="n">
        <v>2.7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HYPERLINK("https://klasma.github.io/Logging_0561/artfynd/A 2033-2024 artfynd.xlsx", "A 2033-2024")</f>
        <v/>
      </c>
      <c r="T559">
        <f>HYPERLINK("https://klasma.github.io/Logging_0561/kartor/A 2033-2024 karta.png", "A 2033-2024")</f>
        <v/>
      </c>
      <c r="V559">
        <f>HYPERLINK("https://klasma.github.io/Logging_0561/klagomål/A 2033-2024 FSC-klagomål.docx", "A 2033-2024")</f>
        <v/>
      </c>
      <c r="W559">
        <f>HYPERLINK("https://klasma.github.io/Logging_0561/klagomålsmail/A 2033-2024 FSC-klagomål mail.docx", "A 2033-2024")</f>
        <v/>
      </c>
      <c r="X559">
        <f>HYPERLINK("https://klasma.github.io/Logging_0561/tillsyn/A 2033-2024 tillsynsbegäran.docx", "A 2033-2024")</f>
        <v/>
      </c>
      <c r="Y559">
        <f>HYPERLINK("https://klasma.github.io/Logging_0561/tillsynsmail/A 2033-2024 tillsynsbegäran mail.docx", "A 2033-2024")</f>
        <v/>
      </c>
    </row>
    <row r="560" ht="15" customHeight="1">
      <c r="A560" t="inlineStr">
        <is>
          <t>A 3378-2024</t>
        </is>
      </c>
      <c r="B560" s="1" t="n">
        <v>45317</v>
      </c>
      <c r="C560" s="1" t="n">
        <v>45710</v>
      </c>
      <c r="D560" t="inlineStr">
        <is>
          <t>ÖSTERGÖTLANDS LÄN</t>
        </is>
      </c>
      <c r="E560" t="inlineStr">
        <is>
          <t>KINDA</t>
        </is>
      </c>
      <c r="G560" t="n">
        <v>4.7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Stubbspretmossa</t>
        </is>
      </c>
      <c r="S560">
        <f>HYPERLINK("https://klasma.github.io/Logging_0513/artfynd/A 3378-2024 artfynd.xlsx", "A 3378-2024")</f>
        <v/>
      </c>
      <c r="T560">
        <f>HYPERLINK("https://klasma.github.io/Logging_0513/kartor/A 3378-2024 karta.png", "A 3378-2024")</f>
        <v/>
      </c>
      <c r="V560">
        <f>HYPERLINK("https://klasma.github.io/Logging_0513/klagomål/A 3378-2024 FSC-klagomål.docx", "A 3378-2024")</f>
        <v/>
      </c>
      <c r="W560">
        <f>HYPERLINK("https://klasma.github.io/Logging_0513/klagomålsmail/A 3378-2024 FSC-klagomål mail.docx", "A 3378-2024")</f>
        <v/>
      </c>
      <c r="X560">
        <f>HYPERLINK("https://klasma.github.io/Logging_0513/tillsyn/A 3378-2024 tillsynsbegäran.docx", "A 3378-2024")</f>
        <v/>
      </c>
      <c r="Y560">
        <f>HYPERLINK("https://klasma.github.io/Logging_0513/tillsynsmail/A 3378-2024 tillsynsbegäran mail.docx", "A 3378-2024")</f>
        <v/>
      </c>
    </row>
    <row r="561" ht="15" customHeight="1">
      <c r="A561" t="inlineStr">
        <is>
          <t>A 3537-2024</t>
        </is>
      </c>
      <c r="B561" s="1" t="n">
        <v>45320</v>
      </c>
      <c r="C561" s="1" t="n">
        <v>45710</v>
      </c>
      <c r="D561" t="inlineStr">
        <is>
          <t>ÖSTERGÖTLANDS LÄN</t>
        </is>
      </c>
      <c r="E561" t="inlineStr">
        <is>
          <t>LINKÖPING</t>
        </is>
      </c>
      <c r="G561" t="n">
        <v>1.1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Svart trolldruva</t>
        </is>
      </c>
      <c r="S561">
        <f>HYPERLINK("https://klasma.github.io/Logging_0580/artfynd/A 3537-2024 artfynd.xlsx", "A 3537-2024")</f>
        <v/>
      </c>
      <c r="T561">
        <f>HYPERLINK("https://klasma.github.io/Logging_0580/kartor/A 3537-2024 karta.png", "A 3537-2024")</f>
        <v/>
      </c>
      <c r="V561">
        <f>HYPERLINK("https://klasma.github.io/Logging_0580/klagomål/A 3537-2024 FSC-klagomål.docx", "A 3537-2024")</f>
        <v/>
      </c>
      <c r="W561">
        <f>HYPERLINK("https://klasma.github.io/Logging_0580/klagomålsmail/A 3537-2024 FSC-klagomål mail.docx", "A 3537-2024")</f>
        <v/>
      </c>
      <c r="X561">
        <f>HYPERLINK("https://klasma.github.io/Logging_0580/tillsyn/A 3537-2024 tillsynsbegäran.docx", "A 3537-2024")</f>
        <v/>
      </c>
      <c r="Y561">
        <f>HYPERLINK("https://klasma.github.io/Logging_0580/tillsynsmail/A 3537-2024 tillsynsbegäran mail.docx", "A 3537-2024")</f>
        <v/>
      </c>
    </row>
    <row r="562" ht="15" customHeight="1">
      <c r="A562" t="inlineStr">
        <is>
          <t>A 4006-2024</t>
        </is>
      </c>
      <c r="B562" s="1" t="n">
        <v>45323</v>
      </c>
      <c r="C562" s="1" t="n">
        <v>45710</v>
      </c>
      <c r="D562" t="inlineStr">
        <is>
          <t>ÖSTERGÖTLANDS LÄN</t>
        </is>
      </c>
      <c r="E562" t="inlineStr">
        <is>
          <t>ÅTVIDABERG</t>
        </is>
      </c>
      <c r="G562" t="n">
        <v>1.8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Gulfotsskölding</t>
        </is>
      </c>
      <c r="S562">
        <f>HYPERLINK("https://klasma.github.io/Logging_0561/artfynd/A 4006-2024 artfynd.xlsx", "A 4006-2024")</f>
        <v/>
      </c>
      <c r="T562">
        <f>HYPERLINK("https://klasma.github.io/Logging_0561/kartor/A 4006-2024 karta.png", "A 4006-2024")</f>
        <v/>
      </c>
      <c r="V562">
        <f>HYPERLINK("https://klasma.github.io/Logging_0561/klagomål/A 4006-2024 FSC-klagomål.docx", "A 4006-2024")</f>
        <v/>
      </c>
      <c r="W562">
        <f>HYPERLINK("https://klasma.github.io/Logging_0561/klagomålsmail/A 4006-2024 FSC-klagomål mail.docx", "A 4006-2024")</f>
        <v/>
      </c>
      <c r="X562">
        <f>HYPERLINK("https://klasma.github.io/Logging_0561/tillsyn/A 4006-2024 tillsynsbegäran.docx", "A 4006-2024")</f>
        <v/>
      </c>
      <c r="Y562">
        <f>HYPERLINK("https://klasma.github.io/Logging_0561/tillsynsmail/A 4006-2024 tillsynsbegäran mail.docx", "A 4006-2024")</f>
        <v/>
      </c>
    </row>
    <row r="563" ht="15" customHeight="1">
      <c r="A563" t="inlineStr">
        <is>
          <t>A 4149-2024</t>
        </is>
      </c>
      <c r="B563" s="1" t="n">
        <v>45323</v>
      </c>
      <c r="C563" s="1" t="n">
        <v>45710</v>
      </c>
      <c r="D563" t="inlineStr">
        <is>
          <t>ÖSTERGÖTLANDS LÄN</t>
        </is>
      </c>
      <c r="E563" t="inlineStr">
        <is>
          <t>ÅTVIDABERG</t>
        </is>
      </c>
      <c r="G563" t="n">
        <v>2.2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HYPERLINK("https://klasma.github.io/Logging_0561/artfynd/A 4149-2024 artfynd.xlsx", "A 4149-2024")</f>
        <v/>
      </c>
      <c r="T563">
        <f>HYPERLINK("https://klasma.github.io/Logging_0561/kartor/A 4149-2024 karta.png", "A 4149-2024")</f>
        <v/>
      </c>
      <c r="U563">
        <f>HYPERLINK("https://klasma.github.io/Logging_0561/knärot/A 4149-2024 karta knärot.png", "A 4149-2024")</f>
        <v/>
      </c>
      <c r="V563">
        <f>HYPERLINK("https://klasma.github.io/Logging_0561/klagomål/A 4149-2024 FSC-klagomål.docx", "A 4149-2024")</f>
        <v/>
      </c>
      <c r="W563">
        <f>HYPERLINK("https://klasma.github.io/Logging_0561/klagomålsmail/A 4149-2024 FSC-klagomål mail.docx", "A 4149-2024")</f>
        <v/>
      </c>
      <c r="X563">
        <f>HYPERLINK("https://klasma.github.io/Logging_0561/tillsyn/A 4149-2024 tillsynsbegäran.docx", "A 4149-2024")</f>
        <v/>
      </c>
      <c r="Y563">
        <f>HYPERLINK("https://klasma.github.io/Logging_0561/tillsynsmail/A 4149-2024 tillsynsbegäran mail.docx", "A 4149-2024")</f>
        <v/>
      </c>
    </row>
    <row r="564" ht="15" customHeight="1">
      <c r="A564" t="inlineStr">
        <is>
          <t>A 4543-2024</t>
        </is>
      </c>
      <c r="B564" s="1" t="n">
        <v>45327</v>
      </c>
      <c r="C564" s="1" t="n">
        <v>45710</v>
      </c>
      <c r="D564" t="inlineStr">
        <is>
          <t>ÖSTERGÖTLANDS LÄN</t>
        </is>
      </c>
      <c r="E564" t="inlineStr">
        <is>
          <t>FINSPÅNG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Nätådrig parkmätare</t>
        </is>
      </c>
      <c r="S564">
        <f>HYPERLINK("https://klasma.github.io/Logging_0562/artfynd/A 4543-2024 artfynd.xlsx", "A 4543-2024")</f>
        <v/>
      </c>
      <c r="T564">
        <f>HYPERLINK("https://klasma.github.io/Logging_0562/kartor/A 4543-2024 karta.png", "A 4543-2024")</f>
        <v/>
      </c>
      <c r="V564">
        <f>HYPERLINK("https://klasma.github.io/Logging_0562/klagomål/A 4543-2024 FSC-klagomål.docx", "A 4543-2024")</f>
        <v/>
      </c>
      <c r="W564">
        <f>HYPERLINK("https://klasma.github.io/Logging_0562/klagomålsmail/A 4543-2024 FSC-klagomål mail.docx", "A 4543-2024")</f>
        <v/>
      </c>
      <c r="X564">
        <f>HYPERLINK("https://klasma.github.io/Logging_0562/tillsyn/A 4543-2024 tillsynsbegäran.docx", "A 4543-2024")</f>
        <v/>
      </c>
      <c r="Y564">
        <f>HYPERLINK("https://klasma.github.io/Logging_0562/tillsynsmail/A 4543-2024 tillsynsbegäran mail.docx", "A 4543-2024")</f>
        <v/>
      </c>
    </row>
    <row r="565" ht="15" customHeight="1">
      <c r="A565" t="inlineStr">
        <is>
          <t>A 4644-2024</t>
        </is>
      </c>
      <c r="B565" s="1" t="n">
        <v>45328</v>
      </c>
      <c r="C565" s="1" t="n">
        <v>45710</v>
      </c>
      <c r="D565" t="inlineStr">
        <is>
          <t>ÖSTERGÖTLANDS LÄN</t>
        </is>
      </c>
      <c r="E565" t="inlineStr">
        <is>
          <t>FINSPÅNG</t>
        </is>
      </c>
      <c r="G565" t="n">
        <v>5.3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Kungsörn</t>
        </is>
      </c>
      <c r="S565">
        <f>HYPERLINK("https://klasma.github.io/Logging_0562/artfynd/A 4644-2024 artfynd.xlsx", "A 4644-2024")</f>
        <v/>
      </c>
      <c r="T565">
        <f>HYPERLINK("https://klasma.github.io/Logging_0562/kartor/A 4644-2024 karta.png", "A 4644-2024")</f>
        <v/>
      </c>
      <c r="V565">
        <f>HYPERLINK("https://klasma.github.io/Logging_0562/klagomål/A 4644-2024 FSC-klagomål.docx", "A 4644-2024")</f>
        <v/>
      </c>
      <c r="W565">
        <f>HYPERLINK("https://klasma.github.io/Logging_0562/klagomålsmail/A 4644-2024 FSC-klagomål mail.docx", "A 4644-2024")</f>
        <v/>
      </c>
      <c r="X565">
        <f>HYPERLINK("https://klasma.github.io/Logging_0562/tillsyn/A 4644-2024 tillsynsbegäran.docx", "A 4644-2024")</f>
        <v/>
      </c>
      <c r="Y565">
        <f>HYPERLINK("https://klasma.github.io/Logging_0562/tillsynsmail/A 4644-2024 tillsynsbegäran mail.docx", "A 4644-2024")</f>
        <v/>
      </c>
      <c r="Z565">
        <f>HYPERLINK("https://klasma.github.io/Logging_0562/fåglar/A 4644-2024 prioriterade fågelarter.docx", "A 4644-2024")</f>
        <v/>
      </c>
    </row>
    <row r="566" ht="15" customHeight="1">
      <c r="A566" t="inlineStr">
        <is>
          <t>A 4734-2024</t>
        </is>
      </c>
      <c r="B566" s="1" t="n">
        <v>45328</v>
      </c>
      <c r="C566" s="1" t="n">
        <v>45710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Kyrkan</t>
        </is>
      </c>
      <c r="G566" t="n">
        <v>1.1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Sotlav</t>
        </is>
      </c>
      <c r="S566">
        <f>HYPERLINK("https://klasma.github.io/Logging_0561/artfynd/A 4734-2024 artfynd.xlsx", "A 4734-2024")</f>
        <v/>
      </c>
      <c r="T566">
        <f>HYPERLINK("https://klasma.github.io/Logging_0561/kartor/A 4734-2024 karta.png", "A 4734-2024")</f>
        <v/>
      </c>
      <c r="V566">
        <f>HYPERLINK("https://klasma.github.io/Logging_0561/klagomål/A 4734-2024 FSC-klagomål.docx", "A 4734-2024")</f>
        <v/>
      </c>
      <c r="W566">
        <f>HYPERLINK("https://klasma.github.io/Logging_0561/klagomålsmail/A 4734-2024 FSC-klagomål mail.docx", "A 4734-2024")</f>
        <v/>
      </c>
      <c r="X566">
        <f>HYPERLINK("https://klasma.github.io/Logging_0561/tillsyn/A 4734-2024 tillsynsbegäran.docx", "A 4734-2024")</f>
        <v/>
      </c>
      <c r="Y566">
        <f>HYPERLINK("https://klasma.github.io/Logging_0561/tillsynsmail/A 4734-2024 tillsynsbegäran mail.docx", "A 4734-2024")</f>
        <v/>
      </c>
    </row>
    <row r="567" ht="15" customHeight="1">
      <c r="A567" t="inlineStr">
        <is>
          <t>A 5410-2024</t>
        </is>
      </c>
      <c r="B567" s="1" t="n">
        <v>45331</v>
      </c>
      <c r="C567" s="1" t="n">
        <v>45710</v>
      </c>
      <c r="D567" t="inlineStr">
        <is>
          <t>ÖSTERGÖTLANDS LÄN</t>
        </is>
      </c>
      <c r="E567" t="inlineStr">
        <is>
          <t>VALDEMARSVIK</t>
        </is>
      </c>
      <c r="G567" t="n">
        <v>1.4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Bronshjon</t>
        </is>
      </c>
      <c r="S567">
        <f>HYPERLINK("https://klasma.github.io/Logging_0563/artfynd/A 5410-2024 artfynd.xlsx", "A 5410-2024")</f>
        <v/>
      </c>
      <c r="T567">
        <f>HYPERLINK("https://klasma.github.io/Logging_0563/kartor/A 5410-2024 karta.png", "A 5410-2024")</f>
        <v/>
      </c>
      <c r="V567">
        <f>HYPERLINK("https://klasma.github.io/Logging_0563/klagomål/A 5410-2024 FSC-klagomål.docx", "A 5410-2024")</f>
        <v/>
      </c>
      <c r="W567">
        <f>HYPERLINK("https://klasma.github.io/Logging_0563/klagomålsmail/A 5410-2024 FSC-klagomål mail.docx", "A 5410-2024")</f>
        <v/>
      </c>
      <c r="X567">
        <f>HYPERLINK("https://klasma.github.io/Logging_0563/tillsyn/A 5410-2024 tillsynsbegäran.docx", "A 5410-2024")</f>
        <v/>
      </c>
      <c r="Y567">
        <f>HYPERLINK("https://klasma.github.io/Logging_0563/tillsynsmail/A 5410-2024 tillsynsbegäran mail.docx", "A 5410-2024")</f>
        <v/>
      </c>
    </row>
    <row r="568" ht="15" customHeight="1">
      <c r="A568" t="inlineStr">
        <is>
          <t>A 5414-2024</t>
        </is>
      </c>
      <c r="B568" s="1" t="n">
        <v>45331</v>
      </c>
      <c r="C568" s="1" t="n">
        <v>45710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Tallticka</t>
        </is>
      </c>
      <c r="S568">
        <f>HYPERLINK("https://klasma.github.io/Logging_0563/artfynd/A 5414-2024 artfynd.xlsx", "A 5414-2024")</f>
        <v/>
      </c>
      <c r="T568">
        <f>HYPERLINK("https://klasma.github.io/Logging_0563/kartor/A 5414-2024 karta.png", "A 5414-2024")</f>
        <v/>
      </c>
      <c r="V568">
        <f>HYPERLINK("https://klasma.github.io/Logging_0563/klagomål/A 5414-2024 FSC-klagomål.docx", "A 5414-2024")</f>
        <v/>
      </c>
      <c r="W568">
        <f>HYPERLINK("https://klasma.github.io/Logging_0563/klagomålsmail/A 5414-2024 FSC-klagomål mail.docx", "A 5414-2024")</f>
        <v/>
      </c>
      <c r="X568">
        <f>HYPERLINK("https://klasma.github.io/Logging_0563/tillsyn/A 5414-2024 tillsynsbegäran.docx", "A 5414-2024")</f>
        <v/>
      </c>
      <c r="Y568">
        <f>HYPERLINK("https://klasma.github.io/Logging_0563/tillsynsmail/A 5414-2024 tillsynsbegäran mail.docx", "A 5414-2024")</f>
        <v/>
      </c>
    </row>
    <row r="569" ht="15" customHeight="1">
      <c r="A569" t="inlineStr">
        <is>
          <t>A 5742-2024</t>
        </is>
      </c>
      <c r="B569" s="1" t="n">
        <v>45335</v>
      </c>
      <c r="C569" s="1" t="n">
        <v>45710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3.1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Grönpyrola</t>
        </is>
      </c>
      <c r="S569">
        <f>HYPERLINK("https://klasma.github.io/Logging_0562/artfynd/A 5742-2024 artfynd.xlsx", "A 5742-2024")</f>
        <v/>
      </c>
      <c r="T569">
        <f>HYPERLINK("https://klasma.github.io/Logging_0562/kartor/A 5742-2024 karta.png", "A 5742-2024")</f>
        <v/>
      </c>
      <c r="V569">
        <f>HYPERLINK("https://klasma.github.io/Logging_0562/klagomål/A 5742-2024 FSC-klagomål.docx", "A 5742-2024")</f>
        <v/>
      </c>
      <c r="W569">
        <f>HYPERLINK("https://klasma.github.io/Logging_0562/klagomålsmail/A 5742-2024 FSC-klagomål mail.docx", "A 5742-2024")</f>
        <v/>
      </c>
      <c r="X569">
        <f>HYPERLINK("https://klasma.github.io/Logging_0562/tillsyn/A 5742-2024 tillsynsbegäran.docx", "A 5742-2024")</f>
        <v/>
      </c>
      <c r="Y569">
        <f>HYPERLINK("https://klasma.github.io/Logging_0562/tillsynsmail/A 5742-2024 tillsynsbegäran mail.docx", "A 5742-2024")</f>
        <v/>
      </c>
    </row>
    <row r="570" ht="15" customHeight="1">
      <c r="A570" t="inlineStr">
        <is>
          <t>A 5873-2024</t>
        </is>
      </c>
      <c r="B570" s="1" t="n">
        <v>45335</v>
      </c>
      <c r="C570" s="1" t="n">
        <v>45710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6.7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Ullticka</t>
        </is>
      </c>
      <c r="S570">
        <f>HYPERLINK("https://klasma.github.io/Logging_0580/artfynd/A 5873-2024 artfynd.xlsx", "A 5873-2024")</f>
        <v/>
      </c>
      <c r="T570">
        <f>HYPERLINK("https://klasma.github.io/Logging_0580/kartor/A 5873-2024 karta.png", "A 5873-2024")</f>
        <v/>
      </c>
      <c r="V570">
        <f>HYPERLINK("https://klasma.github.io/Logging_0580/klagomål/A 5873-2024 FSC-klagomål.docx", "A 5873-2024")</f>
        <v/>
      </c>
      <c r="W570">
        <f>HYPERLINK("https://klasma.github.io/Logging_0580/klagomålsmail/A 5873-2024 FSC-klagomål mail.docx", "A 5873-2024")</f>
        <v/>
      </c>
      <c r="X570">
        <f>HYPERLINK("https://klasma.github.io/Logging_0580/tillsyn/A 5873-2024 tillsynsbegäran.docx", "A 5873-2024")</f>
        <v/>
      </c>
      <c r="Y570">
        <f>HYPERLINK("https://klasma.github.io/Logging_0580/tillsynsmail/A 5873-2024 tillsynsbegäran mail.docx", "A 5873-2024")</f>
        <v/>
      </c>
    </row>
    <row r="571" ht="15" customHeight="1">
      <c r="A571" t="inlineStr">
        <is>
          <t>A 5887-2024</t>
        </is>
      </c>
      <c r="B571" s="1" t="n">
        <v>45335</v>
      </c>
      <c r="C571" s="1" t="n">
        <v>45710</v>
      </c>
      <c r="D571" t="inlineStr">
        <is>
          <t>ÖSTERGÖTLANDS LÄN</t>
        </is>
      </c>
      <c r="E571" t="inlineStr">
        <is>
          <t>VALDEMARSVIK</t>
        </is>
      </c>
      <c r="G571" t="n">
        <v>1.6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Mindre märgborre</t>
        </is>
      </c>
      <c r="S571">
        <f>HYPERLINK("https://klasma.github.io/Logging_0563/artfynd/A 5887-2024 artfynd.xlsx", "A 5887-2024")</f>
        <v/>
      </c>
      <c r="T571">
        <f>HYPERLINK("https://klasma.github.io/Logging_0563/kartor/A 5887-2024 karta.png", "A 5887-2024")</f>
        <v/>
      </c>
      <c r="V571">
        <f>HYPERLINK("https://klasma.github.io/Logging_0563/klagomål/A 5887-2024 FSC-klagomål.docx", "A 5887-2024")</f>
        <v/>
      </c>
      <c r="W571">
        <f>HYPERLINK("https://klasma.github.io/Logging_0563/klagomålsmail/A 5887-2024 FSC-klagomål mail.docx", "A 5887-2024")</f>
        <v/>
      </c>
      <c r="X571">
        <f>HYPERLINK("https://klasma.github.io/Logging_0563/tillsyn/A 5887-2024 tillsynsbegäran.docx", "A 5887-2024")</f>
        <v/>
      </c>
      <c r="Y571">
        <f>HYPERLINK("https://klasma.github.io/Logging_0563/tillsynsmail/A 5887-2024 tillsynsbegäran mail.docx", "A 5887-2024")</f>
        <v/>
      </c>
    </row>
    <row r="572" ht="15" customHeight="1">
      <c r="A572" t="inlineStr">
        <is>
          <t>A 6116-2024</t>
        </is>
      </c>
      <c r="B572" s="1" t="n">
        <v>45337</v>
      </c>
      <c r="C572" s="1" t="n">
        <v>45710</v>
      </c>
      <c r="D572" t="inlineStr">
        <is>
          <t>ÖSTERGÖTLANDS LÄN</t>
        </is>
      </c>
      <c r="E572" t="inlineStr">
        <is>
          <t>NORRKÖPING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HYPERLINK("https://klasma.github.io/Logging_0581/artfynd/A 6116-2024 artfynd.xlsx", "A 6116-2024")</f>
        <v/>
      </c>
      <c r="T572">
        <f>HYPERLINK("https://klasma.github.io/Logging_0581/kartor/A 6116-2024 karta.png", "A 6116-2024")</f>
        <v/>
      </c>
      <c r="V572">
        <f>HYPERLINK("https://klasma.github.io/Logging_0581/klagomål/A 6116-2024 FSC-klagomål.docx", "A 6116-2024")</f>
        <v/>
      </c>
      <c r="W572">
        <f>HYPERLINK("https://klasma.github.io/Logging_0581/klagomålsmail/A 6116-2024 FSC-klagomål mail.docx", "A 6116-2024")</f>
        <v/>
      </c>
      <c r="X572">
        <f>HYPERLINK("https://klasma.github.io/Logging_0581/tillsyn/A 6116-2024 tillsynsbegäran.docx", "A 6116-2024")</f>
        <v/>
      </c>
      <c r="Y572">
        <f>HYPERLINK("https://klasma.github.io/Logging_0581/tillsynsmail/A 6116-2024 tillsynsbegäran mail.docx", "A 6116-2024")</f>
        <v/>
      </c>
    </row>
    <row r="573" ht="15" customHeight="1">
      <c r="A573" t="inlineStr">
        <is>
          <t>A 6115-2024</t>
        </is>
      </c>
      <c r="B573" s="1" t="n">
        <v>45337</v>
      </c>
      <c r="C573" s="1" t="n">
        <v>45710</v>
      </c>
      <c r="D573" t="inlineStr">
        <is>
          <t>ÖSTERGÖTLANDS LÄN</t>
        </is>
      </c>
      <c r="E573" t="inlineStr">
        <is>
          <t>VALDEMARSVIK</t>
        </is>
      </c>
      <c r="G573" t="n">
        <v>1.4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Knärot</t>
        </is>
      </c>
      <c r="S573">
        <f>HYPERLINK("https://klasma.github.io/Logging_0563/artfynd/A 6115-2024 artfynd.xlsx", "A 6115-2024")</f>
        <v/>
      </c>
      <c r="T573">
        <f>HYPERLINK("https://klasma.github.io/Logging_0563/kartor/A 6115-2024 karta.png", "A 6115-2024")</f>
        <v/>
      </c>
      <c r="U573">
        <f>HYPERLINK("https://klasma.github.io/Logging_0563/knärot/A 6115-2024 karta knärot.png", "A 6115-2024")</f>
        <v/>
      </c>
      <c r="V573">
        <f>HYPERLINK("https://klasma.github.io/Logging_0563/klagomål/A 6115-2024 FSC-klagomål.docx", "A 6115-2024")</f>
        <v/>
      </c>
      <c r="W573">
        <f>HYPERLINK("https://klasma.github.io/Logging_0563/klagomålsmail/A 6115-2024 FSC-klagomål mail.docx", "A 6115-2024")</f>
        <v/>
      </c>
      <c r="X573">
        <f>HYPERLINK("https://klasma.github.io/Logging_0563/tillsyn/A 6115-2024 tillsynsbegäran.docx", "A 6115-2024")</f>
        <v/>
      </c>
      <c r="Y573">
        <f>HYPERLINK("https://klasma.github.io/Logging_0563/tillsynsmail/A 6115-2024 tillsynsbegäran mail.docx", "A 6115-2024")</f>
        <v/>
      </c>
    </row>
    <row r="574" ht="15" customHeight="1">
      <c r="A574" t="inlineStr">
        <is>
          <t>A 6127-2024</t>
        </is>
      </c>
      <c r="B574" s="1" t="n">
        <v>45337</v>
      </c>
      <c r="C574" s="1" t="n">
        <v>45710</v>
      </c>
      <c r="D574" t="inlineStr">
        <is>
          <t>ÖSTERGÖTLANDS LÄN</t>
        </is>
      </c>
      <c r="E574" t="inlineStr">
        <is>
          <t>VALDEMARSVIK</t>
        </is>
      </c>
      <c r="G574" t="n">
        <v>3.7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Talltita</t>
        </is>
      </c>
      <c r="S574">
        <f>HYPERLINK("https://klasma.github.io/Logging_0563/artfynd/A 6127-2024 artfynd.xlsx", "A 6127-2024")</f>
        <v/>
      </c>
      <c r="T574">
        <f>HYPERLINK("https://klasma.github.io/Logging_0563/kartor/A 6127-2024 karta.png", "A 6127-2024")</f>
        <v/>
      </c>
      <c r="V574">
        <f>HYPERLINK("https://klasma.github.io/Logging_0563/klagomål/A 6127-2024 FSC-klagomål.docx", "A 6127-2024")</f>
        <v/>
      </c>
      <c r="W574">
        <f>HYPERLINK("https://klasma.github.io/Logging_0563/klagomålsmail/A 6127-2024 FSC-klagomål mail.docx", "A 6127-2024")</f>
        <v/>
      </c>
      <c r="X574">
        <f>HYPERLINK("https://klasma.github.io/Logging_0563/tillsyn/A 6127-2024 tillsynsbegäran.docx", "A 6127-2024")</f>
        <v/>
      </c>
      <c r="Y574">
        <f>HYPERLINK("https://klasma.github.io/Logging_0563/tillsynsmail/A 6127-2024 tillsynsbegäran mail.docx", "A 6127-2024")</f>
        <v/>
      </c>
      <c r="Z574">
        <f>HYPERLINK("https://klasma.github.io/Logging_0563/fåglar/A 6127-2024 prioriterade fågelarter.docx", "A 6127-2024")</f>
        <v/>
      </c>
    </row>
    <row r="575" ht="15" customHeight="1">
      <c r="A575" t="inlineStr">
        <is>
          <t>A 6133-2024</t>
        </is>
      </c>
      <c r="B575" s="1" t="n">
        <v>45337</v>
      </c>
      <c r="C575" s="1" t="n">
        <v>45710</v>
      </c>
      <c r="D575" t="inlineStr">
        <is>
          <t>ÖSTERGÖTLANDS LÄN</t>
        </is>
      </c>
      <c r="E575" t="inlineStr">
        <is>
          <t>VALDEMARSVIK</t>
        </is>
      </c>
      <c r="G575" t="n">
        <v>1.9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Murgröna</t>
        </is>
      </c>
      <c r="S575">
        <f>HYPERLINK("https://klasma.github.io/Logging_0563/artfynd/A 6133-2024 artfynd.xlsx", "A 6133-2024")</f>
        <v/>
      </c>
      <c r="T575">
        <f>HYPERLINK("https://klasma.github.io/Logging_0563/kartor/A 6133-2024 karta.png", "A 6133-2024")</f>
        <v/>
      </c>
      <c r="V575">
        <f>HYPERLINK("https://klasma.github.io/Logging_0563/klagomål/A 6133-2024 FSC-klagomål.docx", "A 6133-2024")</f>
        <v/>
      </c>
      <c r="W575">
        <f>HYPERLINK("https://klasma.github.io/Logging_0563/klagomålsmail/A 6133-2024 FSC-klagomål mail.docx", "A 6133-2024")</f>
        <v/>
      </c>
      <c r="X575">
        <f>HYPERLINK("https://klasma.github.io/Logging_0563/tillsyn/A 6133-2024 tillsynsbegäran.docx", "A 6133-2024")</f>
        <v/>
      </c>
      <c r="Y575">
        <f>HYPERLINK("https://klasma.github.io/Logging_0563/tillsynsmail/A 6133-2024 tillsynsbegäran mail.docx", "A 6133-2024")</f>
        <v/>
      </c>
    </row>
    <row r="576" ht="15" customHeight="1">
      <c r="A576" t="inlineStr">
        <is>
          <t>A 7249-2024</t>
        </is>
      </c>
      <c r="B576" s="1" t="n">
        <v>45344</v>
      </c>
      <c r="C576" s="1" t="n">
        <v>45710</v>
      </c>
      <c r="D576" t="inlineStr">
        <is>
          <t>ÖSTERGÖTLANDS LÄN</t>
        </is>
      </c>
      <c r="E576" t="inlineStr">
        <is>
          <t>VALDEMARSVIK</t>
        </is>
      </c>
      <c r="G576" t="n">
        <v>3.8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Grönpyrola</t>
        </is>
      </c>
      <c r="S576">
        <f>HYPERLINK("https://klasma.github.io/Logging_0563/artfynd/A 7249-2024 artfynd.xlsx", "A 7249-2024")</f>
        <v/>
      </c>
      <c r="T576">
        <f>HYPERLINK("https://klasma.github.io/Logging_0563/kartor/A 7249-2024 karta.png", "A 7249-2024")</f>
        <v/>
      </c>
      <c r="V576">
        <f>HYPERLINK("https://klasma.github.io/Logging_0563/klagomål/A 7249-2024 FSC-klagomål.docx", "A 7249-2024")</f>
        <v/>
      </c>
      <c r="W576">
        <f>HYPERLINK("https://klasma.github.io/Logging_0563/klagomålsmail/A 7249-2024 FSC-klagomål mail.docx", "A 7249-2024")</f>
        <v/>
      </c>
      <c r="X576">
        <f>HYPERLINK("https://klasma.github.io/Logging_0563/tillsyn/A 7249-2024 tillsynsbegäran.docx", "A 7249-2024")</f>
        <v/>
      </c>
      <c r="Y576">
        <f>HYPERLINK("https://klasma.github.io/Logging_0563/tillsynsmail/A 7249-2024 tillsynsbegäran mail.docx", "A 7249-2024")</f>
        <v/>
      </c>
    </row>
    <row r="577" ht="15" customHeight="1">
      <c r="A577" t="inlineStr">
        <is>
          <t>A 7537-2024</t>
        </is>
      </c>
      <c r="B577" s="1" t="n">
        <v>45348</v>
      </c>
      <c r="C577" s="1" t="n">
        <v>45710</v>
      </c>
      <c r="D577" t="inlineStr">
        <is>
          <t>ÖSTERGÖTLANDS LÄN</t>
        </is>
      </c>
      <c r="E577" t="inlineStr">
        <is>
          <t>KINDA</t>
        </is>
      </c>
      <c r="G577" t="n">
        <v>4.3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Kryddspindling</t>
        </is>
      </c>
      <c r="S577">
        <f>HYPERLINK("https://klasma.github.io/Logging_0513/artfynd/A 7537-2024 artfynd.xlsx", "A 7537-2024")</f>
        <v/>
      </c>
      <c r="T577">
        <f>HYPERLINK("https://klasma.github.io/Logging_0513/kartor/A 7537-2024 karta.png", "A 7537-2024")</f>
        <v/>
      </c>
      <c r="V577">
        <f>HYPERLINK("https://klasma.github.io/Logging_0513/klagomål/A 7537-2024 FSC-klagomål.docx", "A 7537-2024")</f>
        <v/>
      </c>
      <c r="W577">
        <f>HYPERLINK("https://klasma.github.io/Logging_0513/klagomålsmail/A 7537-2024 FSC-klagomål mail.docx", "A 7537-2024")</f>
        <v/>
      </c>
      <c r="X577">
        <f>HYPERLINK("https://klasma.github.io/Logging_0513/tillsyn/A 7537-2024 tillsynsbegäran.docx", "A 7537-2024")</f>
        <v/>
      </c>
      <c r="Y577">
        <f>HYPERLINK("https://klasma.github.io/Logging_0513/tillsynsmail/A 7537-2024 tillsynsbegäran mail.docx", "A 7537-2024")</f>
        <v/>
      </c>
    </row>
    <row r="578" ht="15" customHeight="1">
      <c r="A578" t="inlineStr">
        <is>
          <t>A 7650-2024</t>
        </is>
      </c>
      <c r="B578" s="1" t="n">
        <v>45348</v>
      </c>
      <c r="C578" s="1" t="n">
        <v>45710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Kommuner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Parasitsotlav</t>
        </is>
      </c>
      <c r="S578">
        <f>HYPERLINK("https://klasma.github.io/Logging_0581/artfynd/A 7650-2024 artfynd.xlsx", "A 7650-2024")</f>
        <v/>
      </c>
      <c r="T578">
        <f>HYPERLINK("https://klasma.github.io/Logging_0581/kartor/A 7650-2024 karta.png", "A 7650-2024")</f>
        <v/>
      </c>
      <c r="V578">
        <f>HYPERLINK("https://klasma.github.io/Logging_0581/klagomål/A 7650-2024 FSC-klagomål.docx", "A 7650-2024")</f>
        <v/>
      </c>
      <c r="W578">
        <f>HYPERLINK("https://klasma.github.io/Logging_0581/klagomålsmail/A 7650-2024 FSC-klagomål mail.docx", "A 7650-2024")</f>
        <v/>
      </c>
      <c r="X578">
        <f>HYPERLINK("https://klasma.github.io/Logging_0581/tillsyn/A 7650-2024 tillsynsbegäran.docx", "A 7650-2024")</f>
        <v/>
      </c>
      <c r="Y578">
        <f>HYPERLINK("https://klasma.github.io/Logging_0581/tillsynsmail/A 7650-2024 tillsynsbegäran mail.docx", "A 7650-2024")</f>
        <v/>
      </c>
    </row>
    <row r="579" ht="15" customHeight="1">
      <c r="A579" t="inlineStr">
        <is>
          <t>A 7733-2024</t>
        </is>
      </c>
      <c r="B579" s="1" t="n">
        <v>45349</v>
      </c>
      <c r="C579" s="1" t="n">
        <v>45710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Kommuner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Parasitsotlav</t>
        </is>
      </c>
      <c r="S579">
        <f>HYPERLINK("https://klasma.github.io/Logging_0581/artfynd/A 7733-2024 artfynd.xlsx", "A 7733-2024")</f>
        <v/>
      </c>
      <c r="T579">
        <f>HYPERLINK("https://klasma.github.io/Logging_0581/kartor/A 7733-2024 karta.png", "A 7733-2024")</f>
        <v/>
      </c>
      <c r="V579">
        <f>HYPERLINK("https://klasma.github.io/Logging_0581/klagomål/A 7733-2024 FSC-klagomål.docx", "A 7733-2024")</f>
        <v/>
      </c>
      <c r="W579">
        <f>HYPERLINK("https://klasma.github.io/Logging_0581/klagomålsmail/A 7733-2024 FSC-klagomål mail.docx", "A 7733-2024")</f>
        <v/>
      </c>
      <c r="X579">
        <f>HYPERLINK("https://klasma.github.io/Logging_0581/tillsyn/A 7733-2024 tillsynsbegäran.docx", "A 7733-2024")</f>
        <v/>
      </c>
      <c r="Y579">
        <f>HYPERLINK("https://klasma.github.io/Logging_0581/tillsynsmail/A 7733-2024 tillsynsbegäran mail.docx", "A 7733-2024")</f>
        <v/>
      </c>
    </row>
    <row r="580" ht="15" customHeight="1">
      <c r="A580" t="inlineStr">
        <is>
          <t>A 8093-2024</t>
        </is>
      </c>
      <c r="B580" s="1" t="n">
        <v>45351</v>
      </c>
      <c r="C580" s="1" t="n">
        <v>45710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Tibast</t>
        </is>
      </c>
      <c r="S580">
        <f>HYPERLINK("https://klasma.github.io/Logging_0580/artfynd/A 8093-2024 artfynd.xlsx", "A 8093-2024")</f>
        <v/>
      </c>
      <c r="T580">
        <f>HYPERLINK("https://klasma.github.io/Logging_0580/kartor/A 8093-2024 karta.png", "A 8093-2024")</f>
        <v/>
      </c>
      <c r="V580">
        <f>HYPERLINK("https://klasma.github.io/Logging_0580/klagomål/A 8093-2024 FSC-klagomål.docx", "A 8093-2024")</f>
        <v/>
      </c>
      <c r="W580">
        <f>HYPERLINK("https://klasma.github.io/Logging_0580/klagomålsmail/A 8093-2024 FSC-klagomål mail.docx", "A 8093-2024")</f>
        <v/>
      </c>
      <c r="X580">
        <f>HYPERLINK("https://klasma.github.io/Logging_0580/tillsyn/A 8093-2024 tillsynsbegäran.docx", "A 8093-2024")</f>
        <v/>
      </c>
      <c r="Y580">
        <f>HYPERLINK("https://klasma.github.io/Logging_0580/tillsynsmail/A 8093-2024 tillsynsbegäran mail.docx", "A 8093-2024")</f>
        <v/>
      </c>
    </row>
    <row r="581" ht="15" customHeight="1">
      <c r="A581" t="inlineStr">
        <is>
          <t>A 8094-2024</t>
        </is>
      </c>
      <c r="B581" s="1" t="n">
        <v>45351</v>
      </c>
      <c r="C581" s="1" t="n">
        <v>45710</v>
      </c>
      <c r="D581" t="inlineStr">
        <is>
          <t>ÖSTERGÖTLANDS LÄN</t>
        </is>
      </c>
      <c r="E581" t="inlineStr">
        <is>
          <t>MOTALA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1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Ask</t>
        </is>
      </c>
      <c r="S581">
        <f>HYPERLINK("https://klasma.github.io/Logging_0583/artfynd/A 8094-2024 artfynd.xlsx", "A 8094-2024")</f>
        <v/>
      </c>
      <c r="T581">
        <f>HYPERLINK("https://klasma.github.io/Logging_0583/kartor/A 8094-2024 karta.png", "A 8094-2024")</f>
        <v/>
      </c>
      <c r="V581">
        <f>HYPERLINK("https://klasma.github.io/Logging_0583/klagomål/A 8094-2024 FSC-klagomål.docx", "A 8094-2024")</f>
        <v/>
      </c>
      <c r="W581">
        <f>HYPERLINK("https://klasma.github.io/Logging_0583/klagomålsmail/A 8094-2024 FSC-klagomål mail.docx", "A 8094-2024")</f>
        <v/>
      </c>
      <c r="X581">
        <f>HYPERLINK("https://klasma.github.io/Logging_0583/tillsyn/A 8094-2024 tillsynsbegäran.docx", "A 8094-2024")</f>
        <v/>
      </c>
      <c r="Y581">
        <f>HYPERLINK("https://klasma.github.io/Logging_0583/tillsynsmail/A 8094-2024 tillsynsbegäran mail.docx", "A 8094-2024")</f>
        <v/>
      </c>
    </row>
    <row r="582" ht="15" customHeight="1">
      <c r="A582" t="inlineStr">
        <is>
          <t>A 8319-2024</t>
        </is>
      </c>
      <c r="B582" s="1" t="n">
        <v>45352</v>
      </c>
      <c r="C582" s="1" t="n">
        <v>45710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1.4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HYPERLINK("https://klasma.github.io/Logging_0581/artfynd/A 8319-2024 artfynd.xlsx", "A 8319-2024")</f>
        <v/>
      </c>
      <c r="T582">
        <f>HYPERLINK("https://klasma.github.io/Logging_0581/kartor/A 8319-2024 karta.png", "A 8319-2024")</f>
        <v/>
      </c>
      <c r="U582">
        <f>HYPERLINK("https://klasma.github.io/Logging_0581/knärot/A 8319-2024 karta knärot.png", "A 8319-2024")</f>
        <v/>
      </c>
      <c r="V582">
        <f>HYPERLINK("https://klasma.github.io/Logging_0581/klagomål/A 8319-2024 FSC-klagomål.docx", "A 8319-2024")</f>
        <v/>
      </c>
      <c r="W582">
        <f>HYPERLINK("https://klasma.github.io/Logging_0581/klagomålsmail/A 8319-2024 FSC-klagomål mail.docx", "A 8319-2024")</f>
        <v/>
      </c>
      <c r="X582">
        <f>HYPERLINK("https://klasma.github.io/Logging_0581/tillsyn/A 8319-2024 tillsynsbegäran.docx", "A 8319-2024")</f>
        <v/>
      </c>
      <c r="Y582">
        <f>HYPERLINK("https://klasma.github.io/Logging_0581/tillsynsmail/A 8319-2024 tillsynsbegäran mail.docx", "A 8319-2024")</f>
        <v/>
      </c>
    </row>
    <row r="583" ht="15" customHeight="1">
      <c r="A583" t="inlineStr">
        <is>
          <t>A 9198-2024</t>
        </is>
      </c>
      <c r="B583" s="1" t="n">
        <v>45358</v>
      </c>
      <c r="C583" s="1" t="n">
        <v>45710</v>
      </c>
      <c r="D583" t="inlineStr">
        <is>
          <t>ÖSTERGÖTLANDS LÄN</t>
        </is>
      </c>
      <c r="E583" t="inlineStr">
        <is>
          <t>YDRE</t>
        </is>
      </c>
      <c r="G583" t="n">
        <v>1.4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Grönpyrola</t>
        </is>
      </c>
      <c r="S583">
        <f>HYPERLINK("https://klasma.github.io/Logging_0512/artfynd/A 9198-2024 artfynd.xlsx", "A 9198-2024")</f>
        <v/>
      </c>
      <c r="T583">
        <f>HYPERLINK("https://klasma.github.io/Logging_0512/kartor/A 9198-2024 karta.png", "A 9198-2024")</f>
        <v/>
      </c>
      <c r="V583">
        <f>HYPERLINK("https://klasma.github.io/Logging_0512/klagomål/A 9198-2024 FSC-klagomål.docx", "A 9198-2024")</f>
        <v/>
      </c>
      <c r="W583">
        <f>HYPERLINK("https://klasma.github.io/Logging_0512/klagomålsmail/A 9198-2024 FSC-klagomål mail.docx", "A 9198-2024")</f>
        <v/>
      </c>
      <c r="X583">
        <f>HYPERLINK("https://klasma.github.io/Logging_0512/tillsyn/A 9198-2024 tillsynsbegäran.docx", "A 9198-2024")</f>
        <v/>
      </c>
      <c r="Y583">
        <f>HYPERLINK("https://klasma.github.io/Logging_0512/tillsynsmail/A 9198-2024 tillsynsbegäran mail.docx", "A 9198-2024")</f>
        <v/>
      </c>
    </row>
    <row r="584" ht="15" customHeight="1">
      <c r="A584" t="inlineStr">
        <is>
          <t>A 10162-2024</t>
        </is>
      </c>
      <c r="B584" s="1" t="n">
        <v>45364</v>
      </c>
      <c r="C584" s="1" t="n">
        <v>45710</v>
      </c>
      <c r="D584" t="inlineStr">
        <is>
          <t>ÖSTERGÖTLANDS LÄN</t>
        </is>
      </c>
      <c r="E584" t="inlineStr">
        <is>
          <t>BOXHOLM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Grynig filtlav</t>
        </is>
      </c>
      <c r="S584">
        <f>HYPERLINK("https://klasma.github.io/Logging_0560/artfynd/A 10162-2024 artfynd.xlsx", "A 10162-2024")</f>
        <v/>
      </c>
      <c r="T584">
        <f>HYPERLINK("https://klasma.github.io/Logging_0560/kartor/A 10162-2024 karta.png", "A 10162-2024")</f>
        <v/>
      </c>
      <c r="V584">
        <f>HYPERLINK("https://klasma.github.io/Logging_0560/klagomål/A 10162-2024 FSC-klagomål.docx", "A 10162-2024")</f>
        <v/>
      </c>
      <c r="W584">
        <f>HYPERLINK("https://klasma.github.io/Logging_0560/klagomålsmail/A 10162-2024 FSC-klagomål mail.docx", "A 10162-2024")</f>
        <v/>
      </c>
      <c r="X584">
        <f>HYPERLINK("https://klasma.github.io/Logging_0560/tillsyn/A 10162-2024 tillsynsbegäran.docx", "A 10162-2024")</f>
        <v/>
      </c>
      <c r="Y584">
        <f>HYPERLINK("https://klasma.github.io/Logging_0560/tillsynsmail/A 10162-2024 tillsynsbegäran mail.docx", "A 10162-2024")</f>
        <v/>
      </c>
    </row>
    <row r="585" ht="15" customHeight="1">
      <c r="A585" t="inlineStr">
        <is>
          <t>A 10075-2024</t>
        </is>
      </c>
      <c r="B585" s="1" t="n">
        <v>45364</v>
      </c>
      <c r="C585" s="1" t="n">
        <v>45710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Slåttergubbe</t>
        </is>
      </c>
      <c r="S585">
        <f>HYPERLINK("https://klasma.github.io/Logging_0512/artfynd/A 10075-2024 artfynd.xlsx", "A 10075-2024")</f>
        <v/>
      </c>
      <c r="T585">
        <f>HYPERLINK("https://klasma.github.io/Logging_0512/kartor/A 10075-2024 karta.png", "A 10075-2024")</f>
        <v/>
      </c>
      <c r="V585">
        <f>HYPERLINK("https://klasma.github.io/Logging_0512/klagomål/A 10075-2024 FSC-klagomål.docx", "A 10075-2024")</f>
        <v/>
      </c>
      <c r="W585">
        <f>HYPERLINK("https://klasma.github.io/Logging_0512/klagomålsmail/A 10075-2024 FSC-klagomål mail.docx", "A 10075-2024")</f>
        <v/>
      </c>
      <c r="X585">
        <f>HYPERLINK("https://klasma.github.io/Logging_0512/tillsyn/A 10075-2024 tillsynsbegäran.docx", "A 10075-2024")</f>
        <v/>
      </c>
      <c r="Y585">
        <f>HYPERLINK("https://klasma.github.io/Logging_0512/tillsynsmail/A 10075-2024 tillsynsbegäran mail.docx", "A 10075-2024")</f>
        <v/>
      </c>
    </row>
    <row r="586" ht="15" customHeight="1">
      <c r="A586" t="inlineStr">
        <is>
          <t>A 10264-2024</t>
        </is>
      </c>
      <c r="B586" s="1" t="n">
        <v>45365</v>
      </c>
      <c r="C586" s="1" t="n">
        <v>45710</v>
      </c>
      <c r="D586" t="inlineStr">
        <is>
          <t>ÖSTERGÖTLANDS LÄN</t>
        </is>
      </c>
      <c r="E586" t="inlineStr">
        <is>
          <t>MJÖLBY</t>
        </is>
      </c>
      <c r="F586" t="inlineStr">
        <is>
          <t>Kyrkan</t>
        </is>
      </c>
      <c r="G586" t="n">
        <v>3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Spillkråka</t>
        </is>
      </c>
      <c r="S586">
        <f>HYPERLINK("https://klasma.github.io/Logging_0586/artfynd/A 10264-2024 artfynd.xlsx", "A 10264-2024")</f>
        <v/>
      </c>
      <c r="T586">
        <f>HYPERLINK("https://klasma.github.io/Logging_0586/kartor/A 10264-2024 karta.png", "A 10264-2024")</f>
        <v/>
      </c>
      <c r="V586">
        <f>HYPERLINK("https://klasma.github.io/Logging_0586/klagomål/A 10264-2024 FSC-klagomål.docx", "A 10264-2024")</f>
        <v/>
      </c>
      <c r="W586">
        <f>HYPERLINK("https://klasma.github.io/Logging_0586/klagomålsmail/A 10264-2024 FSC-klagomål mail.docx", "A 10264-2024")</f>
        <v/>
      </c>
      <c r="X586">
        <f>HYPERLINK("https://klasma.github.io/Logging_0586/tillsyn/A 10264-2024 tillsynsbegäran.docx", "A 10264-2024")</f>
        <v/>
      </c>
      <c r="Y586">
        <f>HYPERLINK("https://klasma.github.io/Logging_0586/tillsynsmail/A 10264-2024 tillsynsbegäran mail.docx", "A 10264-2024")</f>
        <v/>
      </c>
      <c r="Z586">
        <f>HYPERLINK("https://klasma.github.io/Logging_0586/fåglar/A 10264-2024 prioriterade fågelarter.docx", "A 10264-2024")</f>
        <v/>
      </c>
    </row>
    <row r="587" ht="15" customHeight="1">
      <c r="A587" t="inlineStr">
        <is>
          <t>A 10769-2024</t>
        </is>
      </c>
      <c r="B587" s="1" t="n">
        <v>45369</v>
      </c>
      <c r="C587" s="1" t="n">
        <v>45710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Talltita</t>
        </is>
      </c>
      <c r="S587">
        <f>HYPERLINK("https://klasma.github.io/Logging_0581/artfynd/A 10769-2024 artfynd.xlsx", "A 10769-2024")</f>
        <v/>
      </c>
      <c r="T587">
        <f>HYPERLINK("https://klasma.github.io/Logging_0581/kartor/A 10769-2024 karta.png", "A 10769-2024")</f>
        <v/>
      </c>
      <c r="V587">
        <f>HYPERLINK("https://klasma.github.io/Logging_0581/klagomål/A 10769-2024 FSC-klagomål.docx", "A 10769-2024")</f>
        <v/>
      </c>
      <c r="W587">
        <f>HYPERLINK("https://klasma.github.io/Logging_0581/klagomålsmail/A 10769-2024 FSC-klagomål mail.docx", "A 10769-2024")</f>
        <v/>
      </c>
      <c r="X587">
        <f>HYPERLINK("https://klasma.github.io/Logging_0581/tillsyn/A 10769-2024 tillsynsbegäran.docx", "A 10769-2024")</f>
        <v/>
      </c>
      <c r="Y587">
        <f>HYPERLINK("https://klasma.github.io/Logging_0581/tillsynsmail/A 10769-2024 tillsynsbegäran mail.docx", "A 10769-2024")</f>
        <v/>
      </c>
      <c r="Z587">
        <f>HYPERLINK("https://klasma.github.io/Logging_0581/fåglar/A 10769-2024 prioriterade fågelarter.docx", "A 10769-2024")</f>
        <v/>
      </c>
    </row>
    <row r="588" ht="15" customHeight="1">
      <c r="A588" t="inlineStr">
        <is>
          <t>A 10733-2024</t>
        </is>
      </c>
      <c r="B588" s="1" t="n">
        <v>45369</v>
      </c>
      <c r="C588" s="1" t="n">
        <v>45710</v>
      </c>
      <c r="D588" t="inlineStr">
        <is>
          <t>ÖSTERGÖTLANDS LÄN</t>
        </is>
      </c>
      <c r="E588" t="inlineStr">
        <is>
          <t>BOXHOLM</t>
        </is>
      </c>
      <c r="G588" t="n">
        <v>1.8</v>
      </c>
      <c r="H588" t="n">
        <v>1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Knärot</t>
        </is>
      </c>
      <c r="S588">
        <f>HYPERLINK("https://klasma.github.io/Logging_0560/artfynd/A 10733-2024 artfynd.xlsx", "A 10733-2024")</f>
        <v/>
      </c>
      <c r="T588">
        <f>HYPERLINK("https://klasma.github.io/Logging_0560/kartor/A 10733-2024 karta.png", "A 10733-2024")</f>
        <v/>
      </c>
      <c r="U588">
        <f>HYPERLINK("https://klasma.github.io/Logging_0560/knärot/A 10733-2024 karta knärot.png", "A 10733-2024")</f>
        <v/>
      </c>
      <c r="V588">
        <f>HYPERLINK("https://klasma.github.io/Logging_0560/klagomål/A 10733-2024 FSC-klagomål.docx", "A 10733-2024")</f>
        <v/>
      </c>
      <c r="W588">
        <f>HYPERLINK("https://klasma.github.io/Logging_0560/klagomålsmail/A 10733-2024 FSC-klagomål mail.docx", "A 10733-2024")</f>
        <v/>
      </c>
      <c r="X588">
        <f>HYPERLINK("https://klasma.github.io/Logging_0560/tillsyn/A 10733-2024 tillsynsbegäran.docx", "A 10733-2024")</f>
        <v/>
      </c>
      <c r="Y588">
        <f>HYPERLINK("https://klasma.github.io/Logging_0560/tillsynsmail/A 10733-2024 tillsynsbegäran mail.docx", "A 10733-2024")</f>
        <v/>
      </c>
    </row>
    <row r="589" ht="15" customHeight="1">
      <c r="A589" t="inlineStr">
        <is>
          <t>A 11127-2024</t>
        </is>
      </c>
      <c r="B589" s="1" t="n">
        <v>45371</v>
      </c>
      <c r="C589" s="1" t="n">
        <v>45710</v>
      </c>
      <c r="D589" t="inlineStr">
        <is>
          <t>ÖSTERGÖTLANDS LÄN</t>
        </is>
      </c>
      <c r="E589" t="inlineStr">
        <is>
          <t>MJÖLBY</t>
        </is>
      </c>
      <c r="G589" t="n">
        <v>4.7</v>
      </c>
      <c r="H589" t="n">
        <v>1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Tvåblad</t>
        </is>
      </c>
      <c r="S589">
        <f>HYPERLINK("https://klasma.github.io/Logging_0586/artfynd/A 11127-2024 artfynd.xlsx", "A 11127-2024")</f>
        <v/>
      </c>
      <c r="T589">
        <f>HYPERLINK("https://klasma.github.io/Logging_0586/kartor/A 11127-2024 karta.png", "A 11127-2024")</f>
        <v/>
      </c>
      <c r="V589">
        <f>HYPERLINK("https://klasma.github.io/Logging_0586/klagomål/A 11127-2024 FSC-klagomål.docx", "A 11127-2024")</f>
        <v/>
      </c>
      <c r="W589">
        <f>HYPERLINK("https://klasma.github.io/Logging_0586/klagomålsmail/A 11127-2024 FSC-klagomål mail.docx", "A 11127-2024")</f>
        <v/>
      </c>
      <c r="X589">
        <f>HYPERLINK("https://klasma.github.io/Logging_0586/tillsyn/A 11127-2024 tillsynsbegäran.docx", "A 11127-2024")</f>
        <v/>
      </c>
      <c r="Y589">
        <f>HYPERLINK("https://klasma.github.io/Logging_0586/tillsynsmail/A 11127-2024 tillsynsbegäran mail.docx", "A 11127-2024")</f>
        <v/>
      </c>
    </row>
    <row r="590" ht="15" customHeight="1">
      <c r="A590" t="inlineStr">
        <is>
          <t>A 12145-2024</t>
        </is>
      </c>
      <c r="B590" s="1" t="n">
        <v>45376</v>
      </c>
      <c r="C590" s="1" t="n">
        <v>45710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10.4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Gullgröppa</t>
        </is>
      </c>
      <c r="S590">
        <f>HYPERLINK("https://klasma.github.io/Logging_0581/artfynd/A 12145-2024 artfynd.xlsx", "A 12145-2024")</f>
        <v/>
      </c>
      <c r="T590">
        <f>HYPERLINK("https://klasma.github.io/Logging_0581/kartor/A 12145-2024 karta.png", "A 12145-2024")</f>
        <v/>
      </c>
      <c r="V590">
        <f>HYPERLINK("https://klasma.github.io/Logging_0581/klagomål/A 12145-2024 FSC-klagomål.docx", "A 12145-2024")</f>
        <v/>
      </c>
      <c r="W590">
        <f>HYPERLINK("https://klasma.github.io/Logging_0581/klagomålsmail/A 12145-2024 FSC-klagomål mail.docx", "A 12145-2024")</f>
        <v/>
      </c>
      <c r="X590">
        <f>HYPERLINK("https://klasma.github.io/Logging_0581/tillsyn/A 12145-2024 tillsynsbegäran.docx", "A 12145-2024")</f>
        <v/>
      </c>
      <c r="Y590">
        <f>HYPERLINK("https://klasma.github.io/Logging_0581/tillsynsmail/A 12145-2024 tillsynsbegäran mail.docx", "A 12145-2024")</f>
        <v/>
      </c>
    </row>
    <row r="591" ht="15" customHeight="1">
      <c r="A591" t="inlineStr">
        <is>
          <t>A 12991-2024</t>
        </is>
      </c>
      <c r="B591" s="1" t="n">
        <v>45385</v>
      </c>
      <c r="C591" s="1" t="n">
        <v>45710</v>
      </c>
      <c r="D591" t="inlineStr">
        <is>
          <t>ÖSTERGÖTLANDS LÄN</t>
        </is>
      </c>
      <c r="E591" t="inlineStr">
        <is>
          <t>KINDA</t>
        </is>
      </c>
      <c r="G591" t="n">
        <v>4.7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Bergjohannesört</t>
        </is>
      </c>
      <c r="S591">
        <f>HYPERLINK("https://klasma.github.io/Logging_0513/artfynd/A 12991-2024 artfynd.xlsx", "A 12991-2024")</f>
        <v/>
      </c>
      <c r="T591">
        <f>HYPERLINK("https://klasma.github.io/Logging_0513/kartor/A 12991-2024 karta.png", "A 12991-2024")</f>
        <v/>
      </c>
      <c r="V591">
        <f>HYPERLINK("https://klasma.github.io/Logging_0513/klagomål/A 12991-2024 FSC-klagomål.docx", "A 12991-2024")</f>
        <v/>
      </c>
      <c r="W591">
        <f>HYPERLINK("https://klasma.github.io/Logging_0513/klagomålsmail/A 12991-2024 FSC-klagomål mail.docx", "A 12991-2024")</f>
        <v/>
      </c>
      <c r="X591">
        <f>HYPERLINK("https://klasma.github.io/Logging_0513/tillsyn/A 12991-2024 tillsynsbegäran.docx", "A 12991-2024")</f>
        <v/>
      </c>
      <c r="Y591">
        <f>HYPERLINK("https://klasma.github.io/Logging_0513/tillsynsmail/A 12991-2024 tillsynsbegäran mail.docx", "A 12991-2024")</f>
        <v/>
      </c>
    </row>
    <row r="592" ht="15" customHeight="1">
      <c r="A592" t="inlineStr">
        <is>
          <t>A 13085-2024</t>
        </is>
      </c>
      <c r="B592" s="1" t="n">
        <v>45385</v>
      </c>
      <c r="C592" s="1" t="n">
        <v>45710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Blåsippa</t>
        </is>
      </c>
      <c r="S592">
        <f>HYPERLINK("https://klasma.github.io/Logging_0513/artfynd/A 13085-2024 artfynd.xlsx", "A 13085-2024")</f>
        <v/>
      </c>
      <c r="T592">
        <f>HYPERLINK("https://klasma.github.io/Logging_0513/kartor/A 13085-2024 karta.png", "A 13085-2024")</f>
        <v/>
      </c>
      <c r="V592">
        <f>HYPERLINK("https://klasma.github.io/Logging_0513/klagomål/A 13085-2024 FSC-klagomål.docx", "A 13085-2024")</f>
        <v/>
      </c>
      <c r="W592">
        <f>HYPERLINK("https://klasma.github.io/Logging_0513/klagomålsmail/A 13085-2024 FSC-klagomål mail.docx", "A 13085-2024")</f>
        <v/>
      </c>
      <c r="X592">
        <f>HYPERLINK("https://klasma.github.io/Logging_0513/tillsyn/A 13085-2024 tillsynsbegäran.docx", "A 13085-2024")</f>
        <v/>
      </c>
      <c r="Y592">
        <f>HYPERLINK("https://klasma.github.io/Logging_0513/tillsynsmail/A 13085-2024 tillsynsbegäran mail.docx", "A 13085-2024")</f>
        <v/>
      </c>
    </row>
    <row r="593" ht="15" customHeight="1">
      <c r="A593" t="inlineStr">
        <is>
          <t>A 13477-2024</t>
        </is>
      </c>
      <c r="B593" s="1" t="n">
        <v>45387</v>
      </c>
      <c r="C593" s="1" t="n">
        <v>45710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Motaggsvamp</t>
        </is>
      </c>
      <c r="S593">
        <f>HYPERLINK("https://klasma.github.io/Logging_0562/artfynd/A 13477-2024 artfynd.xlsx", "A 13477-2024")</f>
        <v/>
      </c>
      <c r="T593">
        <f>HYPERLINK("https://klasma.github.io/Logging_0562/kartor/A 13477-2024 karta.png", "A 13477-2024")</f>
        <v/>
      </c>
      <c r="V593">
        <f>HYPERLINK("https://klasma.github.io/Logging_0562/klagomål/A 13477-2024 FSC-klagomål.docx", "A 13477-2024")</f>
        <v/>
      </c>
      <c r="W593">
        <f>HYPERLINK("https://klasma.github.io/Logging_0562/klagomålsmail/A 13477-2024 FSC-klagomål mail.docx", "A 13477-2024")</f>
        <v/>
      </c>
      <c r="X593">
        <f>HYPERLINK("https://klasma.github.io/Logging_0562/tillsyn/A 13477-2024 tillsynsbegäran.docx", "A 13477-2024")</f>
        <v/>
      </c>
      <c r="Y593">
        <f>HYPERLINK("https://klasma.github.io/Logging_0562/tillsynsmail/A 13477-2024 tillsynsbegäran mail.docx", "A 13477-2024")</f>
        <v/>
      </c>
    </row>
    <row r="594" ht="15" customHeight="1">
      <c r="A594" t="inlineStr">
        <is>
          <t>A 15301-2024</t>
        </is>
      </c>
      <c r="B594" s="1" t="n">
        <v>45400</v>
      </c>
      <c r="C594" s="1" t="n">
        <v>45710</v>
      </c>
      <c r="D594" t="inlineStr">
        <is>
          <t>ÖSTERGÖTLANDS LÄN</t>
        </is>
      </c>
      <c r="E594" t="inlineStr">
        <is>
          <t>KINDA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Ask</t>
        </is>
      </c>
      <c r="S594">
        <f>HYPERLINK("https://klasma.github.io/Logging_0513/artfynd/A 15301-2024 artfynd.xlsx", "A 15301-2024")</f>
        <v/>
      </c>
      <c r="T594">
        <f>HYPERLINK("https://klasma.github.io/Logging_0513/kartor/A 15301-2024 karta.png", "A 15301-2024")</f>
        <v/>
      </c>
      <c r="V594">
        <f>HYPERLINK("https://klasma.github.io/Logging_0513/klagomål/A 15301-2024 FSC-klagomål.docx", "A 15301-2024")</f>
        <v/>
      </c>
      <c r="W594">
        <f>HYPERLINK("https://klasma.github.io/Logging_0513/klagomålsmail/A 15301-2024 FSC-klagomål mail.docx", "A 15301-2024")</f>
        <v/>
      </c>
      <c r="X594">
        <f>HYPERLINK("https://klasma.github.io/Logging_0513/tillsyn/A 15301-2024 tillsynsbegäran.docx", "A 15301-2024")</f>
        <v/>
      </c>
      <c r="Y594">
        <f>HYPERLINK("https://klasma.github.io/Logging_0513/tillsynsmail/A 15301-2024 tillsynsbegäran mail.docx", "A 15301-2024")</f>
        <v/>
      </c>
    </row>
    <row r="595" ht="15" customHeight="1">
      <c r="A595" t="inlineStr">
        <is>
          <t>A 16180-2024</t>
        </is>
      </c>
      <c r="B595" s="1" t="n">
        <v>45406</v>
      </c>
      <c r="C595" s="1" t="n">
        <v>45710</v>
      </c>
      <c r="D595" t="inlineStr">
        <is>
          <t>ÖSTERGÖTLANDS LÄN</t>
        </is>
      </c>
      <c r="E595" t="inlineStr">
        <is>
          <t>KINDA</t>
        </is>
      </c>
      <c r="G595" t="n">
        <v>0.5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HYPERLINK("https://klasma.github.io/Logging_0513/artfynd/A 16180-2024 artfynd.xlsx", "A 16180-2024")</f>
        <v/>
      </c>
      <c r="T595">
        <f>HYPERLINK("https://klasma.github.io/Logging_0513/kartor/A 16180-2024 karta.png", "A 16180-2024")</f>
        <v/>
      </c>
      <c r="U595">
        <f>HYPERLINK("https://klasma.github.io/Logging_0513/knärot/A 16180-2024 karta knärot.png", "A 16180-2024")</f>
        <v/>
      </c>
      <c r="V595">
        <f>HYPERLINK("https://klasma.github.io/Logging_0513/klagomål/A 16180-2024 FSC-klagomål.docx", "A 16180-2024")</f>
        <v/>
      </c>
      <c r="W595">
        <f>HYPERLINK("https://klasma.github.io/Logging_0513/klagomålsmail/A 16180-2024 FSC-klagomål mail.docx", "A 16180-2024")</f>
        <v/>
      </c>
      <c r="X595">
        <f>HYPERLINK("https://klasma.github.io/Logging_0513/tillsyn/A 16180-2024 tillsynsbegäran.docx", "A 16180-2024")</f>
        <v/>
      </c>
      <c r="Y595">
        <f>HYPERLINK("https://klasma.github.io/Logging_0513/tillsynsmail/A 16180-2024 tillsynsbegäran mail.docx", "A 16180-2024")</f>
        <v/>
      </c>
    </row>
    <row r="596" ht="15" customHeight="1">
      <c r="A596" t="inlineStr">
        <is>
          <t>A 16499-2024</t>
        </is>
      </c>
      <c r="B596" s="1" t="n">
        <v>45408</v>
      </c>
      <c r="C596" s="1" t="n">
        <v>45710</v>
      </c>
      <c r="D596" t="inlineStr">
        <is>
          <t>ÖSTERGÖTLANDS LÄN</t>
        </is>
      </c>
      <c r="E596" t="inlineStr">
        <is>
          <t>KINDA</t>
        </is>
      </c>
      <c r="G596" t="n">
        <v>1.6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Stor hagfibbla</t>
        </is>
      </c>
      <c r="S596">
        <f>HYPERLINK("https://klasma.github.io/Logging_0513/artfynd/A 16499-2024 artfynd.xlsx", "A 16499-2024")</f>
        <v/>
      </c>
      <c r="T596">
        <f>HYPERLINK("https://klasma.github.io/Logging_0513/kartor/A 16499-2024 karta.png", "A 16499-2024")</f>
        <v/>
      </c>
      <c r="V596">
        <f>HYPERLINK("https://klasma.github.io/Logging_0513/klagomål/A 16499-2024 FSC-klagomål.docx", "A 16499-2024")</f>
        <v/>
      </c>
      <c r="W596">
        <f>HYPERLINK("https://klasma.github.io/Logging_0513/klagomålsmail/A 16499-2024 FSC-klagomål mail.docx", "A 16499-2024")</f>
        <v/>
      </c>
      <c r="X596">
        <f>HYPERLINK("https://klasma.github.io/Logging_0513/tillsyn/A 16499-2024 tillsynsbegäran.docx", "A 16499-2024")</f>
        <v/>
      </c>
      <c r="Y596">
        <f>HYPERLINK("https://klasma.github.io/Logging_0513/tillsynsmail/A 16499-2024 tillsynsbegäran mail.docx", "A 16499-2024")</f>
        <v/>
      </c>
    </row>
    <row r="597" ht="15" customHeight="1">
      <c r="A597" t="inlineStr">
        <is>
          <t>A 16610-2024</t>
        </is>
      </c>
      <c r="B597" s="1" t="n">
        <v>45408</v>
      </c>
      <c r="C597" s="1" t="n">
        <v>45710</v>
      </c>
      <c r="D597" t="inlineStr">
        <is>
          <t>ÖSTERGÖTLANDS LÄN</t>
        </is>
      </c>
      <c r="E597" t="inlineStr">
        <is>
          <t>NORRKÖPING</t>
        </is>
      </c>
      <c r="G597" t="n">
        <v>6.2</v>
      </c>
      <c r="H597" t="n">
        <v>1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Knärot</t>
        </is>
      </c>
      <c r="S597">
        <f>HYPERLINK("https://klasma.github.io/Logging_0581/artfynd/A 16610-2024 artfynd.xlsx", "A 16610-2024")</f>
        <v/>
      </c>
      <c r="T597">
        <f>HYPERLINK("https://klasma.github.io/Logging_0581/kartor/A 16610-2024 karta.png", "A 16610-2024")</f>
        <v/>
      </c>
      <c r="U597">
        <f>HYPERLINK("https://klasma.github.io/Logging_0581/knärot/A 16610-2024 karta knärot.png", "A 16610-2024")</f>
        <v/>
      </c>
      <c r="V597">
        <f>HYPERLINK("https://klasma.github.io/Logging_0581/klagomål/A 16610-2024 FSC-klagomål.docx", "A 16610-2024")</f>
        <v/>
      </c>
      <c r="W597">
        <f>HYPERLINK("https://klasma.github.io/Logging_0581/klagomålsmail/A 16610-2024 FSC-klagomål mail.docx", "A 16610-2024")</f>
        <v/>
      </c>
      <c r="X597">
        <f>HYPERLINK("https://klasma.github.io/Logging_0581/tillsyn/A 16610-2024 tillsynsbegäran.docx", "A 16610-2024")</f>
        <v/>
      </c>
      <c r="Y597">
        <f>HYPERLINK("https://klasma.github.io/Logging_0581/tillsynsmail/A 16610-2024 tillsynsbegäran mail.docx", "A 16610-2024")</f>
        <v/>
      </c>
    </row>
    <row r="598" ht="15" customHeight="1">
      <c r="A598" t="inlineStr">
        <is>
          <t>A 17065-2024</t>
        </is>
      </c>
      <c r="B598" s="1" t="n">
        <v>45411</v>
      </c>
      <c r="C598" s="1" t="n">
        <v>45710</v>
      </c>
      <c r="D598" t="inlineStr">
        <is>
          <t>ÖSTERGÖTLANDS LÄN</t>
        </is>
      </c>
      <c r="E598" t="inlineStr">
        <is>
          <t>LINKÖPING</t>
        </is>
      </c>
      <c r="G598" t="n">
        <v>2.3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Svinrot</t>
        </is>
      </c>
      <c r="S598">
        <f>HYPERLINK("https://klasma.github.io/Logging_0580/artfynd/A 17065-2024 artfynd.xlsx", "A 17065-2024")</f>
        <v/>
      </c>
      <c r="T598">
        <f>HYPERLINK("https://klasma.github.io/Logging_0580/kartor/A 17065-2024 karta.png", "A 17065-2024")</f>
        <v/>
      </c>
      <c r="V598">
        <f>HYPERLINK("https://klasma.github.io/Logging_0580/klagomål/A 17065-2024 FSC-klagomål.docx", "A 17065-2024")</f>
        <v/>
      </c>
      <c r="W598">
        <f>HYPERLINK("https://klasma.github.io/Logging_0580/klagomålsmail/A 17065-2024 FSC-klagomål mail.docx", "A 17065-2024")</f>
        <v/>
      </c>
      <c r="X598">
        <f>HYPERLINK("https://klasma.github.io/Logging_0580/tillsyn/A 17065-2024 tillsynsbegäran.docx", "A 17065-2024")</f>
        <v/>
      </c>
      <c r="Y598">
        <f>HYPERLINK("https://klasma.github.io/Logging_0580/tillsynsmail/A 17065-2024 tillsynsbegäran mail.docx", "A 17065-2024")</f>
        <v/>
      </c>
    </row>
    <row r="599" ht="15" customHeight="1">
      <c r="A599" t="inlineStr">
        <is>
          <t>A 16867-2024</t>
        </is>
      </c>
      <c r="B599" s="1" t="n">
        <v>45411</v>
      </c>
      <c r="C599" s="1" t="n">
        <v>45710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3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Stare</t>
        </is>
      </c>
      <c r="S599">
        <f>HYPERLINK("https://klasma.github.io/Logging_0581/artfynd/A 16867-2024 artfynd.xlsx", "A 16867-2024")</f>
        <v/>
      </c>
      <c r="T599">
        <f>HYPERLINK("https://klasma.github.io/Logging_0581/kartor/A 16867-2024 karta.png", "A 16867-2024")</f>
        <v/>
      </c>
      <c r="V599">
        <f>HYPERLINK("https://klasma.github.io/Logging_0581/klagomål/A 16867-2024 FSC-klagomål.docx", "A 16867-2024")</f>
        <v/>
      </c>
      <c r="W599">
        <f>HYPERLINK("https://klasma.github.io/Logging_0581/klagomålsmail/A 16867-2024 FSC-klagomål mail.docx", "A 16867-2024")</f>
        <v/>
      </c>
      <c r="X599">
        <f>HYPERLINK("https://klasma.github.io/Logging_0581/tillsyn/A 16867-2024 tillsynsbegäran.docx", "A 16867-2024")</f>
        <v/>
      </c>
      <c r="Y599">
        <f>HYPERLINK("https://klasma.github.io/Logging_0581/tillsynsmail/A 16867-2024 tillsynsbegäran mail.docx", "A 16867-2024")</f>
        <v/>
      </c>
    </row>
    <row r="600" ht="15" customHeight="1">
      <c r="A600" t="inlineStr">
        <is>
          <t>A 18267-2024</t>
        </is>
      </c>
      <c r="B600" s="1" t="n">
        <v>45421</v>
      </c>
      <c r="C600" s="1" t="n">
        <v>45710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Mörk kolflarnlav</t>
        </is>
      </c>
      <c r="S600">
        <f>HYPERLINK("https://klasma.github.io/Logging_0581/artfynd/A 18267-2024 artfynd.xlsx", "A 18267-2024")</f>
        <v/>
      </c>
      <c r="T600">
        <f>HYPERLINK("https://klasma.github.io/Logging_0581/kartor/A 18267-2024 karta.png", "A 18267-2024")</f>
        <v/>
      </c>
      <c r="V600">
        <f>HYPERLINK("https://klasma.github.io/Logging_0581/klagomål/A 18267-2024 FSC-klagomål.docx", "A 18267-2024")</f>
        <v/>
      </c>
      <c r="W600">
        <f>HYPERLINK("https://klasma.github.io/Logging_0581/klagomålsmail/A 18267-2024 FSC-klagomål mail.docx", "A 18267-2024")</f>
        <v/>
      </c>
      <c r="X600">
        <f>HYPERLINK("https://klasma.github.io/Logging_0581/tillsyn/A 18267-2024 tillsynsbegäran.docx", "A 18267-2024")</f>
        <v/>
      </c>
      <c r="Y600">
        <f>HYPERLINK("https://klasma.github.io/Logging_0581/tillsynsmail/A 18267-2024 tillsynsbegäran mail.docx", "A 18267-2024")</f>
        <v/>
      </c>
    </row>
    <row r="601" ht="15" customHeight="1">
      <c r="A601" t="inlineStr">
        <is>
          <t>A 18443-2024</t>
        </is>
      </c>
      <c r="B601" s="1" t="n">
        <v>45425</v>
      </c>
      <c r="C601" s="1" t="n">
        <v>45710</v>
      </c>
      <c r="D601" t="inlineStr">
        <is>
          <t>ÖSTERGÖTLANDS LÄN</t>
        </is>
      </c>
      <c r="E601" t="inlineStr">
        <is>
          <t>KINDA</t>
        </is>
      </c>
      <c r="G601" t="n">
        <v>3.9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Vedskivlav</t>
        </is>
      </c>
      <c r="S601">
        <f>HYPERLINK("https://klasma.github.io/Logging_0513/artfynd/A 18443-2024 artfynd.xlsx", "A 18443-2024")</f>
        <v/>
      </c>
      <c r="T601">
        <f>HYPERLINK("https://klasma.github.io/Logging_0513/kartor/A 18443-2024 karta.png", "A 18443-2024")</f>
        <v/>
      </c>
      <c r="V601">
        <f>HYPERLINK("https://klasma.github.io/Logging_0513/klagomål/A 18443-2024 FSC-klagomål.docx", "A 18443-2024")</f>
        <v/>
      </c>
      <c r="W601">
        <f>HYPERLINK("https://klasma.github.io/Logging_0513/klagomålsmail/A 18443-2024 FSC-klagomål mail.docx", "A 18443-2024")</f>
        <v/>
      </c>
      <c r="X601">
        <f>HYPERLINK("https://klasma.github.io/Logging_0513/tillsyn/A 18443-2024 tillsynsbegäran.docx", "A 18443-2024")</f>
        <v/>
      </c>
      <c r="Y601">
        <f>HYPERLINK("https://klasma.github.io/Logging_0513/tillsynsmail/A 18443-2024 tillsynsbegäran mail.docx", "A 18443-2024")</f>
        <v/>
      </c>
    </row>
    <row r="602" ht="15" customHeight="1">
      <c r="A602" t="inlineStr">
        <is>
          <t>A 18462-2024</t>
        </is>
      </c>
      <c r="B602" s="1" t="n">
        <v>45425</v>
      </c>
      <c r="C602" s="1" t="n">
        <v>45710</v>
      </c>
      <c r="D602" t="inlineStr">
        <is>
          <t>ÖSTERGÖTLANDS LÄN</t>
        </is>
      </c>
      <c r="E602" t="inlineStr">
        <is>
          <t>FINSPÅNG</t>
        </is>
      </c>
      <c r="G602" t="n">
        <v>6.1</v>
      </c>
      <c r="H602" t="n">
        <v>1</v>
      </c>
      <c r="I602" t="n">
        <v>0</v>
      </c>
      <c r="J602" t="n">
        <v>0</v>
      </c>
      <c r="K602" t="n">
        <v>0</v>
      </c>
      <c r="L602" t="n">
        <v>1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Mosippa</t>
        </is>
      </c>
      <c r="S602">
        <f>HYPERLINK("https://klasma.github.io/Logging_0562/artfynd/A 18462-2024 artfynd.xlsx", "A 18462-2024")</f>
        <v/>
      </c>
      <c r="T602">
        <f>HYPERLINK("https://klasma.github.io/Logging_0562/kartor/A 18462-2024 karta.png", "A 18462-2024")</f>
        <v/>
      </c>
      <c r="V602">
        <f>HYPERLINK("https://klasma.github.io/Logging_0562/klagomål/A 18462-2024 FSC-klagomål.docx", "A 18462-2024")</f>
        <v/>
      </c>
      <c r="W602">
        <f>HYPERLINK("https://klasma.github.io/Logging_0562/klagomålsmail/A 18462-2024 FSC-klagomål mail.docx", "A 18462-2024")</f>
        <v/>
      </c>
      <c r="X602">
        <f>HYPERLINK("https://klasma.github.io/Logging_0562/tillsyn/A 18462-2024 tillsynsbegäran.docx", "A 18462-2024")</f>
        <v/>
      </c>
      <c r="Y602">
        <f>HYPERLINK("https://klasma.github.io/Logging_0562/tillsynsmail/A 18462-2024 tillsynsbegäran mail.docx", "A 18462-2024")</f>
        <v/>
      </c>
    </row>
    <row r="603" ht="15" customHeight="1">
      <c r="A603" t="inlineStr">
        <is>
          <t>A 19256-2024</t>
        </is>
      </c>
      <c r="B603" s="1" t="n">
        <v>45428</v>
      </c>
      <c r="C603" s="1" t="n">
        <v>45710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0.8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Norrlandslav</t>
        </is>
      </c>
      <c r="S603">
        <f>HYPERLINK("https://klasma.github.io/Logging_0581/artfynd/A 19256-2024 artfynd.xlsx", "A 19256-2024")</f>
        <v/>
      </c>
      <c r="T603">
        <f>HYPERLINK("https://klasma.github.io/Logging_0581/kartor/A 19256-2024 karta.png", "A 19256-2024")</f>
        <v/>
      </c>
      <c r="V603">
        <f>HYPERLINK("https://klasma.github.io/Logging_0581/klagomål/A 19256-2024 FSC-klagomål.docx", "A 19256-2024")</f>
        <v/>
      </c>
      <c r="W603">
        <f>HYPERLINK("https://klasma.github.io/Logging_0581/klagomålsmail/A 19256-2024 FSC-klagomål mail.docx", "A 19256-2024")</f>
        <v/>
      </c>
      <c r="X603">
        <f>HYPERLINK("https://klasma.github.io/Logging_0581/tillsyn/A 19256-2024 tillsynsbegäran.docx", "A 19256-2024")</f>
        <v/>
      </c>
      <c r="Y603">
        <f>HYPERLINK("https://klasma.github.io/Logging_0581/tillsynsmail/A 19256-2024 tillsynsbegäran mail.docx", "A 19256-2024")</f>
        <v/>
      </c>
    </row>
    <row r="604" ht="15" customHeight="1">
      <c r="A604" t="inlineStr">
        <is>
          <t>A 20442-2024</t>
        </is>
      </c>
      <c r="B604" s="1" t="n">
        <v>45435</v>
      </c>
      <c r="C604" s="1" t="n">
        <v>45710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1.7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Dropptaggsvamp</t>
        </is>
      </c>
      <c r="S604">
        <f>HYPERLINK("https://klasma.github.io/Logging_0581/artfynd/A 20442-2024 artfynd.xlsx", "A 20442-2024")</f>
        <v/>
      </c>
      <c r="T604">
        <f>HYPERLINK("https://klasma.github.io/Logging_0581/kartor/A 20442-2024 karta.png", "A 20442-2024")</f>
        <v/>
      </c>
      <c r="V604">
        <f>HYPERLINK("https://klasma.github.io/Logging_0581/klagomål/A 20442-2024 FSC-klagomål.docx", "A 20442-2024")</f>
        <v/>
      </c>
      <c r="W604">
        <f>HYPERLINK("https://klasma.github.io/Logging_0581/klagomålsmail/A 20442-2024 FSC-klagomål mail.docx", "A 20442-2024")</f>
        <v/>
      </c>
      <c r="X604">
        <f>HYPERLINK("https://klasma.github.io/Logging_0581/tillsyn/A 20442-2024 tillsynsbegäran.docx", "A 20442-2024")</f>
        <v/>
      </c>
      <c r="Y604">
        <f>HYPERLINK("https://klasma.github.io/Logging_0581/tillsynsmail/A 20442-2024 tillsynsbegäran mail.docx", "A 20442-2024")</f>
        <v/>
      </c>
    </row>
    <row r="605" ht="15" customHeight="1">
      <c r="A605" t="inlineStr">
        <is>
          <t>A 22327-2024</t>
        </is>
      </c>
      <c r="B605" s="1" t="n">
        <v>45446</v>
      </c>
      <c r="C605" s="1" t="n">
        <v>45710</v>
      </c>
      <c r="D605" t="inlineStr">
        <is>
          <t>ÖSTERGÖTLANDS LÄN</t>
        </is>
      </c>
      <c r="E605" t="inlineStr">
        <is>
          <t>MJÖLBY</t>
        </is>
      </c>
      <c r="G605" t="n">
        <v>1.8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Svinrot</t>
        </is>
      </c>
      <c r="S605">
        <f>HYPERLINK("https://klasma.github.io/Logging_0586/artfynd/A 22327-2024 artfynd.xlsx", "A 22327-2024")</f>
        <v/>
      </c>
      <c r="T605">
        <f>HYPERLINK("https://klasma.github.io/Logging_0586/kartor/A 22327-2024 karta.png", "A 22327-2024")</f>
        <v/>
      </c>
      <c r="V605">
        <f>HYPERLINK("https://klasma.github.io/Logging_0586/klagomål/A 22327-2024 FSC-klagomål.docx", "A 22327-2024")</f>
        <v/>
      </c>
      <c r="W605">
        <f>HYPERLINK("https://klasma.github.io/Logging_0586/klagomålsmail/A 22327-2024 FSC-klagomål mail.docx", "A 22327-2024")</f>
        <v/>
      </c>
      <c r="X605">
        <f>HYPERLINK("https://klasma.github.io/Logging_0586/tillsyn/A 22327-2024 tillsynsbegäran.docx", "A 22327-2024")</f>
        <v/>
      </c>
      <c r="Y605">
        <f>HYPERLINK("https://klasma.github.io/Logging_0586/tillsynsmail/A 22327-2024 tillsynsbegäran mail.docx", "A 22327-2024")</f>
        <v/>
      </c>
    </row>
    <row r="606" ht="15" customHeight="1">
      <c r="A606" t="inlineStr">
        <is>
          <t>A 22584-2024</t>
        </is>
      </c>
      <c r="B606" s="1" t="n">
        <v>45447</v>
      </c>
      <c r="C606" s="1" t="n">
        <v>45710</v>
      </c>
      <c r="D606" t="inlineStr">
        <is>
          <t>ÖSTERGÖTLANDS LÄN</t>
        </is>
      </c>
      <c r="E606" t="inlineStr">
        <is>
          <t>VALDEMARSVIK</t>
        </is>
      </c>
      <c r="G606" t="n">
        <v>1.4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Skogsklocka</t>
        </is>
      </c>
      <c r="S606">
        <f>HYPERLINK("https://klasma.github.io/Logging_0563/artfynd/A 22584-2024 artfynd.xlsx", "A 22584-2024")</f>
        <v/>
      </c>
      <c r="T606">
        <f>HYPERLINK("https://klasma.github.io/Logging_0563/kartor/A 22584-2024 karta.png", "A 22584-2024")</f>
        <v/>
      </c>
      <c r="V606">
        <f>HYPERLINK("https://klasma.github.io/Logging_0563/klagomål/A 22584-2024 FSC-klagomål.docx", "A 22584-2024")</f>
        <v/>
      </c>
      <c r="W606">
        <f>HYPERLINK("https://klasma.github.io/Logging_0563/klagomålsmail/A 22584-2024 FSC-klagomål mail.docx", "A 22584-2024")</f>
        <v/>
      </c>
      <c r="X606">
        <f>HYPERLINK("https://klasma.github.io/Logging_0563/tillsyn/A 22584-2024 tillsynsbegäran.docx", "A 22584-2024")</f>
        <v/>
      </c>
      <c r="Y606">
        <f>HYPERLINK("https://klasma.github.io/Logging_0563/tillsynsmail/A 22584-2024 tillsynsbegäran mail.docx", "A 22584-2024")</f>
        <v/>
      </c>
    </row>
    <row r="607" ht="15" customHeight="1">
      <c r="A607" t="inlineStr">
        <is>
          <t>A 22506-2024</t>
        </is>
      </c>
      <c r="B607" s="1" t="n">
        <v>45447</v>
      </c>
      <c r="C607" s="1" t="n">
        <v>45710</v>
      </c>
      <c r="D607" t="inlineStr">
        <is>
          <t>ÖSTERGÖTLANDS LÄN</t>
        </is>
      </c>
      <c r="E607" t="inlineStr">
        <is>
          <t>ÅTVIDABERG</t>
        </is>
      </c>
      <c r="G607" t="n">
        <v>1.1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Vanlig backsmörblomma</t>
        </is>
      </c>
      <c r="S607">
        <f>HYPERLINK("https://klasma.github.io/Logging_0561/artfynd/A 22506-2024 artfynd.xlsx", "A 22506-2024")</f>
        <v/>
      </c>
      <c r="T607">
        <f>HYPERLINK("https://klasma.github.io/Logging_0561/kartor/A 22506-2024 karta.png", "A 22506-2024")</f>
        <v/>
      </c>
      <c r="V607">
        <f>HYPERLINK("https://klasma.github.io/Logging_0561/klagomål/A 22506-2024 FSC-klagomål.docx", "A 22506-2024")</f>
        <v/>
      </c>
      <c r="W607">
        <f>HYPERLINK("https://klasma.github.io/Logging_0561/klagomålsmail/A 22506-2024 FSC-klagomål mail.docx", "A 22506-2024")</f>
        <v/>
      </c>
      <c r="X607">
        <f>HYPERLINK("https://klasma.github.io/Logging_0561/tillsyn/A 22506-2024 tillsynsbegäran.docx", "A 22506-2024")</f>
        <v/>
      </c>
      <c r="Y607">
        <f>HYPERLINK("https://klasma.github.io/Logging_0561/tillsynsmail/A 22506-2024 tillsynsbegäran mail.docx", "A 22506-2024")</f>
        <v/>
      </c>
    </row>
    <row r="608" ht="15" customHeight="1">
      <c r="A608" t="inlineStr">
        <is>
          <t>A 24686-2024</t>
        </is>
      </c>
      <c r="B608" s="1" t="n">
        <v>45460</v>
      </c>
      <c r="C608" s="1" t="n">
        <v>45710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Skogsklocka</t>
        </is>
      </c>
      <c r="S608">
        <f>HYPERLINK("https://klasma.github.io/Logging_0583/artfynd/A 24686-2024 artfynd.xlsx", "A 24686-2024")</f>
        <v/>
      </c>
      <c r="T608">
        <f>HYPERLINK("https://klasma.github.io/Logging_0583/kartor/A 24686-2024 karta.png", "A 24686-2024")</f>
        <v/>
      </c>
      <c r="V608">
        <f>HYPERLINK("https://klasma.github.io/Logging_0583/klagomål/A 24686-2024 FSC-klagomål.docx", "A 24686-2024")</f>
        <v/>
      </c>
      <c r="W608">
        <f>HYPERLINK("https://klasma.github.io/Logging_0583/klagomålsmail/A 24686-2024 FSC-klagomål mail.docx", "A 24686-2024")</f>
        <v/>
      </c>
      <c r="X608">
        <f>HYPERLINK("https://klasma.github.io/Logging_0583/tillsyn/A 24686-2024 tillsynsbegäran.docx", "A 24686-2024")</f>
        <v/>
      </c>
      <c r="Y608">
        <f>HYPERLINK("https://klasma.github.io/Logging_0583/tillsynsmail/A 24686-2024 tillsynsbegäran mail.docx", "A 24686-2024")</f>
        <v/>
      </c>
    </row>
    <row r="609" ht="15" customHeight="1">
      <c r="A609" t="inlineStr">
        <is>
          <t>A 24674-2024</t>
        </is>
      </c>
      <c r="B609" s="1" t="n">
        <v>45460</v>
      </c>
      <c r="C609" s="1" t="n">
        <v>45710</v>
      </c>
      <c r="D609" t="inlineStr">
        <is>
          <t>ÖSTERGÖTLANDS LÄN</t>
        </is>
      </c>
      <c r="E609" t="inlineStr">
        <is>
          <t>VALDEMARSVIK</t>
        </is>
      </c>
      <c r="G609" t="n">
        <v>4.2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HYPERLINK("https://klasma.github.io/Logging_0563/artfynd/A 24674-2024 artfynd.xlsx", "A 24674-2024")</f>
        <v/>
      </c>
      <c r="T609">
        <f>HYPERLINK("https://klasma.github.io/Logging_0563/kartor/A 24674-2024 karta.png", "A 24674-2024")</f>
        <v/>
      </c>
      <c r="V609">
        <f>HYPERLINK("https://klasma.github.io/Logging_0563/klagomål/A 24674-2024 FSC-klagomål.docx", "A 24674-2024")</f>
        <v/>
      </c>
      <c r="W609">
        <f>HYPERLINK("https://klasma.github.io/Logging_0563/klagomålsmail/A 24674-2024 FSC-klagomål mail.docx", "A 24674-2024")</f>
        <v/>
      </c>
      <c r="X609">
        <f>HYPERLINK("https://klasma.github.io/Logging_0563/tillsyn/A 24674-2024 tillsynsbegäran.docx", "A 24674-2024")</f>
        <v/>
      </c>
      <c r="Y609">
        <f>HYPERLINK("https://klasma.github.io/Logging_0563/tillsynsmail/A 24674-2024 tillsynsbegäran mail.docx", "A 24674-2024")</f>
        <v/>
      </c>
    </row>
    <row r="610" ht="15" customHeight="1">
      <c r="A610" t="inlineStr">
        <is>
          <t>A 25163-2024</t>
        </is>
      </c>
      <c r="B610" s="1" t="n">
        <v>45462</v>
      </c>
      <c r="C610" s="1" t="n">
        <v>45710</v>
      </c>
      <c r="D610" t="inlineStr">
        <is>
          <t>ÖSTERGÖTLANDS LÄN</t>
        </is>
      </c>
      <c r="E610" t="inlineStr">
        <is>
          <t>KINDA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Spindelört</t>
        </is>
      </c>
      <c r="S610">
        <f>HYPERLINK("https://klasma.github.io/Logging_0513/artfynd/A 25163-2024 artfynd.xlsx", "A 25163-2024")</f>
        <v/>
      </c>
      <c r="T610">
        <f>HYPERLINK("https://klasma.github.io/Logging_0513/kartor/A 25163-2024 karta.png", "A 25163-2024")</f>
        <v/>
      </c>
      <c r="V610">
        <f>HYPERLINK("https://klasma.github.io/Logging_0513/klagomål/A 25163-2024 FSC-klagomål.docx", "A 25163-2024")</f>
        <v/>
      </c>
      <c r="W610">
        <f>HYPERLINK("https://klasma.github.io/Logging_0513/klagomålsmail/A 25163-2024 FSC-klagomål mail.docx", "A 25163-2024")</f>
        <v/>
      </c>
      <c r="X610">
        <f>HYPERLINK("https://klasma.github.io/Logging_0513/tillsyn/A 25163-2024 tillsynsbegäran.docx", "A 25163-2024")</f>
        <v/>
      </c>
      <c r="Y610">
        <f>HYPERLINK("https://klasma.github.io/Logging_0513/tillsynsmail/A 25163-2024 tillsynsbegäran mail.docx", "A 25163-2024")</f>
        <v/>
      </c>
    </row>
    <row r="611" ht="15" customHeight="1">
      <c r="A611" t="inlineStr">
        <is>
          <t>A 25651-2024</t>
        </is>
      </c>
      <c r="B611" s="1" t="n">
        <v>45463</v>
      </c>
      <c r="C611" s="1" t="n">
        <v>45710</v>
      </c>
      <c r="D611" t="inlineStr">
        <is>
          <t>ÖSTERGÖTLANDS LÄN</t>
        </is>
      </c>
      <c r="E611" t="inlineStr">
        <is>
          <t>VALDEMARSVIK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1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Ryl</t>
        </is>
      </c>
      <c r="S611">
        <f>HYPERLINK("https://klasma.github.io/Logging_0563/artfynd/A 25651-2024 artfynd.xlsx", "A 25651-2024")</f>
        <v/>
      </c>
      <c r="T611">
        <f>HYPERLINK("https://klasma.github.io/Logging_0563/kartor/A 25651-2024 karta.png", "A 25651-2024")</f>
        <v/>
      </c>
      <c r="V611">
        <f>HYPERLINK("https://klasma.github.io/Logging_0563/klagomål/A 25651-2024 FSC-klagomål.docx", "A 25651-2024")</f>
        <v/>
      </c>
      <c r="W611">
        <f>HYPERLINK("https://klasma.github.io/Logging_0563/klagomålsmail/A 25651-2024 FSC-klagomål mail.docx", "A 25651-2024")</f>
        <v/>
      </c>
      <c r="X611">
        <f>HYPERLINK("https://klasma.github.io/Logging_0563/tillsyn/A 25651-2024 tillsynsbegäran.docx", "A 25651-2024")</f>
        <v/>
      </c>
      <c r="Y611">
        <f>HYPERLINK("https://klasma.github.io/Logging_0563/tillsynsmail/A 25651-2024 tillsynsbegäran mail.docx", "A 25651-2024")</f>
        <v/>
      </c>
    </row>
    <row r="612" ht="15" customHeight="1">
      <c r="A612" t="inlineStr">
        <is>
          <t>A 26261-2024</t>
        </is>
      </c>
      <c r="B612" s="1" t="n">
        <v>45468</v>
      </c>
      <c r="C612" s="1" t="n">
        <v>45710</v>
      </c>
      <c r="D612" t="inlineStr">
        <is>
          <t>ÖSTERGÖTLANDS LÄN</t>
        </is>
      </c>
      <c r="E612" t="inlineStr">
        <is>
          <t>MJÖLBY</t>
        </is>
      </c>
      <c r="G612" t="n">
        <v>6.1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Åkerväddsantennmal</t>
        </is>
      </c>
      <c r="S612">
        <f>HYPERLINK("https://klasma.github.io/Logging_0586/artfynd/A 26261-2024 artfynd.xlsx", "A 26261-2024")</f>
        <v/>
      </c>
      <c r="T612">
        <f>HYPERLINK("https://klasma.github.io/Logging_0586/kartor/A 26261-2024 karta.png", "A 26261-2024")</f>
        <v/>
      </c>
      <c r="V612">
        <f>HYPERLINK("https://klasma.github.io/Logging_0586/klagomål/A 26261-2024 FSC-klagomål.docx", "A 26261-2024")</f>
        <v/>
      </c>
      <c r="W612">
        <f>HYPERLINK("https://klasma.github.io/Logging_0586/klagomålsmail/A 26261-2024 FSC-klagomål mail.docx", "A 26261-2024")</f>
        <v/>
      </c>
      <c r="X612">
        <f>HYPERLINK("https://klasma.github.io/Logging_0586/tillsyn/A 26261-2024 tillsynsbegäran.docx", "A 26261-2024")</f>
        <v/>
      </c>
      <c r="Y612">
        <f>HYPERLINK("https://klasma.github.io/Logging_0586/tillsynsmail/A 26261-2024 tillsynsbegäran mail.docx", "A 26261-2024")</f>
        <v/>
      </c>
    </row>
    <row r="613" ht="15" customHeight="1">
      <c r="A613" t="inlineStr">
        <is>
          <t>A 27743-2024</t>
        </is>
      </c>
      <c r="B613" s="1" t="n">
        <v>45475</v>
      </c>
      <c r="C613" s="1" t="n">
        <v>45710</v>
      </c>
      <c r="D613" t="inlineStr">
        <is>
          <t>ÖSTERGÖTLANDS LÄN</t>
        </is>
      </c>
      <c r="E613" t="inlineStr">
        <is>
          <t>ÅTVIDABERG</t>
        </is>
      </c>
      <c r="G613" t="n">
        <v>5.8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Svinrot</t>
        </is>
      </c>
      <c r="S613">
        <f>HYPERLINK("https://klasma.github.io/Logging_0561/artfynd/A 27743-2024 artfynd.xlsx", "A 27743-2024")</f>
        <v/>
      </c>
      <c r="T613">
        <f>HYPERLINK("https://klasma.github.io/Logging_0561/kartor/A 27743-2024 karta.png", "A 27743-2024")</f>
        <v/>
      </c>
      <c r="V613">
        <f>HYPERLINK("https://klasma.github.io/Logging_0561/klagomål/A 27743-2024 FSC-klagomål.docx", "A 27743-2024")</f>
        <v/>
      </c>
      <c r="W613">
        <f>HYPERLINK("https://klasma.github.io/Logging_0561/klagomålsmail/A 27743-2024 FSC-klagomål mail.docx", "A 27743-2024")</f>
        <v/>
      </c>
      <c r="X613">
        <f>HYPERLINK("https://klasma.github.io/Logging_0561/tillsyn/A 27743-2024 tillsynsbegäran.docx", "A 27743-2024")</f>
        <v/>
      </c>
      <c r="Y613">
        <f>HYPERLINK("https://klasma.github.io/Logging_0561/tillsynsmail/A 27743-2024 tillsynsbegäran mail.docx", "A 27743-2024")</f>
        <v/>
      </c>
    </row>
    <row r="614" ht="15" customHeight="1">
      <c r="A614" t="inlineStr">
        <is>
          <t>A 28265-2024</t>
        </is>
      </c>
      <c r="B614" s="1" t="n">
        <v>45477</v>
      </c>
      <c r="C614" s="1" t="n">
        <v>45710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Sveaskog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1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Skogsalm</t>
        </is>
      </c>
      <c r="S614">
        <f>HYPERLINK("https://klasma.github.io/Logging_0580/artfynd/A 28265-2024 artfynd.xlsx", "A 28265-2024")</f>
        <v/>
      </c>
      <c r="T614">
        <f>HYPERLINK("https://klasma.github.io/Logging_0580/kartor/A 28265-2024 karta.png", "A 28265-2024")</f>
        <v/>
      </c>
      <c r="V614">
        <f>HYPERLINK("https://klasma.github.io/Logging_0580/klagomål/A 28265-2024 FSC-klagomål.docx", "A 28265-2024")</f>
        <v/>
      </c>
      <c r="W614">
        <f>HYPERLINK("https://klasma.github.io/Logging_0580/klagomålsmail/A 28265-2024 FSC-klagomål mail.docx", "A 28265-2024")</f>
        <v/>
      </c>
      <c r="X614">
        <f>HYPERLINK("https://klasma.github.io/Logging_0580/tillsyn/A 28265-2024 tillsynsbegäran.docx", "A 28265-2024")</f>
        <v/>
      </c>
      <c r="Y614">
        <f>HYPERLINK("https://klasma.github.io/Logging_0580/tillsynsmail/A 28265-2024 tillsynsbegäran mail.docx", "A 28265-2024")</f>
        <v/>
      </c>
    </row>
    <row r="615" ht="15" customHeight="1">
      <c r="A615" t="inlineStr">
        <is>
          <t>A 28549-2024</t>
        </is>
      </c>
      <c r="B615" s="1" t="n">
        <v>45478</v>
      </c>
      <c r="C615" s="1" t="n">
        <v>45710</v>
      </c>
      <c r="D615" t="inlineStr">
        <is>
          <t>ÖSTERGÖTLANDS LÄN</t>
        </is>
      </c>
      <c r="E615" t="inlineStr">
        <is>
          <t>SÖDERKÖPING</t>
        </is>
      </c>
      <c r="G615" t="n">
        <v>0.6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Vippärt</t>
        </is>
      </c>
      <c r="S615">
        <f>HYPERLINK("https://klasma.github.io/Logging_0582/artfynd/A 28549-2024 artfynd.xlsx", "A 28549-2024")</f>
        <v/>
      </c>
      <c r="T615">
        <f>HYPERLINK("https://klasma.github.io/Logging_0582/kartor/A 28549-2024 karta.png", "A 28549-2024")</f>
        <v/>
      </c>
      <c r="V615">
        <f>HYPERLINK("https://klasma.github.io/Logging_0582/klagomål/A 28549-2024 FSC-klagomål.docx", "A 28549-2024")</f>
        <v/>
      </c>
      <c r="W615">
        <f>HYPERLINK("https://klasma.github.io/Logging_0582/klagomålsmail/A 28549-2024 FSC-klagomål mail.docx", "A 28549-2024")</f>
        <v/>
      </c>
      <c r="X615">
        <f>HYPERLINK("https://klasma.github.io/Logging_0582/tillsyn/A 28549-2024 tillsynsbegäran.docx", "A 28549-2024")</f>
        <v/>
      </c>
      <c r="Y615">
        <f>HYPERLINK("https://klasma.github.io/Logging_0582/tillsynsmail/A 28549-2024 tillsynsbegäran mail.docx", "A 28549-2024")</f>
        <v/>
      </c>
    </row>
    <row r="616" ht="15" customHeight="1">
      <c r="A616" t="inlineStr">
        <is>
          <t>A 29514-2024</t>
        </is>
      </c>
      <c r="B616" s="1" t="n">
        <v>45484</v>
      </c>
      <c r="C616" s="1" t="n">
        <v>45710</v>
      </c>
      <c r="D616" t="inlineStr">
        <is>
          <t>ÖSTERGÖTLANDS LÄN</t>
        </is>
      </c>
      <c r="E616" t="inlineStr">
        <is>
          <t>KINDA</t>
        </is>
      </c>
      <c r="G616" t="n">
        <v>18.9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Aspelandsfibbla</t>
        </is>
      </c>
      <c r="S616">
        <f>HYPERLINK("https://klasma.github.io/Logging_0513/artfynd/A 29514-2024 artfynd.xlsx", "A 29514-2024")</f>
        <v/>
      </c>
      <c r="T616">
        <f>HYPERLINK("https://klasma.github.io/Logging_0513/kartor/A 29514-2024 karta.png", "A 29514-2024")</f>
        <v/>
      </c>
      <c r="V616">
        <f>HYPERLINK("https://klasma.github.io/Logging_0513/klagomål/A 29514-2024 FSC-klagomål.docx", "A 29514-2024")</f>
        <v/>
      </c>
      <c r="W616">
        <f>HYPERLINK("https://klasma.github.io/Logging_0513/klagomålsmail/A 29514-2024 FSC-klagomål mail.docx", "A 29514-2024")</f>
        <v/>
      </c>
      <c r="X616">
        <f>HYPERLINK("https://klasma.github.io/Logging_0513/tillsyn/A 29514-2024 tillsynsbegäran.docx", "A 29514-2024")</f>
        <v/>
      </c>
      <c r="Y616">
        <f>HYPERLINK("https://klasma.github.io/Logging_0513/tillsynsmail/A 29514-2024 tillsynsbegäran mail.docx", "A 29514-2024")</f>
        <v/>
      </c>
    </row>
    <row r="617" ht="15" customHeight="1">
      <c r="A617" t="inlineStr">
        <is>
          <t>A 29590-2024</t>
        </is>
      </c>
      <c r="B617" s="1" t="n">
        <v>45484</v>
      </c>
      <c r="C617" s="1" t="n">
        <v>45710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15.9</v>
      </c>
      <c r="H617" t="n">
        <v>1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Plattlummer</t>
        </is>
      </c>
      <c r="S617">
        <f>HYPERLINK("https://klasma.github.io/Logging_0583/artfynd/A 29590-2024 artfynd.xlsx", "A 29590-2024")</f>
        <v/>
      </c>
      <c r="T617">
        <f>HYPERLINK("https://klasma.github.io/Logging_0583/kartor/A 29590-2024 karta.png", "A 29590-2024")</f>
        <v/>
      </c>
      <c r="V617">
        <f>HYPERLINK("https://klasma.github.io/Logging_0583/klagomål/A 29590-2024 FSC-klagomål.docx", "A 29590-2024")</f>
        <v/>
      </c>
      <c r="W617">
        <f>HYPERLINK("https://klasma.github.io/Logging_0583/klagomålsmail/A 29590-2024 FSC-klagomål mail.docx", "A 29590-2024")</f>
        <v/>
      </c>
      <c r="X617">
        <f>HYPERLINK("https://klasma.github.io/Logging_0583/tillsyn/A 29590-2024 tillsynsbegäran.docx", "A 29590-2024")</f>
        <v/>
      </c>
      <c r="Y617">
        <f>HYPERLINK("https://klasma.github.io/Logging_0583/tillsynsmail/A 29590-2024 tillsynsbegäran mail.docx", "A 29590-2024")</f>
        <v/>
      </c>
    </row>
    <row r="618" ht="15" customHeight="1">
      <c r="A618" t="inlineStr">
        <is>
          <t>A 29509-2024</t>
        </is>
      </c>
      <c r="B618" s="1" t="n">
        <v>45484</v>
      </c>
      <c r="C618" s="1" t="n">
        <v>45710</v>
      </c>
      <c r="D618" t="inlineStr">
        <is>
          <t>ÖSTERGÖTLANDS LÄN</t>
        </is>
      </c>
      <c r="E618" t="inlineStr">
        <is>
          <t>KINDA</t>
        </is>
      </c>
      <c r="G618" t="n">
        <v>10.4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Månlåsbräken</t>
        </is>
      </c>
      <c r="S618">
        <f>HYPERLINK("https://klasma.github.io/Logging_0513/artfynd/A 29509-2024 artfynd.xlsx", "A 29509-2024")</f>
        <v/>
      </c>
      <c r="T618">
        <f>HYPERLINK("https://klasma.github.io/Logging_0513/kartor/A 29509-2024 karta.png", "A 29509-2024")</f>
        <v/>
      </c>
      <c r="V618">
        <f>HYPERLINK("https://klasma.github.io/Logging_0513/klagomål/A 29509-2024 FSC-klagomål.docx", "A 29509-2024")</f>
        <v/>
      </c>
      <c r="W618">
        <f>HYPERLINK("https://klasma.github.io/Logging_0513/klagomålsmail/A 29509-2024 FSC-klagomål mail.docx", "A 29509-2024")</f>
        <v/>
      </c>
      <c r="X618">
        <f>HYPERLINK("https://klasma.github.io/Logging_0513/tillsyn/A 29509-2024 tillsynsbegäran.docx", "A 29509-2024")</f>
        <v/>
      </c>
      <c r="Y618">
        <f>HYPERLINK("https://klasma.github.io/Logging_0513/tillsynsmail/A 29509-2024 tillsynsbegäran mail.docx", "A 29509-2024")</f>
        <v/>
      </c>
    </row>
    <row r="619" ht="15" customHeight="1">
      <c r="A619" t="inlineStr">
        <is>
          <t>A 29912-2024</t>
        </is>
      </c>
      <c r="B619" s="1" t="n">
        <v>45487</v>
      </c>
      <c r="C619" s="1" t="n">
        <v>45710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3.4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Svart trolldruva</t>
        </is>
      </c>
      <c r="S619">
        <f>HYPERLINK("https://klasma.github.io/Logging_0560/artfynd/A 29912-2024 artfynd.xlsx", "A 29912-2024")</f>
        <v/>
      </c>
      <c r="T619">
        <f>HYPERLINK("https://klasma.github.io/Logging_0560/kartor/A 29912-2024 karta.png", "A 29912-2024")</f>
        <v/>
      </c>
      <c r="V619">
        <f>HYPERLINK("https://klasma.github.io/Logging_0560/klagomål/A 29912-2024 FSC-klagomål.docx", "A 29912-2024")</f>
        <v/>
      </c>
      <c r="W619">
        <f>HYPERLINK("https://klasma.github.io/Logging_0560/klagomålsmail/A 29912-2024 FSC-klagomål mail.docx", "A 29912-2024")</f>
        <v/>
      </c>
      <c r="X619">
        <f>HYPERLINK("https://klasma.github.io/Logging_0560/tillsyn/A 29912-2024 tillsynsbegäran.docx", "A 29912-2024")</f>
        <v/>
      </c>
      <c r="Y619">
        <f>HYPERLINK("https://klasma.github.io/Logging_0560/tillsynsmail/A 29912-2024 tillsynsbegäran mail.docx", "A 29912-2024")</f>
        <v/>
      </c>
    </row>
    <row r="620" ht="15" customHeight="1">
      <c r="A620" t="inlineStr">
        <is>
          <t>A 29941-2024</t>
        </is>
      </c>
      <c r="B620" s="1" t="n">
        <v>45488</v>
      </c>
      <c r="C620" s="1" t="n">
        <v>45710</v>
      </c>
      <c r="D620" t="inlineStr">
        <is>
          <t>ÖSTERGÖTLANDS LÄN</t>
        </is>
      </c>
      <c r="E620" t="inlineStr">
        <is>
          <t>VALDEMARSVIK</t>
        </is>
      </c>
      <c r="G620" t="n">
        <v>0.8</v>
      </c>
      <c r="H620" t="n">
        <v>1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Blåsippa</t>
        </is>
      </c>
      <c r="S620">
        <f>HYPERLINK("https://klasma.github.io/Logging_0563/artfynd/A 29941-2024 artfynd.xlsx", "A 29941-2024")</f>
        <v/>
      </c>
      <c r="T620">
        <f>HYPERLINK("https://klasma.github.io/Logging_0563/kartor/A 29941-2024 karta.png", "A 29941-2024")</f>
        <v/>
      </c>
      <c r="V620">
        <f>HYPERLINK("https://klasma.github.io/Logging_0563/klagomål/A 29941-2024 FSC-klagomål.docx", "A 29941-2024")</f>
        <v/>
      </c>
      <c r="W620">
        <f>HYPERLINK("https://klasma.github.io/Logging_0563/klagomålsmail/A 29941-2024 FSC-klagomål mail.docx", "A 29941-2024")</f>
        <v/>
      </c>
      <c r="X620">
        <f>HYPERLINK("https://klasma.github.io/Logging_0563/tillsyn/A 29941-2024 tillsynsbegäran.docx", "A 29941-2024")</f>
        <v/>
      </c>
      <c r="Y620">
        <f>HYPERLINK("https://klasma.github.io/Logging_0563/tillsynsmail/A 29941-2024 tillsynsbegäran mail.docx", "A 29941-2024")</f>
        <v/>
      </c>
    </row>
    <row r="621" ht="15" customHeight="1">
      <c r="A621" t="inlineStr">
        <is>
          <t>A 30255-2024</t>
        </is>
      </c>
      <c r="B621" s="1" t="n">
        <v>45490</v>
      </c>
      <c r="C621" s="1" t="n">
        <v>45710</v>
      </c>
      <c r="D621" t="inlineStr">
        <is>
          <t>ÖSTERGÖTLANDS LÄN</t>
        </is>
      </c>
      <c r="E621" t="inlineStr">
        <is>
          <t>KINDA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Späd fetfibbla</t>
        </is>
      </c>
      <c r="S621">
        <f>HYPERLINK("https://klasma.github.io/Logging_0513/artfynd/A 30255-2024 artfynd.xlsx", "A 30255-2024")</f>
        <v/>
      </c>
      <c r="T621">
        <f>HYPERLINK("https://klasma.github.io/Logging_0513/kartor/A 30255-2024 karta.png", "A 30255-2024")</f>
        <v/>
      </c>
      <c r="V621">
        <f>HYPERLINK("https://klasma.github.io/Logging_0513/klagomål/A 30255-2024 FSC-klagomål.docx", "A 30255-2024")</f>
        <v/>
      </c>
      <c r="W621">
        <f>HYPERLINK("https://klasma.github.io/Logging_0513/klagomålsmail/A 30255-2024 FSC-klagomål mail.docx", "A 30255-2024")</f>
        <v/>
      </c>
      <c r="X621">
        <f>HYPERLINK("https://klasma.github.io/Logging_0513/tillsyn/A 30255-2024 tillsynsbegäran.docx", "A 30255-2024")</f>
        <v/>
      </c>
      <c r="Y621">
        <f>HYPERLINK("https://klasma.github.io/Logging_0513/tillsynsmail/A 30255-2024 tillsynsbegäran mail.docx", "A 30255-2024")</f>
        <v/>
      </c>
    </row>
    <row r="622" ht="15" customHeight="1">
      <c r="A622" t="inlineStr">
        <is>
          <t>A 30318-2024</t>
        </is>
      </c>
      <c r="B622" s="1" t="n">
        <v>45490</v>
      </c>
      <c r="C622" s="1" t="n">
        <v>45710</v>
      </c>
      <c r="D622" t="inlineStr">
        <is>
          <t>ÖSTERGÖTLANDS LÄN</t>
        </is>
      </c>
      <c r="E622" t="inlineStr">
        <is>
          <t>NORRKÖPING</t>
        </is>
      </c>
      <c r="G622" t="n">
        <v>7.7</v>
      </c>
      <c r="H622" t="n">
        <v>1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Nattviol</t>
        </is>
      </c>
      <c r="S622">
        <f>HYPERLINK("https://klasma.github.io/Logging_0581/artfynd/A 30318-2024 artfynd.xlsx", "A 30318-2024")</f>
        <v/>
      </c>
      <c r="T622">
        <f>HYPERLINK("https://klasma.github.io/Logging_0581/kartor/A 30318-2024 karta.png", "A 30318-2024")</f>
        <v/>
      </c>
      <c r="V622">
        <f>HYPERLINK("https://klasma.github.io/Logging_0581/klagomål/A 30318-2024 FSC-klagomål.docx", "A 30318-2024")</f>
        <v/>
      </c>
      <c r="W622">
        <f>HYPERLINK("https://klasma.github.io/Logging_0581/klagomålsmail/A 30318-2024 FSC-klagomål mail.docx", "A 30318-2024")</f>
        <v/>
      </c>
      <c r="X622">
        <f>HYPERLINK("https://klasma.github.io/Logging_0581/tillsyn/A 30318-2024 tillsynsbegäran.docx", "A 30318-2024")</f>
        <v/>
      </c>
      <c r="Y622">
        <f>HYPERLINK("https://klasma.github.io/Logging_0581/tillsynsmail/A 30318-2024 tillsynsbegäran mail.docx", "A 30318-2024")</f>
        <v/>
      </c>
    </row>
    <row r="623" ht="15" customHeight="1">
      <c r="A623" t="inlineStr">
        <is>
          <t>A 32867-2024</t>
        </is>
      </c>
      <c r="B623" s="1" t="n">
        <v>45516</v>
      </c>
      <c r="C623" s="1" t="n">
        <v>45710</v>
      </c>
      <c r="D623" t="inlineStr">
        <is>
          <t>ÖSTERGÖTLANDS LÄN</t>
        </is>
      </c>
      <c r="E623" t="inlineStr">
        <is>
          <t>MJÖLBY</t>
        </is>
      </c>
      <c r="G623" t="n">
        <v>1.8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Kösa</t>
        </is>
      </c>
      <c r="S623">
        <f>HYPERLINK("https://klasma.github.io/Logging_0586/artfynd/A 32867-2024 artfynd.xlsx", "A 32867-2024")</f>
        <v/>
      </c>
      <c r="T623">
        <f>HYPERLINK("https://klasma.github.io/Logging_0586/kartor/A 32867-2024 karta.png", "A 32867-2024")</f>
        <v/>
      </c>
      <c r="V623">
        <f>HYPERLINK("https://klasma.github.io/Logging_0586/klagomål/A 32867-2024 FSC-klagomål.docx", "A 32867-2024")</f>
        <v/>
      </c>
      <c r="W623">
        <f>HYPERLINK("https://klasma.github.io/Logging_0586/klagomålsmail/A 32867-2024 FSC-klagomål mail.docx", "A 32867-2024")</f>
        <v/>
      </c>
      <c r="X623">
        <f>HYPERLINK("https://klasma.github.io/Logging_0586/tillsyn/A 32867-2024 tillsynsbegäran.docx", "A 32867-2024")</f>
        <v/>
      </c>
      <c r="Y623">
        <f>HYPERLINK("https://klasma.github.io/Logging_0586/tillsynsmail/A 32867-2024 tillsynsbegäran mail.docx", "A 32867-2024")</f>
        <v/>
      </c>
    </row>
    <row r="624" ht="15" customHeight="1">
      <c r="A624" t="inlineStr">
        <is>
          <t>A 34628-2024</t>
        </is>
      </c>
      <c r="B624" s="1" t="n">
        <v>45526</v>
      </c>
      <c r="C624" s="1" t="n">
        <v>45710</v>
      </c>
      <c r="D624" t="inlineStr">
        <is>
          <t>ÖSTERGÖTLANDS LÄN</t>
        </is>
      </c>
      <c r="E624" t="inlineStr">
        <is>
          <t>KINDA</t>
        </is>
      </c>
      <c r="G624" t="n">
        <v>5.8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Blåsippa</t>
        </is>
      </c>
      <c r="S624">
        <f>HYPERLINK("https://klasma.github.io/Logging_0513/artfynd/A 34628-2024 artfynd.xlsx", "A 34628-2024")</f>
        <v/>
      </c>
      <c r="T624">
        <f>HYPERLINK("https://klasma.github.io/Logging_0513/kartor/A 34628-2024 karta.png", "A 34628-2024")</f>
        <v/>
      </c>
      <c r="V624">
        <f>HYPERLINK("https://klasma.github.io/Logging_0513/klagomål/A 34628-2024 FSC-klagomål.docx", "A 34628-2024")</f>
        <v/>
      </c>
      <c r="W624">
        <f>HYPERLINK("https://klasma.github.io/Logging_0513/klagomålsmail/A 34628-2024 FSC-klagomål mail.docx", "A 34628-2024")</f>
        <v/>
      </c>
      <c r="X624">
        <f>HYPERLINK("https://klasma.github.io/Logging_0513/tillsyn/A 34628-2024 tillsynsbegäran.docx", "A 34628-2024")</f>
        <v/>
      </c>
      <c r="Y624">
        <f>HYPERLINK("https://klasma.github.io/Logging_0513/tillsynsmail/A 34628-2024 tillsynsbegäran mail.docx", "A 34628-2024")</f>
        <v/>
      </c>
    </row>
    <row r="625" ht="15" customHeight="1">
      <c r="A625" t="inlineStr">
        <is>
          <t>A 37706-2024</t>
        </is>
      </c>
      <c r="B625" s="1" t="n">
        <v>45541</v>
      </c>
      <c r="C625" s="1" t="n">
        <v>45710</v>
      </c>
      <c r="D625" t="inlineStr">
        <is>
          <t>ÖSTERGÖTLANDS LÄN</t>
        </is>
      </c>
      <c r="E625" t="inlineStr">
        <is>
          <t>MOTALA</t>
        </is>
      </c>
      <c r="G625" t="n">
        <v>5.5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Backtimjan</t>
        </is>
      </c>
      <c r="S625">
        <f>HYPERLINK("https://klasma.github.io/Logging_0583/artfynd/A 37706-2024 artfynd.xlsx", "A 37706-2024")</f>
        <v/>
      </c>
      <c r="T625">
        <f>HYPERLINK("https://klasma.github.io/Logging_0583/kartor/A 37706-2024 karta.png", "A 37706-2024")</f>
        <v/>
      </c>
      <c r="V625">
        <f>HYPERLINK("https://klasma.github.io/Logging_0583/klagomål/A 37706-2024 FSC-klagomål.docx", "A 37706-2024")</f>
        <v/>
      </c>
      <c r="W625">
        <f>HYPERLINK("https://klasma.github.io/Logging_0583/klagomålsmail/A 37706-2024 FSC-klagomål mail.docx", "A 37706-2024")</f>
        <v/>
      </c>
      <c r="X625">
        <f>HYPERLINK("https://klasma.github.io/Logging_0583/tillsyn/A 37706-2024 tillsynsbegäran.docx", "A 37706-2024")</f>
        <v/>
      </c>
      <c r="Y625">
        <f>HYPERLINK("https://klasma.github.io/Logging_0583/tillsynsmail/A 37706-2024 tillsynsbegäran mail.docx", "A 37706-2024")</f>
        <v/>
      </c>
    </row>
    <row r="626" ht="15" customHeight="1">
      <c r="A626" t="inlineStr">
        <is>
          <t>A 38573-2024</t>
        </is>
      </c>
      <c r="B626" s="1" t="n">
        <v>45546</v>
      </c>
      <c r="C626" s="1" t="n">
        <v>45710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9.699999999999999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Grönpyrola</t>
        </is>
      </c>
      <c r="S626">
        <f>HYPERLINK("https://klasma.github.io/Logging_0562/artfynd/A 38573-2024 artfynd.xlsx", "A 38573-2024")</f>
        <v/>
      </c>
      <c r="T626">
        <f>HYPERLINK("https://klasma.github.io/Logging_0562/kartor/A 38573-2024 karta.png", "A 38573-2024")</f>
        <v/>
      </c>
      <c r="V626">
        <f>HYPERLINK("https://klasma.github.io/Logging_0562/klagomål/A 38573-2024 FSC-klagomål.docx", "A 38573-2024")</f>
        <v/>
      </c>
      <c r="W626">
        <f>HYPERLINK("https://klasma.github.io/Logging_0562/klagomålsmail/A 38573-2024 FSC-klagomål mail.docx", "A 38573-2024")</f>
        <v/>
      </c>
      <c r="X626">
        <f>HYPERLINK("https://klasma.github.io/Logging_0562/tillsyn/A 38573-2024 tillsynsbegäran.docx", "A 38573-2024")</f>
        <v/>
      </c>
      <c r="Y626">
        <f>HYPERLINK("https://klasma.github.io/Logging_0562/tillsynsmail/A 38573-2024 tillsynsbegäran mail.docx", "A 38573-2024")</f>
        <v/>
      </c>
    </row>
    <row r="627" ht="15" customHeight="1">
      <c r="A627" t="inlineStr">
        <is>
          <t>A 38876-2024</t>
        </is>
      </c>
      <c r="B627" s="1" t="n">
        <v>45547</v>
      </c>
      <c r="C627" s="1" t="n">
        <v>45710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15.1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Mindre märgborre</t>
        </is>
      </c>
      <c r="S627">
        <f>HYPERLINK("https://klasma.github.io/Logging_0581/artfynd/A 38876-2024 artfynd.xlsx", "A 38876-2024")</f>
        <v/>
      </c>
      <c r="T627">
        <f>HYPERLINK("https://klasma.github.io/Logging_0581/kartor/A 38876-2024 karta.png", "A 38876-2024")</f>
        <v/>
      </c>
      <c r="V627">
        <f>HYPERLINK("https://klasma.github.io/Logging_0581/klagomål/A 38876-2024 FSC-klagomål.docx", "A 38876-2024")</f>
        <v/>
      </c>
      <c r="W627">
        <f>HYPERLINK("https://klasma.github.io/Logging_0581/klagomålsmail/A 38876-2024 FSC-klagomål mail.docx", "A 38876-2024")</f>
        <v/>
      </c>
      <c r="X627">
        <f>HYPERLINK("https://klasma.github.io/Logging_0581/tillsyn/A 38876-2024 tillsynsbegäran.docx", "A 38876-2024")</f>
        <v/>
      </c>
      <c r="Y627">
        <f>HYPERLINK("https://klasma.github.io/Logging_0581/tillsynsmail/A 38876-2024 tillsynsbegäran mail.docx", "A 38876-2024")</f>
        <v/>
      </c>
    </row>
    <row r="628" ht="15" customHeight="1">
      <c r="A628" t="inlineStr">
        <is>
          <t>A 40315-2024</t>
        </is>
      </c>
      <c r="B628" s="1" t="n">
        <v>45554</v>
      </c>
      <c r="C628" s="1" t="n">
        <v>45710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Allmännings- och besparingsskogar</t>
        </is>
      </c>
      <c r="G628" t="n">
        <v>15.8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1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Skogsalm</t>
        </is>
      </c>
      <c r="S628">
        <f>HYPERLINK("https://klasma.github.io/Logging_0580/artfynd/A 40315-2024 artfynd.xlsx", "A 40315-2024")</f>
        <v/>
      </c>
      <c r="T628">
        <f>HYPERLINK("https://klasma.github.io/Logging_0580/kartor/A 40315-2024 karta.png", "A 40315-2024")</f>
        <v/>
      </c>
      <c r="V628">
        <f>HYPERLINK("https://klasma.github.io/Logging_0580/klagomål/A 40315-2024 FSC-klagomål.docx", "A 40315-2024")</f>
        <v/>
      </c>
      <c r="W628">
        <f>HYPERLINK("https://klasma.github.io/Logging_0580/klagomålsmail/A 40315-2024 FSC-klagomål mail.docx", "A 40315-2024")</f>
        <v/>
      </c>
      <c r="X628">
        <f>HYPERLINK("https://klasma.github.io/Logging_0580/tillsyn/A 40315-2024 tillsynsbegäran.docx", "A 40315-2024")</f>
        <v/>
      </c>
      <c r="Y628">
        <f>HYPERLINK("https://klasma.github.io/Logging_0580/tillsynsmail/A 40315-2024 tillsynsbegäran mail.docx", "A 40315-2024")</f>
        <v/>
      </c>
    </row>
    <row r="629" ht="15" customHeight="1">
      <c r="A629" t="inlineStr">
        <is>
          <t>A 40309-2024</t>
        </is>
      </c>
      <c r="B629" s="1" t="n">
        <v>45554</v>
      </c>
      <c r="C629" s="1" t="n">
        <v>45710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Allmännings- och besparingsskogar</t>
        </is>
      </c>
      <c r="G629" t="n">
        <v>6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Garnlav</t>
        </is>
      </c>
      <c r="S629">
        <f>HYPERLINK("https://klasma.github.io/Logging_0580/artfynd/A 40309-2024 artfynd.xlsx", "A 40309-2024")</f>
        <v/>
      </c>
      <c r="T629">
        <f>HYPERLINK("https://klasma.github.io/Logging_0580/kartor/A 40309-2024 karta.png", "A 40309-2024")</f>
        <v/>
      </c>
      <c r="V629">
        <f>HYPERLINK("https://klasma.github.io/Logging_0580/klagomål/A 40309-2024 FSC-klagomål.docx", "A 40309-2024")</f>
        <v/>
      </c>
      <c r="W629">
        <f>HYPERLINK("https://klasma.github.io/Logging_0580/klagomålsmail/A 40309-2024 FSC-klagomål mail.docx", "A 40309-2024")</f>
        <v/>
      </c>
      <c r="X629">
        <f>HYPERLINK("https://klasma.github.io/Logging_0580/tillsyn/A 40309-2024 tillsynsbegäran.docx", "A 40309-2024")</f>
        <v/>
      </c>
      <c r="Y629">
        <f>HYPERLINK("https://klasma.github.io/Logging_0580/tillsynsmail/A 40309-2024 tillsynsbegäran mail.docx", "A 40309-2024")</f>
        <v/>
      </c>
    </row>
    <row r="630" ht="15" customHeight="1">
      <c r="A630" t="inlineStr">
        <is>
          <t>A 40311-2024</t>
        </is>
      </c>
      <c r="B630" s="1" t="n">
        <v>45554</v>
      </c>
      <c r="C630" s="1" t="n">
        <v>45710</v>
      </c>
      <c r="D630" t="inlineStr">
        <is>
          <t>ÖSTERGÖTLANDS LÄN</t>
        </is>
      </c>
      <c r="E630" t="inlineStr">
        <is>
          <t>FINSPÅNG</t>
        </is>
      </c>
      <c r="G630" t="n">
        <v>2.5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HYPERLINK("https://klasma.github.io/Logging_0562/artfynd/A 40311-2024 artfynd.xlsx", "A 40311-2024")</f>
        <v/>
      </c>
      <c r="T630">
        <f>HYPERLINK("https://klasma.github.io/Logging_0562/kartor/A 40311-2024 karta.png", "A 40311-2024")</f>
        <v/>
      </c>
      <c r="V630">
        <f>HYPERLINK("https://klasma.github.io/Logging_0562/klagomål/A 40311-2024 FSC-klagomål.docx", "A 40311-2024")</f>
        <v/>
      </c>
      <c r="W630">
        <f>HYPERLINK("https://klasma.github.io/Logging_0562/klagomålsmail/A 40311-2024 FSC-klagomål mail.docx", "A 40311-2024")</f>
        <v/>
      </c>
      <c r="X630">
        <f>HYPERLINK("https://klasma.github.io/Logging_0562/tillsyn/A 40311-2024 tillsynsbegäran.docx", "A 40311-2024")</f>
        <v/>
      </c>
      <c r="Y630">
        <f>HYPERLINK("https://klasma.github.io/Logging_0562/tillsynsmail/A 40311-2024 tillsynsbegäran mail.docx", "A 40311-2024")</f>
        <v/>
      </c>
    </row>
    <row r="631" ht="15" customHeight="1">
      <c r="A631" t="inlineStr">
        <is>
          <t>A 40385-2024</t>
        </is>
      </c>
      <c r="B631" s="1" t="n">
        <v>45555</v>
      </c>
      <c r="C631" s="1" t="n">
        <v>45710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Talltita</t>
        </is>
      </c>
      <c r="S631">
        <f>HYPERLINK("https://klasma.github.io/Logging_0562/artfynd/A 40385-2024 artfynd.xlsx", "A 40385-2024")</f>
        <v/>
      </c>
      <c r="T631">
        <f>HYPERLINK("https://klasma.github.io/Logging_0562/kartor/A 40385-2024 karta.png", "A 40385-2024")</f>
        <v/>
      </c>
      <c r="V631">
        <f>HYPERLINK("https://klasma.github.io/Logging_0562/klagomål/A 40385-2024 FSC-klagomål.docx", "A 40385-2024")</f>
        <v/>
      </c>
      <c r="W631">
        <f>HYPERLINK("https://klasma.github.io/Logging_0562/klagomålsmail/A 40385-2024 FSC-klagomål mail.docx", "A 40385-2024")</f>
        <v/>
      </c>
      <c r="X631">
        <f>HYPERLINK("https://klasma.github.io/Logging_0562/tillsyn/A 40385-2024 tillsynsbegäran.docx", "A 40385-2024")</f>
        <v/>
      </c>
      <c r="Y631">
        <f>HYPERLINK("https://klasma.github.io/Logging_0562/tillsynsmail/A 40385-2024 tillsynsbegäran mail.docx", "A 40385-2024")</f>
        <v/>
      </c>
      <c r="Z631">
        <f>HYPERLINK("https://klasma.github.io/Logging_0562/fåglar/A 40385-2024 prioriterade fågelarter.docx", "A 40385-2024")</f>
        <v/>
      </c>
    </row>
    <row r="632" ht="15" customHeight="1">
      <c r="A632" t="inlineStr">
        <is>
          <t>A 40340-2024</t>
        </is>
      </c>
      <c r="B632" s="1" t="n">
        <v>45555</v>
      </c>
      <c r="C632" s="1" t="n">
        <v>45710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Talltita</t>
        </is>
      </c>
      <c r="S632">
        <f>HYPERLINK("https://klasma.github.io/Logging_0580/artfynd/A 40340-2024 artfynd.xlsx", "A 40340-2024")</f>
        <v/>
      </c>
      <c r="T632">
        <f>HYPERLINK("https://klasma.github.io/Logging_0580/kartor/A 40340-2024 karta.png", "A 40340-2024")</f>
        <v/>
      </c>
      <c r="V632">
        <f>HYPERLINK("https://klasma.github.io/Logging_0580/klagomål/A 40340-2024 FSC-klagomål.docx", "A 40340-2024")</f>
        <v/>
      </c>
      <c r="W632">
        <f>HYPERLINK("https://klasma.github.io/Logging_0580/klagomålsmail/A 40340-2024 FSC-klagomål mail.docx", "A 40340-2024")</f>
        <v/>
      </c>
      <c r="X632">
        <f>HYPERLINK("https://klasma.github.io/Logging_0580/tillsyn/A 40340-2024 tillsynsbegäran.docx", "A 40340-2024")</f>
        <v/>
      </c>
      <c r="Y632">
        <f>HYPERLINK("https://klasma.github.io/Logging_0580/tillsynsmail/A 40340-2024 tillsynsbegäran mail.docx", "A 40340-2024")</f>
        <v/>
      </c>
      <c r="Z632">
        <f>HYPERLINK("https://klasma.github.io/Logging_0580/fåglar/A 40340-2024 prioriterade fågelarter.docx", "A 40340-2024")</f>
        <v/>
      </c>
    </row>
    <row r="633" ht="15" customHeight="1">
      <c r="A633" t="inlineStr">
        <is>
          <t>A 40478-2024</t>
        </is>
      </c>
      <c r="B633" s="1" t="n">
        <v>45555</v>
      </c>
      <c r="C633" s="1" t="n">
        <v>45710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7.4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40478-2024 artfynd.xlsx", "A 40478-2024")</f>
        <v/>
      </c>
      <c r="T633">
        <f>HYPERLINK("https://klasma.github.io/Logging_0562/kartor/A 40478-2024 karta.png", "A 40478-2024")</f>
        <v/>
      </c>
      <c r="V633">
        <f>HYPERLINK("https://klasma.github.io/Logging_0562/klagomål/A 40478-2024 FSC-klagomål.docx", "A 40478-2024")</f>
        <v/>
      </c>
      <c r="W633">
        <f>HYPERLINK("https://klasma.github.io/Logging_0562/klagomålsmail/A 40478-2024 FSC-klagomål mail.docx", "A 40478-2024")</f>
        <v/>
      </c>
      <c r="X633">
        <f>HYPERLINK("https://klasma.github.io/Logging_0562/tillsyn/A 40478-2024 tillsynsbegäran.docx", "A 40478-2024")</f>
        <v/>
      </c>
      <c r="Y633">
        <f>HYPERLINK("https://klasma.github.io/Logging_0562/tillsynsmail/A 40478-2024 tillsynsbegäran mail.docx", "A 40478-2024")</f>
        <v/>
      </c>
    </row>
    <row r="634" ht="15" customHeight="1">
      <c r="A634" t="inlineStr">
        <is>
          <t>A 40626-2024</t>
        </is>
      </c>
      <c r="B634" s="1" t="n">
        <v>45557</v>
      </c>
      <c r="C634" s="1" t="n">
        <v>45710</v>
      </c>
      <c r="D634" t="inlineStr">
        <is>
          <t>ÖSTERGÖTLANDS LÄN</t>
        </is>
      </c>
      <c r="E634" t="inlineStr">
        <is>
          <t>ÅTVIDABERG</t>
        </is>
      </c>
      <c r="G634" t="n">
        <v>1.8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Ögonpyrola</t>
        </is>
      </c>
      <c r="S634">
        <f>HYPERLINK("https://klasma.github.io/Logging_0561/artfynd/A 40626-2024 artfynd.xlsx", "A 40626-2024")</f>
        <v/>
      </c>
      <c r="T634">
        <f>HYPERLINK("https://klasma.github.io/Logging_0561/kartor/A 40626-2024 karta.png", "A 40626-2024")</f>
        <v/>
      </c>
      <c r="V634">
        <f>HYPERLINK("https://klasma.github.io/Logging_0561/klagomål/A 40626-2024 FSC-klagomål.docx", "A 40626-2024")</f>
        <v/>
      </c>
      <c r="W634">
        <f>HYPERLINK("https://klasma.github.io/Logging_0561/klagomålsmail/A 40626-2024 FSC-klagomål mail.docx", "A 40626-2024")</f>
        <v/>
      </c>
      <c r="X634">
        <f>HYPERLINK("https://klasma.github.io/Logging_0561/tillsyn/A 40626-2024 tillsynsbegäran.docx", "A 40626-2024")</f>
        <v/>
      </c>
      <c r="Y634">
        <f>HYPERLINK("https://klasma.github.io/Logging_0561/tillsynsmail/A 40626-2024 tillsynsbegäran mail.docx", "A 40626-2024")</f>
        <v/>
      </c>
    </row>
    <row r="635" ht="15" customHeight="1">
      <c r="A635" t="inlineStr">
        <is>
          <t>A 40686-2024</t>
        </is>
      </c>
      <c r="B635" s="1" t="n">
        <v>45558</v>
      </c>
      <c r="C635" s="1" t="n">
        <v>45710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19.6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Grönpyrola</t>
        </is>
      </c>
      <c r="S635">
        <f>HYPERLINK("https://klasma.github.io/Logging_0562/artfynd/A 40686-2024 artfynd.xlsx", "A 40686-2024")</f>
        <v/>
      </c>
      <c r="T635">
        <f>HYPERLINK("https://klasma.github.io/Logging_0562/kartor/A 40686-2024 karta.png", "A 40686-2024")</f>
        <v/>
      </c>
      <c r="V635">
        <f>HYPERLINK("https://klasma.github.io/Logging_0562/klagomål/A 40686-2024 FSC-klagomål.docx", "A 40686-2024")</f>
        <v/>
      </c>
      <c r="W635">
        <f>HYPERLINK("https://klasma.github.io/Logging_0562/klagomålsmail/A 40686-2024 FSC-klagomål mail.docx", "A 40686-2024")</f>
        <v/>
      </c>
      <c r="X635">
        <f>HYPERLINK("https://klasma.github.io/Logging_0562/tillsyn/A 40686-2024 tillsynsbegäran.docx", "A 40686-2024")</f>
        <v/>
      </c>
      <c r="Y635">
        <f>HYPERLINK("https://klasma.github.io/Logging_0562/tillsynsmail/A 40686-2024 tillsynsbegäran mail.docx", "A 40686-2024")</f>
        <v/>
      </c>
    </row>
    <row r="636" ht="15" customHeight="1">
      <c r="A636" t="inlineStr">
        <is>
          <t>A 40766-2024</t>
        </is>
      </c>
      <c r="B636" s="1" t="n">
        <v>45558</v>
      </c>
      <c r="C636" s="1" t="n">
        <v>45710</v>
      </c>
      <c r="D636" t="inlineStr">
        <is>
          <t>ÖSTERGÖTLANDS LÄN</t>
        </is>
      </c>
      <c r="E636" t="inlineStr">
        <is>
          <t>ÅTVIDABERG</t>
        </is>
      </c>
      <c r="G636" t="n">
        <v>1.3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HYPERLINK("https://klasma.github.io/Logging_0561/artfynd/A 40766-2024 artfynd.xlsx", "A 40766-2024")</f>
        <v/>
      </c>
      <c r="T636">
        <f>HYPERLINK("https://klasma.github.io/Logging_0561/kartor/A 40766-2024 karta.png", "A 40766-2024")</f>
        <v/>
      </c>
      <c r="U636">
        <f>HYPERLINK("https://klasma.github.io/Logging_0561/knärot/A 40766-2024 karta knärot.png", "A 40766-2024")</f>
        <v/>
      </c>
      <c r="V636">
        <f>HYPERLINK("https://klasma.github.io/Logging_0561/klagomål/A 40766-2024 FSC-klagomål.docx", "A 40766-2024")</f>
        <v/>
      </c>
      <c r="W636">
        <f>HYPERLINK("https://klasma.github.io/Logging_0561/klagomålsmail/A 40766-2024 FSC-klagomål mail.docx", "A 40766-2024")</f>
        <v/>
      </c>
      <c r="X636">
        <f>HYPERLINK("https://klasma.github.io/Logging_0561/tillsyn/A 40766-2024 tillsynsbegäran.docx", "A 40766-2024")</f>
        <v/>
      </c>
      <c r="Y636">
        <f>HYPERLINK("https://klasma.github.io/Logging_0561/tillsynsmail/A 40766-2024 tillsynsbegäran mail.docx", "A 40766-2024")</f>
        <v/>
      </c>
    </row>
    <row r="637" ht="15" customHeight="1">
      <c r="A637" t="inlineStr">
        <is>
          <t>A 41907-2024</t>
        </is>
      </c>
      <c r="B637" s="1" t="n">
        <v>45561</v>
      </c>
      <c r="C637" s="1" t="n">
        <v>45710</v>
      </c>
      <c r="D637" t="inlineStr">
        <is>
          <t>ÖSTERGÖTLANDS LÄN</t>
        </is>
      </c>
      <c r="E637" t="inlineStr">
        <is>
          <t>YDRE</t>
        </is>
      </c>
      <c r="G637" t="n">
        <v>1.2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Grovticka</t>
        </is>
      </c>
      <c r="S637">
        <f>HYPERLINK("https://klasma.github.io/Logging_0512/artfynd/A 41907-2024 artfynd.xlsx", "A 41907-2024")</f>
        <v/>
      </c>
      <c r="T637">
        <f>HYPERLINK("https://klasma.github.io/Logging_0512/kartor/A 41907-2024 karta.png", "A 41907-2024")</f>
        <v/>
      </c>
      <c r="V637">
        <f>HYPERLINK("https://klasma.github.io/Logging_0512/klagomål/A 41907-2024 FSC-klagomål.docx", "A 41907-2024")</f>
        <v/>
      </c>
      <c r="W637">
        <f>HYPERLINK("https://klasma.github.io/Logging_0512/klagomålsmail/A 41907-2024 FSC-klagomål mail.docx", "A 41907-2024")</f>
        <v/>
      </c>
      <c r="X637">
        <f>HYPERLINK("https://klasma.github.io/Logging_0512/tillsyn/A 41907-2024 tillsynsbegäran.docx", "A 41907-2024")</f>
        <v/>
      </c>
      <c r="Y637">
        <f>HYPERLINK("https://klasma.github.io/Logging_0512/tillsynsmail/A 41907-2024 tillsynsbegäran mail.docx", "A 41907-2024")</f>
        <v/>
      </c>
    </row>
    <row r="638" ht="15" customHeight="1">
      <c r="A638" t="inlineStr">
        <is>
          <t>A 42837-2024</t>
        </is>
      </c>
      <c r="B638" s="1" t="n">
        <v>45566</v>
      </c>
      <c r="C638" s="1" t="n">
        <v>45710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2.7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HYPERLINK("https://klasma.github.io/Logging_0562/artfynd/A 42837-2024 artfynd.xlsx", "A 42837-2024")</f>
        <v/>
      </c>
      <c r="T638">
        <f>HYPERLINK("https://klasma.github.io/Logging_0562/kartor/A 42837-2024 karta.png", "A 42837-2024")</f>
        <v/>
      </c>
      <c r="U638">
        <f>HYPERLINK("https://klasma.github.io/Logging_0562/knärot/A 42837-2024 karta knärot.png", "A 42837-2024")</f>
        <v/>
      </c>
      <c r="V638">
        <f>HYPERLINK("https://klasma.github.io/Logging_0562/klagomål/A 42837-2024 FSC-klagomål.docx", "A 42837-2024")</f>
        <v/>
      </c>
      <c r="W638">
        <f>HYPERLINK("https://klasma.github.io/Logging_0562/klagomålsmail/A 42837-2024 FSC-klagomål mail.docx", "A 42837-2024")</f>
        <v/>
      </c>
      <c r="X638">
        <f>HYPERLINK("https://klasma.github.io/Logging_0562/tillsyn/A 42837-2024 tillsynsbegäran.docx", "A 42837-2024")</f>
        <v/>
      </c>
      <c r="Y638">
        <f>HYPERLINK("https://klasma.github.io/Logging_0562/tillsynsmail/A 42837-2024 tillsynsbegäran mail.docx", "A 42837-2024")</f>
        <v/>
      </c>
    </row>
    <row r="639" ht="15" customHeight="1">
      <c r="A639" t="inlineStr">
        <is>
          <t>A 42650-2024</t>
        </is>
      </c>
      <c r="B639" s="1" t="n">
        <v>45566</v>
      </c>
      <c r="C639" s="1" t="n">
        <v>45710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3.1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HYPERLINK("https://klasma.github.io/Logging_0562/artfynd/A 42650-2024 artfynd.xlsx", "A 42650-2024")</f>
        <v/>
      </c>
      <c r="T639">
        <f>HYPERLINK("https://klasma.github.io/Logging_0562/kartor/A 42650-2024 karta.png", "A 42650-2024")</f>
        <v/>
      </c>
      <c r="V639">
        <f>HYPERLINK("https://klasma.github.io/Logging_0562/klagomål/A 42650-2024 FSC-klagomål.docx", "A 42650-2024")</f>
        <v/>
      </c>
      <c r="W639">
        <f>HYPERLINK("https://klasma.github.io/Logging_0562/klagomålsmail/A 42650-2024 FSC-klagomål mail.docx", "A 42650-2024")</f>
        <v/>
      </c>
      <c r="X639">
        <f>HYPERLINK("https://klasma.github.io/Logging_0562/tillsyn/A 42650-2024 tillsynsbegäran.docx", "A 42650-2024")</f>
        <v/>
      </c>
      <c r="Y639">
        <f>HYPERLINK("https://klasma.github.io/Logging_0562/tillsynsmail/A 42650-2024 tillsynsbegäran mail.docx", "A 42650-2024")</f>
        <v/>
      </c>
    </row>
    <row r="640" ht="15" customHeight="1">
      <c r="A640" t="inlineStr">
        <is>
          <t>A 42648-2024</t>
        </is>
      </c>
      <c r="B640" s="1" t="n">
        <v>45566</v>
      </c>
      <c r="C640" s="1" t="n">
        <v>45710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1.5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HYPERLINK("https://klasma.github.io/Logging_0562/artfynd/A 42648-2024 artfynd.xlsx", "A 42648-2024")</f>
        <v/>
      </c>
      <c r="T640">
        <f>HYPERLINK("https://klasma.github.io/Logging_0562/kartor/A 42648-2024 karta.png", "A 42648-2024")</f>
        <v/>
      </c>
      <c r="U640">
        <f>HYPERLINK("https://klasma.github.io/Logging_0562/knärot/A 42648-2024 karta knärot.png", "A 42648-2024")</f>
        <v/>
      </c>
      <c r="V640">
        <f>HYPERLINK("https://klasma.github.io/Logging_0562/klagomål/A 42648-2024 FSC-klagomål.docx", "A 42648-2024")</f>
        <v/>
      </c>
      <c r="W640">
        <f>HYPERLINK("https://klasma.github.io/Logging_0562/klagomålsmail/A 42648-2024 FSC-klagomål mail.docx", "A 42648-2024")</f>
        <v/>
      </c>
      <c r="X640">
        <f>HYPERLINK("https://klasma.github.io/Logging_0562/tillsyn/A 42648-2024 tillsynsbegäran.docx", "A 42648-2024")</f>
        <v/>
      </c>
      <c r="Y640">
        <f>HYPERLINK("https://klasma.github.io/Logging_0562/tillsynsmail/A 42648-2024 tillsynsbegäran mail.docx", "A 42648-2024")</f>
        <v/>
      </c>
    </row>
    <row r="641" ht="15" customHeight="1">
      <c r="A641" t="inlineStr">
        <is>
          <t>A 44984-2024</t>
        </is>
      </c>
      <c r="B641" s="1" t="n">
        <v>45575</v>
      </c>
      <c r="C641" s="1" t="n">
        <v>45710</v>
      </c>
      <c r="D641" t="inlineStr">
        <is>
          <t>ÖSTERGÖTLANDS LÄN</t>
        </is>
      </c>
      <c r="E641" t="inlineStr">
        <is>
          <t>FINSPÅNG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HYPERLINK("https://klasma.github.io/Logging_0562/artfynd/A 44984-2024 artfynd.xlsx", "A 44984-2024")</f>
        <v/>
      </c>
      <c r="T641">
        <f>HYPERLINK("https://klasma.github.io/Logging_0562/kartor/A 44984-2024 karta.png", "A 44984-2024")</f>
        <v/>
      </c>
      <c r="V641">
        <f>HYPERLINK("https://klasma.github.io/Logging_0562/klagomål/A 44984-2024 FSC-klagomål.docx", "A 44984-2024")</f>
        <v/>
      </c>
      <c r="W641">
        <f>HYPERLINK("https://klasma.github.io/Logging_0562/klagomålsmail/A 44984-2024 FSC-klagomål mail.docx", "A 44984-2024")</f>
        <v/>
      </c>
      <c r="X641">
        <f>HYPERLINK("https://klasma.github.io/Logging_0562/tillsyn/A 44984-2024 tillsynsbegäran.docx", "A 44984-2024")</f>
        <v/>
      </c>
      <c r="Y641">
        <f>HYPERLINK("https://klasma.github.io/Logging_0562/tillsynsmail/A 44984-2024 tillsynsbegäran mail.docx", "A 44984-2024")</f>
        <v/>
      </c>
    </row>
    <row r="642" ht="15" customHeight="1">
      <c r="A642" t="inlineStr">
        <is>
          <t>A 45953-2024</t>
        </is>
      </c>
      <c r="B642" s="1" t="n">
        <v>45580</v>
      </c>
      <c r="C642" s="1" t="n">
        <v>45710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1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Ekoxe</t>
        </is>
      </c>
      <c r="S642">
        <f>HYPERLINK("https://klasma.github.io/Logging_0581/artfynd/A 45953-2024 artfynd.xlsx", "A 45953-2024")</f>
        <v/>
      </c>
      <c r="T642">
        <f>HYPERLINK("https://klasma.github.io/Logging_0581/kartor/A 45953-2024 karta.png", "A 45953-2024")</f>
        <v/>
      </c>
      <c r="V642">
        <f>HYPERLINK("https://klasma.github.io/Logging_0581/klagomål/A 45953-2024 FSC-klagomål.docx", "A 45953-2024")</f>
        <v/>
      </c>
      <c r="W642">
        <f>HYPERLINK("https://klasma.github.io/Logging_0581/klagomålsmail/A 45953-2024 FSC-klagomål mail.docx", "A 45953-2024")</f>
        <v/>
      </c>
      <c r="X642">
        <f>HYPERLINK("https://klasma.github.io/Logging_0581/tillsyn/A 45953-2024 tillsynsbegäran.docx", "A 45953-2024")</f>
        <v/>
      </c>
      <c r="Y642">
        <f>HYPERLINK("https://klasma.github.io/Logging_0581/tillsynsmail/A 45953-2024 tillsynsbegäran mail.docx", "A 45953-2024")</f>
        <v/>
      </c>
    </row>
    <row r="643" ht="15" customHeight="1">
      <c r="A643" t="inlineStr">
        <is>
          <t>A 46696-2024</t>
        </is>
      </c>
      <c r="B643" s="1" t="n">
        <v>45583</v>
      </c>
      <c r="C643" s="1" t="n">
        <v>45710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Granticka</t>
        </is>
      </c>
      <c r="S643">
        <f>HYPERLINK("https://klasma.github.io/Logging_0581/artfynd/A 46696-2024 artfynd.xlsx", "A 46696-2024")</f>
        <v/>
      </c>
      <c r="T643">
        <f>HYPERLINK("https://klasma.github.io/Logging_0581/kartor/A 46696-2024 karta.png", "A 46696-2024")</f>
        <v/>
      </c>
      <c r="V643">
        <f>HYPERLINK("https://klasma.github.io/Logging_0581/klagomål/A 46696-2024 FSC-klagomål.docx", "A 46696-2024")</f>
        <v/>
      </c>
      <c r="W643">
        <f>HYPERLINK("https://klasma.github.io/Logging_0581/klagomålsmail/A 46696-2024 FSC-klagomål mail.docx", "A 46696-2024")</f>
        <v/>
      </c>
      <c r="X643">
        <f>HYPERLINK("https://klasma.github.io/Logging_0581/tillsyn/A 46696-2024 tillsynsbegäran.docx", "A 46696-2024")</f>
        <v/>
      </c>
      <c r="Y643">
        <f>HYPERLINK("https://klasma.github.io/Logging_0581/tillsynsmail/A 46696-2024 tillsynsbegäran mail.docx", "A 46696-2024")</f>
        <v/>
      </c>
    </row>
    <row r="644" ht="15" customHeight="1">
      <c r="A644" t="inlineStr">
        <is>
          <t>A 46640-2024</t>
        </is>
      </c>
      <c r="B644" s="1" t="n">
        <v>45583</v>
      </c>
      <c r="C644" s="1" t="n">
        <v>45710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3.5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Revlummer</t>
        </is>
      </c>
      <c r="S644">
        <f>HYPERLINK("https://klasma.github.io/Logging_0581/artfynd/A 46640-2024 artfynd.xlsx", "A 46640-2024")</f>
        <v/>
      </c>
      <c r="T644">
        <f>HYPERLINK("https://klasma.github.io/Logging_0581/kartor/A 46640-2024 karta.png", "A 46640-2024")</f>
        <v/>
      </c>
      <c r="V644">
        <f>HYPERLINK("https://klasma.github.io/Logging_0581/klagomål/A 46640-2024 FSC-klagomål.docx", "A 46640-2024")</f>
        <v/>
      </c>
      <c r="W644">
        <f>HYPERLINK("https://klasma.github.io/Logging_0581/klagomålsmail/A 46640-2024 FSC-klagomål mail.docx", "A 46640-2024")</f>
        <v/>
      </c>
      <c r="X644">
        <f>HYPERLINK("https://klasma.github.io/Logging_0581/tillsyn/A 46640-2024 tillsynsbegäran.docx", "A 46640-2024")</f>
        <v/>
      </c>
      <c r="Y644">
        <f>HYPERLINK("https://klasma.github.io/Logging_0581/tillsynsmail/A 46640-2024 tillsynsbegäran mail.docx", "A 46640-2024")</f>
        <v/>
      </c>
    </row>
    <row r="645" ht="15" customHeight="1">
      <c r="A645" t="inlineStr">
        <is>
          <t>A 49113-2024</t>
        </is>
      </c>
      <c r="B645" s="1" t="n">
        <v>45594</v>
      </c>
      <c r="C645" s="1" t="n">
        <v>45710</v>
      </c>
      <c r="D645" t="inlineStr">
        <is>
          <t>ÖSTERGÖTLANDS LÄN</t>
        </is>
      </c>
      <c r="E645" t="inlineStr">
        <is>
          <t>MJÖLBY</t>
        </is>
      </c>
      <c r="F645" t="inlineStr">
        <is>
          <t>Övriga Aktiebolag</t>
        </is>
      </c>
      <c r="G645" t="n">
        <v>3.5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Månlåsbräken</t>
        </is>
      </c>
      <c r="S645">
        <f>HYPERLINK("https://klasma.github.io/Logging_0586/artfynd/A 49113-2024 artfynd.xlsx", "A 49113-2024")</f>
        <v/>
      </c>
      <c r="T645">
        <f>HYPERLINK("https://klasma.github.io/Logging_0586/kartor/A 49113-2024 karta.png", "A 49113-2024")</f>
        <v/>
      </c>
      <c r="V645">
        <f>HYPERLINK("https://klasma.github.io/Logging_0586/klagomål/A 49113-2024 FSC-klagomål.docx", "A 49113-2024")</f>
        <v/>
      </c>
      <c r="W645">
        <f>HYPERLINK("https://klasma.github.io/Logging_0586/klagomålsmail/A 49113-2024 FSC-klagomål mail.docx", "A 49113-2024")</f>
        <v/>
      </c>
      <c r="X645">
        <f>HYPERLINK("https://klasma.github.io/Logging_0586/tillsyn/A 49113-2024 tillsynsbegäran.docx", "A 49113-2024")</f>
        <v/>
      </c>
      <c r="Y645">
        <f>HYPERLINK("https://klasma.github.io/Logging_0586/tillsynsmail/A 49113-2024 tillsynsbegäran mail.docx", "A 49113-2024")</f>
        <v/>
      </c>
    </row>
    <row r="646" ht="15" customHeight="1">
      <c r="A646" t="inlineStr">
        <is>
          <t>A 49369-2024</t>
        </is>
      </c>
      <c r="B646" s="1" t="n">
        <v>45595</v>
      </c>
      <c r="C646" s="1" t="n">
        <v>45710</v>
      </c>
      <c r="D646" t="inlineStr">
        <is>
          <t>ÖSTERGÖTLANDS LÄN</t>
        </is>
      </c>
      <c r="E646" t="inlineStr">
        <is>
          <t>KINDA</t>
        </is>
      </c>
      <c r="G646" t="n">
        <v>13.1</v>
      </c>
      <c r="H646" t="n">
        <v>1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Mosippa</t>
        </is>
      </c>
      <c r="S646">
        <f>HYPERLINK("https://klasma.github.io/Logging_0513/artfynd/A 49369-2024 artfynd.xlsx", "A 49369-2024")</f>
        <v/>
      </c>
      <c r="T646">
        <f>HYPERLINK("https://klasma.github.io/Logging_0513/kartor/A 49369-2024 karta.png", "A 49369-2024")</f>
        <v/>
      </c>
      <c r="V646">
        <f>HYPERLINK("https://klasma.github.io/Logging_0513/klagomål/A 49369-2024 FSC-klagomål.docx", "A 49369-2024")</f>
        <v/>
      </c>
      <c r="W646">
        <f>HYPERLINK("https://klasma.github.io/Logging_0513/klagomålsmail/A 49369-2024 FSC-klagomål mail.docx", "A 49369-2024")</f>
        <v/>
      </c>
      <c r="X646">
        <f>HYPERLINK("https://klasma.github.io/Logging_0513/tillsyn/A 49369-2024 tillsynsbegäran.docx", "A 49369-2024")</f>
        <v/>
      </c>
      <c r="Y646">
        <f>HYPERLINK("https://klasma.github.io/Logging_0513/tillsynsmail/A 49369-2024 tillsynsbegäran mail.docx", "A 49369-2024")</f>
        <v/>
      </c>
    </row>
    <row r="647" ht="15" customHeight="1">
      <c r="A647" t="inlineStr">
        <is>
          <t>A 49563-2024</t>
        </is>
      </c>
      <c r="B647" s="1" t="n">
        <v>45596</v>
      </c>
      <c r="C647" s="1" t="n">
        <v>45710</v>
      </c>
      <c r="D647" t="inlineStr">
        <is>
          <t>ÖSTERGÖTLANDS LÄN</t>
        </is>
      </c>
      <c r="E647" t="inlineStr">
        <is>
          <t>VALDEMARSVIK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Svedjenäva</t>
        </is>
      </c>
      <c r="S647">
        <f>HYPERLINK("https://klasma.github.io/Logging_0563/artfynd/A 49563-2024 artfynd.xlsx", "A 49563-2024")</f>
        <v/>
      </c>
      <c r="T647">
        <f>HYPERLINK("https://klasma.github.io/Logging_0563/kartor/A 49563-2024 karta.png", "A 49563-2024")</f>
        <v/>
      </c>
      <c r="V647">
        <f>HYPERLINK("https://klasma.github.io/Logging_0563/klagomål/A 49563-2024 FSC-klagomål.docx", "A 49563-2024")</f>
        <v/>
      </c>
      <c r="W647">
        <f>HYPERLINK("https://klasma.github.io/Logging_0563/klagomålsmail/A 49563-2024 FSC-klagomål mail.docx", "A 49563-2024")</f>
        <v/>
      </c>
      <c r="X647">
        <f>HYPERLINK("https://klasma.github.io/Logging_0563/tillsyn/A 49563-2024 tillsynsbegäran.docx", "A 49563-2024")</f>
        <v/>
      </c>
      <c r="Y647">
        <f>HYPERLINK("https://klasma.github.io/Logging_0563/tillsynsmail/A 49563-2024 tillsynsbegäran mail.docx", "A 49563-2024")</f>
        <v/>
      </c>
    </row>
    <row r="648" ht="15" customHeight="1">
      <c r="A648" t="inlineStr">
        <is>
          <t>A 49950-2024</t>
        </is>
      </c>
      <c r="B648" s="1" t="n">
        <v>45597</v>
      </c>
      <c r="C648" s="1" t="n">
        <v>45710</v>
      </c>
      <c r="D648" t="inlineStr">
        <is>
          <t>ÖSTERGÖTLANDS LÄN</t>
        </is>
      </c>
      <c r="E648" t="inlineStr">
        <is>
          <t>SÖDERKÖPING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Motaggsvamp</t>
        </is>
      </c>
      <c r="S648">
        <f>HYPERLINK("https://klasma.github.io/Logging_0582/artfynd/A 49950-2024 artfynd.xlsx", "A 49950-2024")</f>
        <v/>
      </c>
      <c r="T648">
        <f>HYPERLINK("https://klasma.github.io/Logging_0582/kartor/A 49950-2024 karta.png", "A 49950-2024")</f>
        <v/>
      </c>
      <c r="V648">
        <f>HYPERLINK("https://klasma.github.io/Logging_0582/klagomål/A 49950-2024 FSC-klagomål.docx", "A 49950-2024")</f>
        <v/>
      </c>
      <c r="W648">
        <f>HYPERLINK("https://klasma.github.io/Logging_0582/klagomålsmail/A 49950-2024 FSC-klagomål mail.docx", "A 49950-2024")</f>
        <v/>
      </c>
      <c r="X648">
        <f>HYPERLINK("https://klasma.github.io/Logging_0582/tillsyn/A 49950-2024 tillsynsbegäran.docx", "A 49950-2024")</f>
        <v/>
      </c>
      <c r="Y648">
        <f>HYPERLINK("https://klasma.github.io/Logging_0582/tillsynsmail/A 49950-2024 tillsynsbegäran mail.docx", "A 49950-2024")</f>
        <v/>
      </c>
    </row>
    <row r="649" ht="15" customHeight="1">
      <c r="A649" t="inlineStr">
        <is>
          <t>A 50328-2024</t>
        </is>
      </c>
      <c r="B649" s="1" t="n">
        <v>45600</v>
      </c>
      <c r="C649" s="1" t="n">
        <v>45710</v>
      </c>
      <c r="D649" t="inlineStr">
        <is>
          <t>ÖSTERGÖTLANDS LÄN</t>
        </is>
      </c>
      <c r="E649" t="inlineStr">
        <is>
          <t>YDRE</t>
        </is>
      </c>
      <c r="F649" t="inlineStr">
        <is>
          <t>Kyrkan</t>
        </is>
      </c>
      <c r="G649" t="n">
        <v>0.6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Backsippa</t>
        </is>
      </c>
      <c r="S649">
        <f>HYPERLINK("https://klasma.github.io/Logging_0512/artfynd/A 50328-2024 artfynd.xlsx", "A 50328-2024")</f>
        <v/>
      </c>
      <c r="T649">
        <f>HYPERLINK("https://klasma.github.io/Logging_0512/kartor/A 50328-2024 karta.png", "A 50328-2024")</f>
        <v/>
      </c>
      <c r="V649">
        <f>HYPERLINK("https://klasma.github.io/Logging_0512/klagomål/A 50328-2024 FSC-klagomål.docx", "A 50328-2024")</f>
        <v/>
      </c>
      <c r="W649">
        <f>HYPERLINK("https://klasma.github.io/Logging_0512/klagomålsmail/A 50328-2024 FSC-klagomål mail.docx", "A 50328-2024")</f>
        <v/>
      </c>
      <c r="X649">
        <f>HYPERLINK("https://klasma.github.io/Logging_0512/tillsyn/A 50328-2024 tillsynsbegäran.docx", "A 50328-2024")</f>
        <v/>
      </c>
      <c r="Y649">
        <f>HYPERLINK("https://klasma.github.io/Logging_0512/tillsynsmail/A 50328-2024 tillsynsbegäran mail.docx", "A 50328-2024")</f>
        <v/>
      </c>
    </row>
    <row r="650" ht="15" customHeight="1">
      <c r="A650" t="inlineStr">
        <is>
          <t>A 50639-2024</t>
        </is>
      </c>
      <c r="B650" s="1" t="n">
        <v>45601</v>
      </c>
      <c r="C650" s="1" t="n">
        <v>45710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13.4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Mindre bastardsvärmare</t>
        </is>
      </c>
      <c r="S650">
        <f>HYPERLINK("https://klasma.github.io/Logging_0562/artfynd/A 50639-2024 artfynd.xlsx", "A 50639-2024")</f>
        <v/>
      </c>
      <c r="T650">
        <f>HYPERLINK("https://klasma.github.io/Logging_0562/kartor/A 50639-2024 karta.png", "A 50639-2024")</f>
        <v/>
      </c>
      <c r="V650">
        <f>HYPERLINK("https://klasma.github.io/Logging_0562/klagomål/A 50639-2024 FSC-klagomål.docx", "A 50639-2024")</f>
        <v/>
      </c>
      <c r="W650">
        <f>HYPERLINK("https://klasma.github.io/Logging_0562/klagomålsmail/A 50639-2024 FSC-klagomål mail.docx", "A 50639-2024")</f>
        <v/>
      </c>
      <c r="X650">
        <f>HYPERLINK("https://klasma.github.io/Logging_0562/tillsyn/A 50639-2024 tillsynsbegäran.docx", "A 50639-2024")</f>
        <v/>
      </c>
      <c r="Y650">
        <f>HYPERLINK("https://klasma.github.io/Logging_0562/tillsynsmail/A 50639-2024 tillsynsbegäran mail.docx", "A 50639-2024")</f>
        <v/>
      </c>
    </row>
    <row r="651" ht="15" customHeight="1">
      <c r="A651" t="inlineStr">
        <is>
          <t>A 50702-2024</t>
        </is>
      </c>
      <c r="B651" s="1" t="n">
        <v>45602</v>
      </c>
      <c r="C651" s="1" t="n">
        <v>45710</v>
      </c>
      <c r="D651" t="inlineStr">
        <is>
          <t>ÖSTERGÖTLANDS LÄN</t>
        </is>
      </c>
      <c r="E651" t="inlineStr">
        <is>
          <t>KINDA</t>
        </is>
      </c>
      <c r="G651" t="n">
        <v>9.800000000000001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Tallticka</t>
        </is>
      </c>
      <c r="S651">
        <f>HYPERLINK("https://klasma.github.io/Logging_0513/artfynd/A 50702-2024 artfynd.xlsx", "A 50702-2024")</f>
        <v/>
      </c>
      <c r="T651">
        <f>HYPERLINK("https://klasma.github.io/Logging_0513/kartor/A 50702-2024 karta.png", "A 50702-2024")</f>
        <v/>
      </c>
      <c r="V651">
        <f>HYPERLINK("https://klasma.github.io/Logging_0513/klagomål/A 50702-2024 FSC-klagomål.docx", "A 50702-2024")</f>
        <v/>
      </c>
      <c r="W651">
        <f>HYPERLINK("https://klasma.github.io/Logging_0513/klagomålsmail/A 50702-2024 FSC-klagomål mail.docx", "A 50702-2024")</f>
        <v/>
      </c>
      <c r="X651">
        <f>HYPERLINK("https://klasma.github.io/Logging_0513/tillsyn/A 50702-2024 tillsynsbegäran.docx", "A 50702-2024")</f>
        <v/>
      </c>
      <c r="Y651">
        <f>HYPERLINK("https://klasma.github.io/Logging_0513/tillsynsmail/A 50702-2024 tillsynsbegäran mail.docx", "A 50702-2024")</f>
        <v/>
      </c>
    </row>
    <row r="652" ht="15" customHeight="1">
      <c r="A652" t="inlineStr">
        <is>
          <t>A 50904-2024</t>
        </is>
      </c>
      <c r="B652" s="1" t="n">
        <v>45602</v>
      </c>
      <c r="C652" s="1" t="n">
        <v>45710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Igelkottsröksvamp</t>
        </is>
      </c>
      <c r="S652">
        <f>HYPERLINK("https://klasma.github.io/Logging_0562/artfynd/A 50904-2024 artfynd.xlsx", "A 50904-2024")</f>
        <v/>
      </c>
      <c r="T652">
        <f>HYPERLINK("https://klasma.github.io/Logging_0562/kartor/A 50904-2024 karta.png", "A 50904-2024")</f>
        <v/>
      </c>
      <c r="V652">
        <f>HYPERLINK("https://klasma.github.io/Logging_0562/klagomål/A 50904-2024 FSC-klagomål.docx", "A 50904-2024")</f>
        <v/>
      </c>
      <c r="W652">
        <f>HYPERLINK("https://klasma.github.io/Logging_0562/klagomålsmail/A 50904-2024 FSC-klagomål mail.docx", "A 50904-2024")</f>
        <v/>
      </c>
      <c r="X652">
        <f>HYPERLINK("https://klasma.github.io/Logging_0562/tillsyn/A 50904-2024 tillsynsbegäran.docx", "A 50904-2024")</f>
        <v/>
      </c>
      <c r="Y652">
        <f>HYPERLINK("https://klasma.github.io/Logging_0562/tillsynsmail/A 50904-2024 tillsynsbegäran mail.docx", "A 50904-2024")</f>
        <v/>
      </c>
    </row>
    <row r="653" ht="15" customHeight="1">
      <c r="A653" t="inlineStr">
        <is>
          <t>A 50716-2024</t>
        </is>
      </c>
      <c r="B653" s="1" t="n">
        <v>45602</v>
      </c>
      <c r="C653" s="1" t="n">
        <v>45710</v>
      </c>
      <c r="D653" t="inlineStr">
        <is>
          <t>ÖSTERGÖTLANDS LÄN</t>
        </is>
      </c>
      <c r="E653" t="inlineStr">
        <is>
          <t>KINDA</t>
        </is>
      </c>
      <c r="G653" t="n">
        <v>34.3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Äkta lopplummer</t>
        </is>
      </c>
      <c r="S653">
        <f>HYPERLINK("https://klasma.github.io/Logging_0513/artfynd/A 50716-2024 artfynd.xlsx", "A 50716-2024")</f>
        <v/>
      </c>
      <c r="T653">
        <f>HYPERLINK("https://klasma.github.io/Logging_0513/kartor/A 50716-2024 karta.png", "A 50716-2024")</f>
        <v/>
      </c>
      <c r="V653">
        <f>HYPERLINK("https://klasma.github.io/Logging_0513/klagomål/A 50716-2024 FSC-klagomål.docx", "A 50716-2024")</f>
        <v/>
      </c>
      <c r="W653">
        <f>HYPERLINK("https://klasma.github.io/Logging_0513/klagomålsmail/A 50716-2024 FSC-klagomål mail.docx", "A 50716-2024")</f>
        <v/>
      </c>
      <c r="X653">
        <f>HYPERLINK("https://klasma.github.io/Logging_0513/tillsyn/A 50716-2024 tillsynsbegäran.docx", "A 50716-2024")</f>
        <v/>
      </c>
      <c r="Y653">
        <f>HYPERLINK("https://klasma.github.io/Logging_0513/tillsynsmail/A 50716-2024 tillsynsbegäran mail.docx", "A 50716-2024")</f>
        <v/>
      </c>
    </row>
    <row r="654" ht="15" customHeight="1">
      <c r="A654" t="inlineStr">
        <is>
          <t>A 50929-2024</t>
        </is>
      </c>
      <c r="B654" s="1" t="n">
        <v>45602</v>
      </c>
      <c r="C654" s="1" t="n">
        <v>45710</v>
      </c>
      <c r="D654" t="inlineStr">
        <is>
          <t>ÖSTERGÖTLANDS LÄN</t>
        </is>
      </c>
      <c r="E654" t="inlineStr">
        <is>
          <t>SÖDERKÖPING</t>
        </is>
      </c>
      <c r="G654" t="n">
        <v>5.3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Tallticka</t>
        </is>
      </c>
      <c r="S654">
        <f>HYPERLINK("https://klasma.github.io/Logging_0582/artfynd/A 50929-2024 artfynd.xlsx", "A 50929-2024")</f>
        <v/>
      </c>
      <c r="T654">
        <f>HYPERLINK("https://klasma.github.io/Logging_0582/kartor/A 50929-2024 karta.png", "A 50929-2024")</f>
        <v/>
      </c>
      <c r="V654">
        <f>HYPERLINK("https://klasma.github.io/Logging_0582/klagomål/A 50929-2024 FSC-klagomål.docx", "A 50929-2024")</f>
        <v/>
      </c>
      <c r="W654">
        <f>HYPERLINK("https://klasma.github.io/Logging_0582/klagomålsmail/A 50929-2024 FSC-klagomål mail.docx", "A 50929-2024")</f>
        <v/>
      </c>
      <c r="X654">
        <f>HYPERLINK("https://klasma.github.io/Logging_0582/tillsyn/A 50929-2024 tillsynsbegäran.docx", "A 50929-2024")</f>
        <v/>
      </c>
      <c r="Y654">
        <f>HYPERLINK("https://klasma.github.io/Logging_0582/tillsynsmail/A 50929-2024 tillsynsbegäran mail.docx", "A 50929-2024")</f>
        <v/>
      </c>
    </row>
    <row r="655" ht="15" customHeight="1">
      <c r="A655" t="inlineStr">
        <is>
          <t>A 52847-2024</t>
        </is>
      </c>
      <c r="B655" s="1" t="n">
        <v>45610</v>
      </c>
      <c r="C655" s="1" t="n">
        <v>45710</v>
      </c>
      <c r="D655" t="inlineStr">
        <is>
          <t>ÖSTERGÖTLANDS LÄN</t>
        </is>
      </c>
      <c r="E655" t="inlineStr">
        <is>
          <t>BOXHOLM</t>
        </is>
      </c>
      <c r="G655" t="n">
        <v>1.2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Vårstarr</t>
        </is>
      </c>
      <c r="S655">
        <f>HYPERLINK("https://klasma.github.io/Logging_0560/artfynd/A 52847-2024 artfynd.xlsx", "A 52847-2024")</f>
        <v/>
      </c>
      <c r="T655">
        <f>HYPERLINK("https://klasma.github.io/Logging_0560/kartor/A 52847-2024 karta.png", "A 52847-2024")</f>
        <v/>
      </c>
      <c r="V655">
        <f>HYPERLINK("https://klasma.github.io/Logging_0560/klagomål/A 52847-2024 FSC-klagomål.docx", "A 52847-2024")</f>
        <v/>
      </c>
      <c r="W655">
        <f>HYPERLINK("https://klasma.github.io/Logging_0560/klagomålsmail/A 52847-2024 FSC-klagomål mail.docx", "A 52847-2024")</f>
        <v/>
      </c>
      <c r="X655">
        <f>HYPERLINK("https://klasma.github.io/Logging_0560/tillsyn/A 52847-2024 tillsynsbegäran.docx", "A 52847-2024")</f>
        <v/>
      </c>
      <c r="Y655">
        <f>HYPERLINK("https://klasma.github.io/Logging_0560/tillsynsmail/A 52847-2024 tillsynsbegäran mail.docx", "A 52847-2024")</f>
        <v/>
      </c>
    </row>
    <row r="656" ht="15" customHeight="1">
      <c r="A656" t="inlineStr">
        <is>
          <t>A 53049-2024</t>
        </is>
      </c>
      <c r="B656" s="1" t="n">
        <v>45611</v>
      </c>
      <c r="C656" s="1" t="n">
        <v>45710</v>
      </c>
      <c r="D656" t="inlineStr">
        <is>
          <t>ÖSTERGÖTLANDS LÄN</t>
        </is>
      </c>
      <c r="E656" t="inlineStr">
        <is>
          <t>YDRE</t>
        </is>
      </c>
      <c r="F656" t="inlineStr">
        <is>
          <t>Övriga Aktiebolag</t>
        </is>
      </c>
      <c r="G656" t="n">
        <v>2.8</v>
      </c>
      <c r="H656" t="n">
        <v>1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Mosippa</t>
        </is>
      </c>
      <c r="S656">
        <f>HYPERLINK("https://klasma.github.io/Logging_0512/artfynd/A 53049-2024 artfynd.xlsx", "A 53049-2024")</f>
        <v/>
      </c>
      <c r="T656">
        <f>HYPERLINK("https://klasma.github.io/Logging_0512/kartor/A 53049-2024 karta.png", "A 53049-2024")</f>
        <v/>
      </c>
      <c r="V656">
        <f>HYPERLINK("https://klasma.github.io/Logging_0512/klagomål/A 53049-2024 FSC-klagomål.docx", "A 53049-2024")</f>
        <v/>
      </c>
      <c r="W656">
        <f>HYPERLINK("https://klasma.github.io/Logging_0512/klagomålsmail/A 53049-2024 FSC-klagomål mail.docx", "A 53049-2024")</f>
        <v/>
      </c>
      <c r="X656">
        <f>HYPERLINK("https://klasma.github.io/Logging_0512/tillsyn/A 53049-2024 tillsynsbegäran.docx", "A 53049-2024")</f>
        <v/>
      </c>
      <c r="Y656">
        <f>HYPERLINK("https://klasma.github.io/Logging_0512/tillsynsmail/A 53049-2024 tillsynsbegäran mail.docx", "A 53049-2024")</f>
        <v/>
      </c>
    </row>
    <row r="657" ht="15" customHeight="1">
      <c r="A657" t="inlineStr">
        <is>
          <t>A 53673-2024</t>
        </is>
      </c>
      <c r="B657" s="1" t="n">
        <v>45615</v>
      </c>
      <c r="C657" s="1" t="n">
        <v>45710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HYPERLINK("https://klasma.github.io/Logging_0562/artfynd/A 53673-2024 artfynd.xlsx", "A 53673-2024")</f>
        <v/>
      </c>
      <c r="T657">
        <f>HYPERLINK("https://klasma.github.io/Logging_0562/kartor/A 53673-2024 karta.png", "A 53673-2024")</f>
        <v/>
      </c>
      <c r="U657">
        <f>HYPERLINK("https://klasma.github.io/Logging_0562/knärot/A 53673-2024 karta knärot.png", "A 53673-2024")</f>
        <v/>
      </c>
      <c r="V657">
        <f>HYPERLINK("https://klasma.github.io/Logging_0562/klagomål/A 53673-2024 FSC-klagomål.docx", "A 53673-2024")</f>
        <v/>
      </c>
      <c r="W657">
        <f>HYPERLINK("https://klasma.github.io/Logging_0562/klagomålsmail/A 53673-2024 FSC-klagomål mail.docx", "A 53673-2024")</f>
        <v/>
      </c>
      <c r="X657">
        <f>HYPERLINK("https://klasma.github.io/Logging_0562/tillsyn/A 53673-2024 tillsynsbegäran.docx", "A 53673-2024")</f>
        <v/>
      </c>
      <c r="Y657">
        <f>HYPERLINK("https://klasma.github.io/Logging_0562/tillsynsmail/A 53673-2024 tillsynsbegäran mail.docx", "A 53673-2024")</f>
        <v/>
      </c>
    </row>
    <row r="658" ht="15" customHeight="1">
      <c r="A658" t="inlineStr">
        <is>
          <t>A 54419-2024</t>
        </is>
      </c>
      <c r="B658" s="1" t="n">
        <v>45617</v>
      </c>
      <c r="C658" s="1" t="n">
        <v>45710</v>
      </c>
      <c r="D658" t="inlineStr">
        <is>
          <t>ÖSTERGÖTLANDS LÄN</t>
        </is>
      </c>
      <c r="E658" t="inlineStr">
        <is>
          <t>ÖDESHÖG</t>
        </is>
      </c>
      <c r="F658" t="inlineStr">
        <is>
          <t>Allmännings- och besparingsskogar</t>
        </is>
      </c>
      <c r="G658" t="n">
        <v>22.7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Svart taggsvamp</t>
        </is>
      </c>
      <c r="S658">
        <f>HYPERLINK("https://klasma.github.io/Logging_0509/artfynd/A 54419-2024 artfynd.xlsx", "A 54419-2024")</f>
        <v/>
      </c>
      <c r="T658">
        <f>HYPERLINK("https://klasma.github.io/Logging_0509/kartor/A 54419-2024 karta.png", "A 54419-2024")</f>
        <v/>
      </c>
      <c r="V658">
        <f>HYPERLINK("https://klasma.github.io/Logging_0509/klagomål/A 54419-2024 FSC-klagomål.docx", "A 54419-2024")</f>
        <v/>
      </c>
      <c r="W658">
        <f>HYPERLINK("https://klasma.github.io/Logging_0509/klagomålsmail/A 54419-2024 FSC-klagomål mail.docx", "A 54419-2024")</f>
        <v/>
      </c>
      <c r="X658">
        <f>HYPERLINK("https://klasma.github.io/Logging_0509/tillsyn/A 54419-2024 tillsynsbegäran.docx", "A 54419-2024")</f>
        <v/>
      </c>
      <c r="Y658">
        <f>HYPERLINK("https://klasma.github.io/Logging_0509/tillsynsmail/A 54419-2024 tillsynsbegäran mail.docx", "A 54419-2024")</f>
        <v/>
      </c>
    </row>
    <row r="659" ht="15" customHeight="1">
      <c r="A659" t="inlineStr">
        <is>
          <t>A 55989-2024</t>
        </is>
      </c>
      <c r="B659" s="1" t="n">
        <v>45623</v>
      </c>
      <c r="C659" s="1" t="n">
        <v>45710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11.1</v>
      </c>
      <c r="H659" t="n">
        <v>1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Blåsippa</t>
        </is>
      </c>
      <c r="S659">
        <f>HYPERLINK("https://klasma.github.io/Logging_0562/artfynd/A 55989-2024 artfynd.xlsx", "A 55989-2024")</f>
        <v/>
      </c>
      <c r="T659">
        <f>HYPERLINK("https://klasma.github.io/Logging_0562/kartor/A 55989-2024 karta.png", "A 55989-2024")</f>
        <v/>
      </c>
      <c r="V659">
        <f>HYPERLINK("https://klasma.github.io/Logging_0562/klagomål/A 55989-2024 FSC-klagomål.docx", "A 55989-2024")</f>
        <v/>
      </c>
      <c r="W659">
        <f>HYPERLINK("https://klasma.github.io/Logging_0562/klagomålsmail/A 55989-2024 FSC-klagomål mail.docx", "A 55989-2024")</f>
        <v/>
      </c>
      <c r="X659">
        <f>HYPERLINK("https://klasma.github.io/Logging_0562/tillsyn/A 55989-2024 tillsynsbegäran.docx", "A 55989-2024")</f>
        <v/>
      </c>
      <c r="Y659">
        <f>HYPERLINK("https://klasma.github.io/Logging_0562/tillsynsmail/A 55989-2024 tillsynsbegäran mail.docx", "A 55989-2024")</f>
        <v/>
      </c>
    </row>
    <row r="660" ht="15" customHeight="1">
      <c r="A660" t="inlineStr">
        <is>
          <t>A 56415-2024</t>
        </is>
      </c>
      <c r="B660" s="1" t="n">
        <v>45625</v>
      </c>
      <c r="C660" s="1" t="n">
        <v>45710</v>
      </c>
      <c r="D660" t="inlineStr">
        <is>
          <t>ÖSTERGÖTLANDS LÄN</t>
        </is>
      </c>
      <c r="E660" t="inlineStr">
        <is>
          <t>FINSPÅNG</t>
        </is>
      </c>
      <c r="G660" t="n">
        <v>5.3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HYPERLINK("https://klasma.github.io/Logging_0562/artfynd/A 56415-2024 artfynd.xlsx", "A 56415-2024")</f>
        <v/>
      </c>
      <c r="T660">
        <f>HYPERLINK("https://klasma.github.io/Logging_0562/kartor/A 56415-2024 karta.png", "A 56415-2024")</f>
        <v/>
      </c>
      <c r="U660">
        <f>HYPERLINK("https://klasma.github.io/Logging_0562/knärot/A 56415-2024 karta knärot.png", "A 56415-2024")</f>
        <v/>
      </c>
      <c r="V660">
        <f>HYPERLINK("https://klasma.github.io/Logging_0562/klagomål/A 56415-2024 FSC-klagomål.docx", "A 56415-2024")</f>
        <v/>
      </c>
      <c r="W660">
        <f>HYPERLINK("https://klasma.github.io/Logging_0562/klagomålsmail/A 56415-2024 FSC-klagomål mail.docx", "A 56415-2024")</f>
        <v/>
      </c>
      <c r="X660">
        <f>HYPERLINK("https://klasma.github.io/Logging_0562/tillsyn/A 56415-2024 tillsynsbegäran.docx", "A 56415-2024")</f>
        <v/>
      </c>
      <c r="Y660">
        <f>HYPERLINK("https://klasma.github.io/Logging_0562/tillsynsmail/A 56415-2024 tillsynsbegäran mail.docx", "A 56415-2024")</f>
        <v/>
      </c>
    </row>
    <row r="661" ht="15" customHeight="1">
      <c r="A661" t="inlineStr">
        <is>
          <t>A 56584-2024</t>
        </is>
      </c>
      <c r="B661" s="1" t="n">
        <v>45625</v>
      </c>
      <c r="C661" s="1" t="n">
        <v>45710</v>
      </c>
      <c r="D661" t="inlineStr">
        <is>
          <t>ÖSTERGÖTLANDS LÄN</t>
        </is>
      </c>
      <c r="E661" t="inlineStr">
        <is>
          <t>KINDA</t>
        </is>
      </c>
      <c r="G661" t="n">
        <v>3.6</v>
      </c>
      <c r="H661" t="n">
        <v>1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Havsörn</t>
        </is>
      </c>
      <c r="S661">
        <f>HYPERLINK("https://klasma.github.io/Logging_0513/artfynd/A 56584-2024 artfynd.xlsx", "A 56584-2024")</f>
        <v/>
      </c>
      <c r="T661">
        <f>HYPERLINK("https://klasma.github.io/Logging_0513/kartor/A 56584-2024 karta.png", "A 56584-2024")</f>
        <v/>
      </c>
      <c r="V661">
        <f>HYPERLINK("https://klasma.github.io/Logging_0513/klagomål/A 56584-2024 FSC-klagomål.docx", "A 56584-2024")</f>
        <v/>
      </c>
      <c r="W661">
        <f>HYPERLINK("https://klasma.github.io/Logging_0513/klagomålsmail/A 56584-2024 FSC-klagomål mail.docx", "A 56584-2024")</f>
        <v/>
      </c>
      <c r="X661">
        <f>HYPERLINK("https://klasma.github.io/Logging_0513/tillsyn/A 56584-2024 tillsynsbegäran.docx", "A 56584-2024")</f>
        <v/>
      </c>
      <c r="Y661">
        <f>HYPERLINK("https://klasma.github.io/Logging_0513/tillsynsmail/A 56584-2024 tillsynsbegäran mail.docx", "A 56584-2024")</f>
        <v/>
      </c>
      <c r="Z661">
        <f>HYPERLINK("https://klasma.github.io/Logging_0513/fåglar/A 56584-2024 prioriterade fågelarter.docx", "A 56584-2024")</f>
        <v/>
      </c>
    </row>
    <row r="662" ht="15" customHeight="1">
      <c r="A662" t="inlineStr">
        <is>
          <t>A 56880-2024</t>
        </is>
      </c>
      <c r="B662" s="1" t="n">
        <v>45628</v>
      </c>
      <c r="C662" s="1" t="n">
        <v>45710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Övriga Aktiebolag</t>
        </is>
      </c>
      <c r="G662" t="n">
        <v>18.3</v>
      </c>
      <c r="H662" t="n">
        <v>1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Ekoxe</t>
        </is>
      </c>
      <c r="S662">
        <f>HYPERLINK("https://klasma.github.io/Logging_0561/artfynd/A 56880-2024 artfynd.xlsx", "A 56880-2024")</f>
        <v/>
      </c>
      <c r="T662">
        <f>HYPERLINK("https://klasma.github.io/Logging_0561/kartor/A 56880-2024 karta.png", "A 56880-2024")</f>
        <v/>
      </c>
      <c r="V662">
        <f>HYPERLINK("https://klasma.github.io/Logging_0561/klagomål/A 56880-2024 FSC-klagomål.docx", "A 56880-2024")</f>
        <v/>
      </c>
      <c r="W662">
        <f>HYPERLINK("https://klasma.github.io/Logging_0561/klagomålsmail/A 56880-2024 FSC-klagomål mail.docx", "A 56880-2024")</f>
        <v/>
      </c>
      <c r="X662">
        <f>HYPERLINK("https://klasma.github.io/Logging_0561/tillsyn/A 56880-2024 tillsynsbegäran.docx", "A 56880-2024")</f>
        <v/>
      </c>
      <c r="Y662">
        <f>HYPERLINK("https://klasma.github.io/Logging_0561/tillsynsmail/A 56880-2024 tillsynsbegäran mail.docx", "A 56880-2024")</f>
        <v/>
      </c>
    </row>
    <row r="663" ht="15" customHeight="1">
      <c r="A663" t="inlineStr">
        <is>
          <t>A 56964-2024</t>
        </is>
      </c>
      <c r="B663" s="1" t="n">
        <v>45628</v>
      </c>
      <c r="C663" s="1" t="n">
        <v>45710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2.2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Blåsippa</t>
        </is>
      </c>
      <c r="S663">
        <f>HYPERLINK("https://klasma.github.io/Logging_0562/artfynd/A 56964-2024 artfynd.xlsx", "A 56964-2024")</f>
        <v/>
      </c>
      <c r="T663">
        <f>HYPERLINK("https://klasma.github.io/Logging_0562/kartor/A 56964-2024 karta.png", "A 56964-2024")</f>
        <v/>
      </c>
      <c r="V663">
        <f>HYPERLINK("https://klasma.github.io/Logging_0562/klagomål/A 56964-2024 FSC-klagomål.docx", "A 56964-2024")</f>
        <v/>
      </c>
      <c r="W663">
        <f>HYPERLINK("https://klasma.github.io/Logging_0562/klagomålsmail/A 56964-2024 FSC-klagomål mail.docx", "A 56964-2024")</f>
        <v/>
      </c>
      <c r="X663">
        <f>HYPERLINK("https://klasma.github.io/Logging_0562/tillsyn/A 56964-2024 tillsynsbegäran.docx", "A 56964-2024")</f>
        <v/>
      </c>
      <c r="Y663">
        <f>HYPERLINK("https://klasma.github.io/Logging_0562/tillsynsmail/A 56964-2024 tillsynsbegäran mail.docx", "A 56964-2024")</f>
        <v/>
      </c>
    </row>
    <row r="664" ht="15" customHeight="1">
      <c r="A664" t="inlineStr">
        <is>
          <t>A 57634-2024</t>
        </is>
      </c>
      <c r="B664" s="1" t="n">
        <v>45630</v>
      </c>
      <c r="C664" s="1" t="n">
        <v>45710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Kyrkan</t>
        </is>
      </c>
      <c r="G664" t="n">
        <v>18.1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Revlummer</t>
        </is>
      </c>
      <c r="S664">
        <f>HYPERLINK("https://klasma.github.io/Logging_0580/artfynd/A 57634-2024 artfynd.xlsx", "A 57634-2024")</f>
        <v/>
      </c>
      <c r="T664">
        <f>HYPERLINK("https://klasma.github.io/Logging_0580/kartor/A 57634-2024 karta.png", "A 57634-2024")</f>
        <v/>
      </c>
      <c r="V664">
        <f>HYPERLINK("https://klasma.github.io/Logging_0580/klagomål/A 57634-2024 FSC-klagomål.docx", "A 57634-2024")</f>
        <v/>
      </c>
      <c r="W664">
        <f>HYPERLINK("https://klasma.github.io/Logging_0580/klagomålsmail/A 57634-2024 FSC-klagomål mail.docx", "A 57634-2024")</f>
        <v/>
      </c>
      <c r="X664">
        <f>HYPERLINK("https://klasma.github.io/Logging_0580/tillsyn/A 57634-2024 tillsynsbegäran.docx", "A 57634-2024")</f>
        <v/>
      </c>
      <c r="Y664">
        <f>HYPERLINK("https://klasma.github.io/Logging_0580/tillsynsmail/A 57634-2024 tillsynsbegäran mail.docx", "A 57634-2024")</f>
        <v/>
      </c>
    </row>
    <row r="665" ht="15" customHeight="1">
      <c r="A665" t="inlineStr">
        <is>
          <t>A 57522-2024</t>
        </is>
      </c>
      <c r="B665" s="1" t="n">
        <v>45630</v>
      </c>
      <c r="C665" s="1" t="n">
        <v>45710</v>
      </c>
      <c r="D665" t="inlineStr">
        <is>
          <t>ÖSTERGÖTLANDS LÄN</t>
        </is>
      </c>
      <c r="E665" t="inlineStr">
        <is>
          <t>KINDA</t>
        </is>
      </c>
      <c r="G665" t="n">
        <v>3.3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Vedskivlav</t>
        </is>
      </c>
      <c r="S665">
        <f>HYPERLINK("https://klasma.github.io/Logging_0513/artfynd/A 57522-2024 artfynd.xlsx", "A 57522-2024")</f>
        <v/>
      </c>
      <c r="T665">
        <f>HYPERLINK("https://klasma.github.io/Logging_0513/kartor/A 57522-2024 karta.png", "A 57522-2024")</f>
        <v/>
      </c>
      <c r="V665">
        <f>HYPERLINK("https://klasma.github.io/Logging_0513/klagomål/A 57522-2024 FSC-klagomål.docx", "A 57522-2024")</f>
        <v/>
      </c>
      <c r="W665">
        <f>HYPERLINK("https://klasma.github.io/Logging_0513/klagomålsmail/A 57522-2024 FSC-klagomål mail.docx", "A 57522-2024")</f>
        <v/>
      </c>
      <c r="X665">
        <f>HYPERLINK("https://klasma.github.io/Logging_0513/tillsyn/A 57522-2024 tillsynsbegäran.docx", "A 57522-2024")</f>
        <v/>
      </c>
      <c r="Y665">
        <f>HYPERLINK("https://klasma.github.io/Logging_0513/tillsynsmail/A 57522-2024 tillsynsbegäran mail.docx", "A 57522-2024")</f>
        <v/>
      </c>
    </row>
    <row r="666" ht="15" customHeight="1">
      <c r="A666" t="inlineStr">
        <is>
          <t>A 59830-2024</t>
        </is>
      </c>
      <c r="B666" s="1" t="n">
        <v>45639</v>
      </c>
      <c r="C666" s="1" t="n">
        <v>45710</v>
      </c>
      <c r="D666" t="inlineStr">
        <is>
          <t>ÖSTERGÖTLANDS LÄN</t>
        </is>
      </c>
      <c r="E666" t="inlineStr">
        <is>
          <t>NORRKÖPING</t>
        </is>
      </c>
      <c r="G666" t="n">
        <v>2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Kattfotslav</t>
        </is>
      </c>
      <c r="S666">
        <f>HYPERLINK("https://klasma.github.io/Logging_0581/artfynd/A 59830-2024 artfynd.xlsx", "A 59830-2024")</f>
        <v/>
      </c>
      <c r="T666">
        <f>HYPERLINK("https://klasma.github.io/Logging_0581/kartor/A 59830-2024 karta.png", "A 59830-2024")</f>
        <v/>
      </c>
      <c r="V666">
        <f>HYPERLINK("https://klasma.github.io/Logging_0581/klagomål/A 59830-2024 FSC-klagomål.docx", "A 59830-2024")</f>
        <v/>
      </c>
      <c r="W666">
        <f>HYPERLINK("https://klasma.github.io/Logging_0581/klagomålsmail/A 59830-2024 FSC-klagomål mail.docx", "A 59830-2024")</f>
        <v/>
      </c>
      <c r="X666">
        <f>HYPERLINK("https://klasma.github.io/Logging_0581/tillsyn/A 59830-2024 tillsynsbegäran.docx", "A 59830-2024")</f>
        <v/>
      </c>
      <c r="Y666">
        <f>HYPERLINK("https://klasma.github.io/Logging_0581/tillsynsmail/A 59830-2024 tillsynsbegäran mail.docx", "A 59830-2024")</f>
        <v/>
      </c>
    </row>
    <row r="667" ht="15" customHeight="1">
      <c r="A667" t="inlineStr">
        <is>
          <t>A 59766-2024</t>
        </is>
      </c>
      <c r="B667" s="1" t="n">
        <v>45639</v>
      </c>
      <c r="C667" s="1" t="n">
        <v>45710</v>
      </c>
      <c r="D667" t="inlineStr">
        <is>
          <t>ÖSTERGÖTLANDS LÄN</t>
        </is>
      </c>
      <c r="E667" t="inlineStr">
        <is>
          <t>ÅTVIDABERG</t>
        </is>
      </c>
      <c r="G667" t="n">
        <v>1.1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Rödlånke</t>
        </is>
      </c>
      <c r="S667">
        <f>HYPERLINK("https://klasma.github.io/Logging_0561/artfynd/A 59766-2024 artfynd.xlsx", "A 59766-2024")</f>
        <v/>
      </c>
      <c r="T667">
        <f>HYPERLINK("https://klasma.github.io/Logging_0561/kartor/A 59766-2024 karta.png", "A 59766-2024")</f>
        <v/>
      </c>
      <c r="V667">
        <f>HYPERLINK("https://klasma.github.io/Logging_0561/klagomål/A 59766-2024 FSC-klagomål.docx", "A 59766-2024")</f>
        <v/>
      </c>
      <c r="W667">
        <f>HYPERLINK("https://klasma.github.io/Logging_0561/klagomålsmail/A 59766-2024 FSC-klagomål mail.docx", "A 59766-2024")</f>
        <v/>
      </c>
      <c r="X667">
        <f>HYPERLINK("https://klasma.github.io/Logging_0561/tillsyn/A 59766-2024 tillsynsbegäran.docx", "A 59766-2024")</f>
        <v/>
      </c>
      <c r="Y667">
        <f>HYPERLINK("https://klasma.github.io/Logging_0561/tillsynsmail/A 59766-2024 tillsynsbegäran mail.docx", "A 59766-2024")</f>
        <v/>
      </c>
    </row>
    <row r="668" ht="15" customHeight="1">
      <c r="A668" t="inlineStr">
        <is>
          <t>A 60093-2024</t>
        </is>
      </c>
      <c r="B668" s="1" t="n">
        <v>45642</v>
      </c>
      <c r="C668" s="1" t="n">
        <v>45710</v>
      </c>
      <c r="D668" t="inlineStr">
        <is>
          <t>ÖSTERGÖTLANDS LÄN</t>
        </is>
      </c>
      <c r="E668" t="inlineStr">
        <is>
          <t>FINSPÅNG</t>
        </is>
      </c>
      <c r="G668" t="n">
        <v>6.6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60093-2024 artfynd.xlsx", "A 60093-2024")</f>
        <v/>
      </c>
      <c r="T668">
        <f>HYPERLINK("https://klasma.github.io/Logging_0562/kartor/A 60093-2024 karta.png", "A 60093-2024")</f>
        <v/>
      </c>
      <c r="U668">
        <f>HYPERLINK("https://klasma.github.io/Logging_0562/knärot/A 60093-2024 karta knärot.png", "A 60093-2024")</f>
        <v/>
      </c>
      <c r="V668">
        <f>HYPERLINK("https://klasma.github.io/Logging_0562/klagomål/A 60093-2024 FSC-klagomål.docx", "A 60093-2024")</f>
        <v/>
      </c>
      <c r="W668">
        <f>HYPERLINK("https://klasma.github.io/Logging_0562/klagomålsmail/A 60093-2024 FSC-klagomål mail.docx", "A 60093-2024")</f>
        <v/>
      </c>
      <c r="X668">
        <f>HYPERLINK("https://klasma.github.io/Logging_0562/tillsyn/A 60093-2024 tillsynsbegäran.docx", "A 60093-2024")</f>
        <v/>
      </c>
      <c r="Y668">
        <f>HYPERLINK("https://klasma.github.io/Logging_0562/tillsynsmail/A 60093-2024 tillsynsbegäran mail.docx", "A 60093-2024")</f>
        <v/>
      </c>
    </row>
    <row r="669" ht="15" customHeight="1">
      <c r="A669" t="inlineStr">
        <is>
          <t>A 60621-2024</t>
        </is>
      </c>
      <c r="B669" s="1" t="n">
        <v>45644</v>
      </c>
      <c r="C669" s="1" t="n">
        <v>45710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11.2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Klasefibbla</t>
        </is>
      </c>
      <c r="S669">
        <f>HYPERLINK("https://klasma.github.io/Logging_0562/artfynd/A 60621-2024 artfynd.xlsx", "A 60621-2024")</f>
        <v/>
      </c>
      <c r="T669">
        <f>HYPERLINK("https://klasma.github.io/Logging_0562/kartor/A 60621-2024 karta.png", "A 60621-2024")</f>
        <v/>
      </c>
      <c r="V669">
        <f>HYPERLINK("https://klasma.github.io/Logging_0562/klagomål/A 60621-2024 FSC-klagomål.docx", "A 60621-2024")</f>
        <v/>
      </c>
      <c r="W669">
        <f>HYPERLINK("https://klasma.github.io/Logging_0562/klagomålsmail/A 60621-2024 FSC-klagomål mail.docx", "A 60621-2024")</f>
        <v/>
      </c>
      <c r="X669">
        <f>HYPERLINK("https://klasma.github.io/Logging_0562/tillsyn/A 60621-2024 tillsynsbegäran.docx", "A 60621-2024")</f>
        <v/>
      </c>
      <c r="Y669">
        <f>HYPERLINK("https://klasma.github.io/Logging_0562/tillsynsmail/A 60621-2024 tillsynsbegäran mail.docx", "A 60621-2024")</f>
        <v/>
      </c>
    </row>
    <row r="670" ht="15" customHeight="1">
      <c r="A670" t="inlineStr">
        <is>
          <t>A 61060-2024</t>
        </is>
      </c>
      <c r="B670" s="1" t="n">
        <v>45645</v>
      </c>
      <c r="C670" s="1" t="n">
        <v>45710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6.8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Slåtterfibbla</t>
        </is>
      </c>
      <c r="S670">
        <f>HYPERLINK("https://klasma.github.io/Logging_0562/artfynd/A 61060-2024 artfynd.xlsx", "A 61060-2024")</f>
        <v/>
      </c>
      <c r="T670">
        <f>HYPERLINK("https://klasma.github.io/Logging_0562/kartor/A 61060-2024 karta.png", "A 61060-2024")</f>
        <v/>
      </c>
      <c r="V670">
        <f>HYPERLINK("https://klasma.github.io/Logging_0562/klagomål/A 61060-2024 FSC-klagomål.docx", "A 61060-2024")</f>
        <v/>
      </c>
      <c r="W670">
        <f>HYPERLINK("https://klasma.github.io/Logging_0562/klagomålsmail/A 61060-2024 FSC-klagomål mail.docx", "A 61060-2024")</f>
        <v/>
      </c>
      <c r="X670">
        <f>HYPERLINK("https://klasma.github.io/Logging_0562/tillsyn/A 61060-2024 tillsynsbegäran.docx", "A 61060-2024")</f>
        <v/>
      </c>
      <c r="Y670">
        <f>HYPERLINK("https://klasma.github.io/Logging_0562/tillsynsmail/A 61060-2024 tillsynsbegäran mail.docx", "A 61060-2024")</f>
        <v/>
      </c>
    </row>
    <row r="671" ht="15" customHeight="1">
      <c r="A671" t="inlineStr">
        <is>
          <t>A 61915-2024</t>
        </is>
      </c>
      <c r="B671" s="1" t="n">
        <v>45653</v>
      </c>
      <c r="C671" s="1" t="n">
        <v>45710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1</v>
      </c>
      <c r="I671" t="n">
        <v>0</v>
      </c>
      <c r="J671" t="n">
        <v>0</v>
      </c>
      <c r="K671" t="n">
        <v>1</v>
      </c>
      <c r="L671" t="n">
        <v>0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Knärot</t>
        </is>
      </c>
      <c r="S671">
        <f>HYPERLINK("https://klasma.github.io/Logging_0580/artfynd/A 61915-2024 artfynd.xlsx", "A 61915-2024")</f>
        <v/>
      </c>
      <c r="T671">
        <f>HYPERLINK("https://klasma.github.io/Logging_0580/kartor/A 61915-2024 karta.png", "A 61915-2024")</f>
        <v/>
      </c>
      <c r="U671">
        <f>HYPERLINK("https://klasma.github.io/Logging_0580/knärot/A 61915-2024 karta knärot.png", "A 61915-2024")</f>
        <v/>
      </c>
      <c r="V671">
        <f>HYPERLINK("https://klasma.github.io/Logging_0580/klagomål/A 61915-2024 FSC-klagomål.docx", "A 61915-2024")</f>
        <v/>
      </c>
      <c r="W671">
        <f>HYPERLINK("https://klasma.github.io/Logging_0580/klagomålsmail/A 61915-2024 FSC-klagomål mail.docx", "A 61915-2024")</f>
        <v/>
      </c>
      <c r="X671">
        <f>HYPERLINK("https://klasma.github.io/Logging_0580/tillsyn/A 61915-2024 tillsynsbegäran.docx", "A 61915-2024")</f>
        <v/>
      </c>
      <c r="Y671">
        <f>HYPERLINK("https://klasma.github.io/Logging_0580/tillsynsmail/A 61915-2024 tillsynsbegäran mail.docx", "A 61915-2024")</f>
        <v/>
      </c>
    </row>
    <row r="672" ht="15" customHeight="1">
      <c r="A672" t="inlineStr">
        <is>
          <t>A 388-2025</t>
        </is>
      </c>
      <c r="B672" s="1" t="n">
        <v>45662</v>
      </c>
      <c r="C672" s="1" t="n">
        <v>45710</v>
      </c>
      <c r="D672" t="inlineStr">
        <is>
          <t>ÖSTERGÖTLANDS LÄN</t>
        </is>
      </c>
      <c r="E672" t="inlineStr">
        <is>
          <t>ÅTVIDABERG</t>
        </is>
      </c>
      <c r="G672" t="n">
        <v>6.8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Bergjohannesört</t>
        </is>
      </c>
      <c r="S672">
        <f>HYPERLINK("https://klasma.github.io/Logging_0561/artfynd/A 388-2025 artfynd.xlsx", "A 388-2025")</f>
        <v/>
      </c>
      <c r="T672">
        <f>HYPERLINK("https://klasma.github.io/Logging_0561/kartor/A 388-2025 karta.png", "A 388-2025")</f>
        <v/>
      </c>
      <c r="V672">
        <f>HYPERLINK("https://klasma.github.io/Logging_0561/klagomål/A 388-2025 FSC-klagomål.docx", "A 388-2025")</f>
        <v/>
      </c>
      <c r="W672">
        <f>HYPERLINK("https://klasma.github.io/Logging_0561/klagomålsmail/A 388-2025 FSC-klagomål mail.docx", "A 388-2025")</f>
        <v/>
      </c>
      <c r="X672">
        <f>HYPERLINK("https://klasma.github.io/Logging_0561/tillsyn/A 388-2025 tillsynsbegäran.docx", "A 388-2025")</f>
        <v/>
      </c>
      <c r="Y672">
        <f>HYPERLINK("https://klasma.github.io/Logging_0561/tillsynsmail/A 388-2025 tillsynsbegäran mail.docx", "A 388-2025")</f>
        <v/>
      </c>
    </row>
    <row r="673" ht="15" customHeight="1">
      <c r="A673" t="inlineStr">
        <is>
          <t>A 931-2025</t>
        </is>
      </c>
      <c r="B673" s="1" t="n">
        <v>45665</v>
      </c>
      <c r="C673" s="1" t="n">
        <v>45710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Tallticka</t>
        </is>
      </c>
      <c r="S673">
        <f>HYPERLINK("https://klasma.github.io/Logging_0580/artfynd/A 931-2025 artfynd.xlsx", "A 931-2025")</f>
        <v/>
      </c>
      <c r="T673">
        <f>HYPERLINK("https://klasma.github.io/Logging_0580/kartor/A 931-2025 karta.png", "A 931-2025")</f>
        <v/>
      </c>
      <c r="V673">
        <f>HYPERLINK("https://klasma.github.io/Logging_0580/klagomål/A 931-2025 FSC-klagomål.docx", "A 931-2025")</f>
        <v/>
      </c>
      <c r="W673">
        <f>HYPERLINK("https://klasma.github.io/Logging_0580/klagomålsmail/A 931-2025 FSC-klagomål mail.docx", "A 931-2025")</f>
        <v/>
      </c>
      <c r="X673">
        <f>HYPERLINK("https://klasma.github.io/Logging_0580/tillsyn/A 931-2025 tillsynsbegäran.docx", "A 931-2025")</f>
        <v/>
      </c>
      <c r="Y673">
        <f>HYPERLINK("https://klasma.github.io/Logging_0580/tillsynsmail/A 931-2025 tillsynsbegäran mail.docx", "A 931-2025")</f>
        <v/>
      </c>
    </row>
    <row r="674" ht="15" customHeight="1">
      <c r="A674" t="inlineStr">
        <is>
          <t>A 1132-2025</t>
        </is>
      </c>
      <c r="B674" s="1" t="n">
        <v>45666</v>
      </c>
      <c r="C674" s="1" t="n">
        <v>45710</v>
      </c>
      <c r="D674" t="inlineStr">
        <is>
          <t>ÖSTERGÖTLANDS LÄN</t>
        </is>
      </c>
      <c r="E674" t="inlineStr">
        <is>
          <t>ÅTVIDABERG</t>
        </is>
      </c>
      <c r="G674" t="n">
        <v>2.3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Strutbräken</t>
        </is>
      </c>
      <c r="S674">
        <f>HYPERLINK("https://klasma.github.io/Logging_0561/artfynd/A 1132-2025 artfynd.xlsx", "A 1132-2025")</f>
        <v/>
      </c>
      <c r="T674">
        <f>HYPERLINK("https://klasma.github.io/Logging_0561/kartor/A 1132-2025 karta.png", "A 1132-2025")</f>
        <v/>
      </c>
      <c r="V674">
        <f>HYPERLINK("https://klasma.github.io/Logging_0561/klagomål/A 1132-2025 FSC-klagomål.docx", "A 1132-2025")</f>
        <v/>
      </c>
      <c r="W674">
        <f>HYPERLINK("https://klasma.github.io/Logging_0561/klagomålsmail/A 1132-2025 FSC-klagomål mail.docx", "A 1132-2025")</f>
        <v/>
      </c>
      <c r="X674">
        <f>HYPERLINK("https://klasma.github.io/Logging_0561/tillsyn/A 1132-2025 tillsynsbegäran.docx", "A 1132-2025")</f>
        <v/>
      </c>
      <c r="Y674">
        <f>HYPERLINK("https://klasma.github.io/Logging_0561/tillsynsmail/A 1132-2025 tillsynsbegäran mail.docx", "A 1132-2025")</f>
        <v/>
      </c>
    </row>
    <row r="675" ht="15" customHeight="1">
      <c r="A675" t="inlineStr">
        <is>
          <t>A 1299-2025</t>
        </is>
      </c>
      <c r="B675" s="1" t="n">
        <v>45667</v>
      </c>
      <c r="C675" s="1" t="n">
        <v>45710</v>
      </c>
      <c r="D675" t="inlineStr">
        <is>
          <t>ÖSTERGÖTLANDS LÄN</t>
        </is>
      </c>
      <c r="E675" t="inlineStr">
        <is>
          <t>LINKÖPING</t>
        </is>
      </c>
      <c r="G675" t="n">
        <v>8.9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Storgröe</t>
        </is>
      </c>
      <c r="S675">
        <f>HYPERLINK("https://klasma.github.io/Logging_0580/artfynd/A 1299-2025 artfynd.xlsx", "A 1299-2025")</f>
        <v/>
      </c>
      <c r="T675">
        <f>HYPERLINK("https://klasma.github.io/Logging_0580/kartor/A 1299-2025 karta.png", "A 1299-2025")</f>
        <v/>
      </c>
      <c r="V675">
        <f>HYPERLINK("https://klasma.github.io/Logging_0580/klagomål/A 1299-2025 FSC-klagomål.docx", "A 1299-2025")</f>
        <v/>
      </c>
      <c r="W675">
        <f>HYPERLINK("https://klasma.github.io/Logging_0580/klagomålsmail/A 1299-2025 FSC-klagomål mail.docx", "A 1299-2025")</f>
        <v/>
      </c>
      <c r="X675">
        <f>HYPERLINK("https://klasma.github.io/Logging_0580/tillsyn/A 1299-2025 tillsynsbegäran.docx", "A 1299-2025")</f>
        <v/>
      </c>
      <c r="Y675">
        <f>HYPERLINK("https://klasma.github.io/Logging_0580/tillsynsmail/A 1299-2025 tillsynsbegäran mail.docx", "A 1299-2025")</f>
        <v/>
      </c>
    </row>
    <row r="676" ht="15" customHeight="1">
      <c r="A676" t="inlineStr">
        <is>
          <t>A 1864-2025</t>
        </is>
      </c>
      <c r="B676" s="1" t="n">
        <v>45671</v>
      </c>
      <c r="C676" s="1" t="n">
        <v>45710</v>
      </c>
      <c r="D676" t="inlineStr">
        <is>
          <t>ÖSTERGÖTLANDS LÄN</t>
        </is>
      </c>
      <c r="E676" t="inlineStr">
        <is>
          <t>ÅTVIDABERG</t>
        </is>
      </c>
      <c r="G676" t="n">
        <v>7.5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Flagellkvastmossa</t>
        </is>
      </c>
      <c r="S676">
        <f>HYPERLINK("https://klasma.github.io/Logging_0561/artfynd/A 1864-2025 artfynd.xlsx", "A 1864-2025")</f>
        <v/>
      </c>
      <c r="T676">
        <f>HYPERLINK("https://klasma.github.io/Logging_0561/kartor/A 1864-2025 karta.png", "A 1864-2025")</f>
        <v/>
      </c>
      <c r="V676">
        <f>HYPERLINK("https://klasma.github.io/Logging_0561/klagomål/A 1864-2025 FSC-klagomål.docx", "A 1864-2025")</f>
        <v/>
      </c>
      <c r="W676">
        <f>HYPERLINK("https://klasma.github.io/Logging_0561/klagomålsmail/A 1864-2025 FSC-klagomål mail.docx", "A 1864-2025")</f>
        <v/>
      </c>
      <c r="X676">
        <f>HYPERLINK("https://klasma.github.io/Logging_0561/tillsyn/A 1864-2025 tillsynsbegäran.docx", "A 1864-2025")</f>
        <v/>
      </c>
      <c r="Y676">
        <f>HYPERLINK("https://klasma.github.io/Logging_0561/tillsynsmail/A 1864-2025 tillsynsbegäran mail.docx", "A 1864-2025")</f>
        <v/>
      </c>
    </row>
    <row r="677" ht="15" customHeight="1">
      <c r="A677" t="inlineStr">
        <is>
          <t>A 2230-2025</t>
        </is>
      </c>
      <c r="B677" s="1" t="n">
        <v>45673</v>
      </c>
      <c r="C677" s="1" t="n">
        <v>45710</v>
      </c>
      <c r="D677" t="inlineStr">
        <is>
          <t>ÖSTERGÖTLANDS LÄN</t>
        </is>
      </c>
      <c r="E677" t="inlineStr">
        <is>
          <t>MJÖLBY</t>
        </is>
      </c>
      <c r="G677" t="n">
        <v>1.6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Fläcknycklar</t>
        </is>
      </c>
      <c r="S677">
        <f>HYPERLINK("https://klasma.github.io/Logging_0586/artfynd/A 2230-2025 artfynd.xlsx", "A 2230-2025")</f>
        <v/>
      </c>
      <c r="T677">
        <f>HYPERLINK("https://klasma.github.io/Logging_0586/kartor/A 2230-2025 karta.png", "A 2230-2025")</f>
        <v/>
      </c>
      <c r="V677">
        <f>HYPERLINK("https://klasma.github.io/Logging_0586/klagomål/A 2230-2025 FSC-klagomål.docx", "A 2230-2025")</f>
        <v/>
      </c>
      <c r="W677">
        <f>HYPERLINK("https://klasma.github.io/Logging_0586/klagomålsmail/A 2230-2025 FSC-klagomål mail.docx", "A 2230-2025")</f>
        <v/>
      </c>
      <c r="X677">
        <f>HYPERLINK("https://klasma.github.io/Logging_0586/tillsyn/A 2230-2025 tillsynsbegäran.docx", "A 2230-2025")</f>
        <v/>
      </c>
      <c r="Y677">
        <f>HYPERLINK("https://klasma.github.io/Logging_0586/tillsynsmail/A 2230-2025 tillsynsbegäran mail.docx", "A 2230-2025")</f>
        <v/>
      </c>
    </row>
    <row r="678" ht="15" customHeight="1">
      <c r="A678" t="inlineStr">
        <is>
          <t>A 3047-2025</t>
        </is>
      </c>
      <c r="B678" s="1" t="n">
        <v>45678</v>
      </c>
      <c r="C678" s="1" t="n">
        <v>45710</v>
      </c>
      <c r="D678" t="inlineStr">
        <is>
          <t>ÖSTERGÖTLANDS LÄN</t>
        </is>
      </c>
      <c r="E678" t="inlineStr">
        <is>
          <t>MJÖLBY</t>
        </is>
      </c>
      <c r="G678" t="n">
        <v>2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Revlummer</t>
        </is>
      </c>
      <c r="S678">
        <f>HYPERLINK("https://klasma.github.io/Logging_0586/artfynd/A 3047-2025 artfynd.xlsx", "A 3047-2025")</f>
        <v/>
      </c>
      <c r="T678">
        <f>HYPERLINK("https://klasma.github.io/Logging_0586/kartor/A 3047-2025 karta.png", "A 3047-2025")</f>
        <v/>
      </c>
      <c r="V678">
        <f>HYPERLINK("https://klasma.github.io/Logging_0586/klagomål/A 3047-2025 FSC-klagomål.docx", "A 3047-2025")</f>
        <v/>
      </c>
      <c r="W678">
        <f>HYPERLINK("https://klasma.github.io/Logging_0586/klagomålsmail/A 3047-2025 FSC-klagomål mail.docx", "A 3047-2025")</f>
        <v/>
      </c>
      <c r="X678">
        <f>HYPERLINK("https://klasma.github.io/Logging_0586/tillsyn/A 3047-2025 tillsynsbegäran.docx", "A 3047-2025")</f>
        <v/>
      </c>
      <c r="Y678">
        <f>HYPERLINK("https://klasma.github.io/Logging_0586/tillsynsmail/A 3047-2025 tillsynsbegäran mail.docx", "A 3047-2025")</f>
        <v/>
      </c>
    </row>
    <row r="679" ht="15" customHeight="1">
      <c r="A679" t="inlineStr">
        <is>
          <t>A 3417-2025</t>
        </is>
      </c>
      <c r="B679" s="1" t="n">
        <v>45680</v>
      </c>
      <c r="C679" s="1" t="n">
        <v>45710</v>
      </c>
      <c r="D679" t="inlineStr">
        <is>
          <t>ÖSTERGÖTLANDS LÄN</t>
        </is>
      </c>
      <c r="E679" t="inlineStr">
        <is>
          <t>KINDA</t>
        </is>
      </c>
      <c r="G679" t="n">
        <v>1.1</v>
      </c>
      <c r="H679" t="n">
        <v>0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Svart trolldruva</t>
        </is>
      </c>
      <c r="S679">
        <f>HYPERLINK("https://klasma.github.io/Logging_0513/artfynd/A 3417-2025 artfynd.xlsx", "A 3417-2025")</f>
        <v/>
      </c>
      <c r="T679">
        <f>HYPERLINK("https://klasma.github.io/Logging_0513/kartor/A 3417-2025 karta.png", "A 3417-2025")</f>
        <v/>
      </c>
      <c r="V679">
        <f>HYPERLINK("https://klasma.github.io/Logging_0513/klagomål/A 3417-2025 FSC-klagomål.docx", "A 3417-2025")</f>
        <v/>
      </c>
      <c r="W679">
        <f>HYPERLINK("https://klasma.github.io/Logging_0513/klagomålsmail/A 3417-2025 FSC-klagomål mail.docx", "A 3417-2025")</f>
        <v/>
      </c>
      <c r="X679">
        <f>HYPERLINK("https://klasma.github.io/Logging_0513/tillsyn/A 3417-2025 tillsynsbegäran.docx", "A 3417-2025")</f>
        <v/>
      </c>
      <c r="Y679">
        <f>HYPERLINK("https://klasma.github.io/Logging_0513/tillsynsmail/A 3417-2025 tillsynsbegäran mail.docx", "A 3417-2025")</f>
        <v/>
      </c>
    </row>
    <row r="680" ht="15" customHeight="1">
      <c r="A680" t="inlineStr">
        <is>
          <t>A 4087-2025</t>
        </is>
      </c>
      <c r="B680" s="1" t="n">
        <v>45684</v>
      </c>
      <c r="C680" s="1" t="n">
        <v>45710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15.7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Gullklöver</t>
        </is>
      </c>
      <c r="S680">
        <f>HYPERLINK("https://klasma.github.io/Logging_0562/artfynd/A 4087-2025 artfynd.xlsx", "A 4087-2025")</f>
        <v/>
      </c>
      <c r="T680">
        <f>HYPERLINK("https://klasma.github.io/Logging_0562/kartor/A 4087-2025 karta.png", "A 4087-2025")</f>
        <v/>
      </c>
      <c r="V680">
        <f>HYPERLINK("https://klasma.github.io/Logging_0562/klagomål/A 4087-2025 FSC-klagomål.docx", "A 4087-2025")</f>
        <v/>
      </c>
      <c r="W680">
        <f>HYPERLINK("https://klasma.github.io/Logging_0562/klagomålsmail/A 4087-2025 FSC-klagomål mail.docx", "A 4087-2025")</f>
        <v/>
      </c>
      <c r="X680">
        <f>HYPERLINK("https://klasma.github.io/Logging_0562/tillsyn/A 4087-2025 tillsynsbegäran.docx", "A 4087-2025")</f>
        <v/>
      </c>
      <c r="Y680">
        <f>HYPERLINK("https://klasma.github.io/Logging_0562/tillsynsmail/A 4087-2025 tillsynsbegäran mail.docx", "A 4087-2025")</f>
        <v/>
      </c>
    </row>
    <row r="681" ht="15" customHeight="1">
      <c r="A681" t="inlineStr">
        <is>
          <t>A 4399-2025</t>
        </is>
      </c>
      <c r="B681" s="1" t="n">
        <v>45686</v>
      </c>
      <c r="C681" s="1" t="n">
        <v>45710</v>
      </c>
      <c r="D681" t="inlineStr">
        <is>
          <t>ÖSTERGÖTLANDS LÄN</t>
        </is>
      </c>
      <c r="E681" t="inlineStr">
        <is>
          <t>ÖDESHÖG</t>
        </is>
      </c>
      <c r="G681" t="n">
        <v>6.6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Scharlakansvaxskivling</t>
        </is>
      </c>
      <c r="S681">
        <f>HYPERLINK("https://klasma.github.io/Logging_0509/artfynd/A 4399-2025 artfynd.xlsx", "A 4399-2025")</f>
        <v/>
      </c>
      <c r="T681">
        <f>HYPERLINK("https://klasma.github.io/Logging_0509/kartor/A 4399-2025 karta.png", "A 4399-2025")</f>
        <v/>
      </c>
      <c r="V681">
        <f>HYPERLINK("https://klasma.github.io/Logging_0509/klagomål/A 4399-2025 FSC-klagomål.docx", "A 4399-2025")</f>
        <v/>
      </c>
      <c r="W681">
        <f>HYPERLINK("https://klasma.github.io/Logging_0509/klagomålsmail/A 4399-2025 FSC-klagomål mail.docx", "A 4399-2025")</f>
        <v/>
      </c>
      <c r="X681">
        <f>HYPERLINK("https://klasma.github.io/Logging_0509/tillsyn/A 4399-2025 tillsynsbegäran.docx", "A 4399-2025")</f>
        <v/>
      </c>
      <c r="Y681">
        <f>HYPERLINK("https://klasma.github.io/Logging_0509/tillsynsmail/A 4399-2025 tillsynsbegäran mail.docx", "A 4399-2025")</f>
        <v/>
      </c>
    </row>
    <row r="682" ht="15" customHeight="1">
      <c r="A682" t="inlineStr">
        <is>
          <t>A 4497-2025</t>
        </is>
      </c>
      <c r="B682" s="1" t="n">
        <v>45686</v>
      </c>
      <c r="C682" s="1" t="n">
        <v>45710</v>
      </c>
      <c r="D682" t="inlineStr">
        <is>
          <t>ÖSTERGÖTLANDS LÄN</t>
        </is>
      </c>
      <c r="E682" t="inlineStr">
        <is>
          <t>ÖDESHÖG</t>
        </is>
      </c>
      <c r="F682" t="inlineStr">
        <is>
          <t>Kyrkan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1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Skogsalm</t>
        </is>
      </c>
      <c r="S682">
        <f>HYPERLINK("https://klasma.github.io/Logging_0509/artfynd/A 4497-2025 artfynd.xlsx", "A 4497-2025")</f>
        <v/>
      </c>
      <c r="T682">
        <f>HYPERLINK("https://klasma.github.io/Logging_0509/kartor/A 4497-2025 karta.png", "A 4497-2025")</f>
        <v/>
      </c>
      <c r="V682">
        <f>HYPERLINK("https://klasma.github.io/Logging_0509/klagomål/A 4497-2025 FSC-klagomål.docx", "A 4497-2025")</f>
        <v/>
      </c>
      <c r="W682">
        <f>HYPERLINK("https://klasma.github.io/Logging_0509/klagomålsmail/A 4497-2025 FSC-klagomål mail.docx", "A 4497-2025")</f>
        <v/>
      </c>
      <c r="X682">
        <f>HYPERLINK("https://klasma.github.io/Logging_0509/tillsyn/A 4497-2025 tillsynsbegäran.docx", "A 4497-2025")</f>
        <v/>
      </c>
      <c r="Y682">
        <f>HYPERLINK("https://klasma.github.io/Logging_0509/tillsynsmail/A 4497-2025 tillsynsbegäran mail.docx", "A 4497-2025")</f>
        <v/>
      </c>
    </row>
    <row r="683" ht="15" customHeight="1">
      <c r="A683" t="inlineStr">
        <is>
          <t>A 4709-2025</t>
        </is>
      </c>
      <c r="B683" s="1" t="n">
        <v>45688</v>
      </c>
      <c r="C683" s="1" t="n">
        <v>45710</v>
      </c>
      <c r="D683" t="inlineStr">
        <is>
          <t>ÖSTERGÖTLANDS LÄN</t>
        </is>
      </c>
      <c r="E683" t="inlineStr">
        <is>
          <t>SÖDERKÖPING</t>
        </is>
      </c>
      <c r="G683" t="n">
        <v>5.1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Flagellkvastmossa</t>
        </is>
      </c>
      <c r="S683">
        <f>HYPERLINK("https://klasma.github.io/Logging_0582/artfynd/A 4709-2025 artfynd.xlsx", "A 4709-2025")</f>
        <v/>
      </c>
      <c r="T683">
        <f>HYPERLINK("https://klasma.github.io/Logging_0582/kartor/A 4709-2025 karta.png", "A 4709-2025")</f>
        <v/>
      </c>
      <c r="V683">
        <f>HYPERLINK("https://klasma.github.io/Logging_0582/klagomål/A 4709-2025 FSC-klagomål.docx", "A 4709-2025")</f>
        <v/>
      </c>
      <c r="W683">
        <f>HYPERLINK("https://klasma.github.io/Logging_0582/klagomålsmail/A 4709-2025 FSC-klagomål mail.docx", "A 4709-2025")</f>
        <v/>
      </c>
      <c r="X683">
        <f>HYPERLINK("https://klasma.github.io/Logging_0582/tillsyn/A 4709-2025 tillsynsbegäran.docx", "A 4709-2025")</f>
        <v/>
      </c>
      <c r="Y683">
        <f>HYPERLINK("https://klasma.github.io/Logging_0582/tillsynsmail/A 4709-2025 tillsynsbegäran mail.docx", "A 4709-2025")</f>
        <v/>
      </c>
    </row>
    <row r="684" ht="15" customHeight="1">
      <c r="A684" t="inlineStr">
        <is>
          <t>A 5984-2025</t>
        </is>
      </c>
      <c r="B684" s="1" t="n">
        <v>45695</v>
      </c>
      <c r="C684" s="1" t="n">
        <v>45710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5.5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Vanlig backsmörblomma</t>
        </is>
      </c>
      <c r="S684">
        <f>HYPERLINK("https://klasma.github.io/Logging_0580/artfynd/A 5984-2025 artfynd.xlsx", "A 5984-2025")</f>
        <v/>
      </c>
      <c r="T684">
        <f>HYPERLINK("https://klasma.github.io/Logging_0580/kartor/A 5984-2025 karta.png", "A 5984-2025")</f>
        <v/>
      </c>
      <c r="V684">
        <f>HYPERLINK("https://klasma.github.io/Logging_0580/klagomål/A 5984-2025 FSC-klagomål.docx", "A 5984-2025")</f>
        <v/>
      </c>
      <c r="W684">
        <f>HYPERLINK("https://klasma.github.io/Logging_0580/klagomålsmail/A 5984-2025 FSC-klagomål mail.docx", "A 5984-2025")</f>
        <v/>
      </c>
      <c r="X684">
        <f>HYPERLINK("https://klasma.github.io/Logging_0580/tillsyn/A 5984-2025 tillsynsbegäran.docx", "A 5984-2025")</f>
        <v/>
      </c>
      <c r="Y684">
        <f>HYPERLINK("https://klasma.github.io/Logging_0580/tillsynsmail/A 5984-2025 tillsynsbegäran mail.docx", "A 5984-2025")</f>
        <v/>
      </c>
    </row>
    <row r="685" ht="15" customHeight="1">
      <c r="A685" t="inlineStr">
        <is>
          <t>A 7316-2025</t>
        </is>
      </c>
      <c r="B685" s="1" t="n">
        <v>45702</v>
      </c>
      <c r="C685" s="1" t="n">
        <v>45710</v>
      </c>
      <c r="D685" t="inlineStr">
        <is>
          <t>ÖSTERGÖTLANDS LÄN</t>
        </is>
      </c>
      <c r="E685" t="inlineStr">
        <is>
          <t>NORRKÖPING</t>
        </is>
      </c>
      <c r="G685" t="n">
        <v>1.6</v>
      </c>
      <c r="H685" t="n">
        <v>1</v>
      </c>
      <c r="I685" t="n">
        <v>0</v>
      </c>
      <c r="J685" t="n">
        <v>0</v>
      </c>
      <c r="K685" t="n">
        <v>1</v>
      </c>
      <c r="L685" t="n">
        <v>0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Vinterhämpling</t>
        </is>
      </c>
      <c r="S685">
        <f>HYPERLINK("https://klasma.github.io/Logging_0581/artfynd/A 7316-2025 artfynd.xlsx", "A 7316-2025")</f>
        <v/>
      </c>
      <c r="T685">
        <f>HYPERLINK("https://klasma.github.io/Logging_0581/kartor/A 7316-2025 karta.png", "A 7316-2025")</f>
        <v/>
      </c>
      <c r="V685">
        <f>HYPERLINK("https://klasma.github.io/Logging_0581/klagomål/A 7316-2025 FSC-klagomål.docx", "A 7316-2025")</f>
        <v/>
      </c>
      <c r="W685">
        <f>HYPERLINK("https://klasma.github.io/Logging_0581/klagomålsmail/A 7316-2025 FSC-klagomål mail.docx", "A 7316-2025")</f>
        <v/>
      </c>
      <c r="X685">
        <f>HYPERLINK("https://klasma.github.io/Logging_0581/tillsyn/A 7316-2025 tillsynsbegäran.docx", "A 7316-2025")</f>
        <v/>
      </c>
      <c r="Y685">
        <f>HYPERLINK("https://klasma.github.io/Logging_0581/tillsynsmail/A 7316-2025 tillsynsbegäran mail.docx", "A 7316-2025")</f>
        <v/>
      </c>
    </row>
    <row r="686" ht="15" customHeight="1">
      <c r="A686" t="inlineStr">
        <is>
          <t>A 8171-2025</t>
        </is>
      </c>
      <c r="B686" s="1" t="n">
        <v>45708</v>
      </c>
      <c r="C686" s="1" t="n">
        <v>45710</v>
      </c>
      <c r="D686" t="inlineStr">
        <is>
          <t>ÖSTERGÖTLANDS LÄN</t>
        </is>
      </c>
      <c r="E686" t="inlineStr">
        <is>
          <t>BOXHOLM</t>
        </is>
      </c>
      <c r="F686" t="inlineStr">
        <is>
          <t>Kyrkan</t>
        </is>
      </c>
      <c r="G686" t="n">
        <v>14.2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Skogshare</t>
        </is>
      </c>
      <c r="S686">
        <f>HYPERLINK("https://klasma.github.io/Logging_0560/artfynd/A 8171-2025 artfynd.xlsx", "A 8171-2025")</f>
        <v/>
      </c>
      <c r="T686">
        <f>HYPERLINK("https://klasma.github.io/Logging_0560/kartor/A 8171-2025 karta.png", "A 8171-2025")</f>
        <v/>
      </c>
      <c r="V686">
        <f>HYPERLINK("https://klasma.github.io/Logging_0560/klagomål/A 8171-2025 FSC-klagomål.docx", "A 8171-2025")</f>
        <v/>
      </c>
      <c r="W686">
        <f>HYPERLINK("https://klasma.github.io/Logging_0560/klagomålsmail/A 8171-2025 FSC-klagomål mail.docx", "A 8171-2025")</f>
        <v/>
      </c>
      <c r="X686">
        <f>HYPERLINK("https://klasma.github.io/Logging_0560/tillsyn/A 8171-2025 tillsynsbegäran.docx", "A 8171-2025")</f>
        <v/>
      </c>
      <c r="Y686">
        <f>HYPERLINK("https://klasma.github.io/Logging_0560/tillsynsmail/A 8171-2025 tillsynsbegäran mail.docx", "A 8171-2025")</f>
        <v/>
      </c>
    </row>
    <row r="687" ht="15" customHeight="1">
      <c r="A687" t="inlineStr">
        <is>
          <t>A 8460-2025</t>
        </is>
      </c>
      <c r="B687" s="1" t="n">
        <v>45709</v>
      </c>
      <c r="C687" s="1" t="n">
        <v>45710</v>
      </c>
      <c r="D687" t="inlineStr">
        <is>
          <t>ÖSTERGÖTLANDS LÄN</t>
        </is>
      </c>
      <c r="E687" t="inlineStr">
        <is>
          <t>SÖDERKÖPING</t>
        </is>
      </c>
      <c r="G687" t="n">
        <v>4.8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Dårgräsfjäril</t>
        </is>
      </c>
      <c r="S687">
        <f>HYPERLINK("https://klasma.github.io/Logging_0582/artfynd/A 8460-2025 artfynd.xlsx", "A 8460-2025")</f>
        <v/>
      </c>
      <c r="T687">
        <f>HYPERLINK("https://klasma.github.io/Logging_0582/kartor/A 8460-2025 karta.png", "A 8460-2025")</f>
        <v/>
      </c>
      <c r="V687">
        <f>HYPERLINK("https://klasma.github.io/Logging_0582/klagomål/A 8460-2025 FSC-klagomål.docx", "A 8460-2025")</f>
        <v/>
      </c>
      <c r="W687">
        <f>HYPERLINK("https://klasma.github.io/Logging_0582/klagomålsmail/A 8460-2025 FSC-klagomål mail.docx", "A 8460-2025")</f>
        <v/>
      </c>
      <c r="X687">
        <f>HYPERLINK("https://klasma.github.io/Logging_0582/tillsyn/A 8460-2025 tillsynsbegäran.docx", "A 8460-2025")</f>
        <v/>
      </c>
      <c r="Y687">
        <f>HYPERLINK("https://klasma.github.io/Logging_0582/tillsynsmail/A 8460-2025 tillsynsbegäran mail.docx", "A 8460-2025")</f>
        <v/>
      </c>
    </row>
    <row r="688" ht="15" customHeight="1">
      <c r="A688" t="inlineStr">
        <is>
          <t>A 17627-2019</t>
        </is>
      </c>
      <c r="B688" s="1" t="n">
        <v>43556</v>
      </c>
      <c r="C688" s="1" t="n">
        <v>45710</v>
      </c>
      <c r="D688" t="inlineStr">
        <is>
          <t>ÖSTERGÖTLANDS LÄN</t>
        </is>
      </c>
      <c r="E688" t="inlineStr">
        <is>
          <t>MOTALA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17735-2019</t>
        </is>
      </c>
      <c r="B689" s="1" t="n">
        <v>43556</v>
      </c>
      <c r="C689" s="1" t="n">
        <v>45710</v>
      </c>
      <c r="D689" t="inlineStr">
        <is>
          <t>ÖSTERGÖTLANDS LÄN</t>
        </is>
      </c>
      <c r="E689" t="inlineStr">
        <is>
          <t>LINKÖPING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18016-2019</t>
        </is>
      </c>
      <c r="B690" s="1" t="n">
        <v>43557</v>
      </c>
      <c r="C690" s="1" t="n">
        <v>45710</v>
      </c>
      <c r="D690" t="inlineStr">
        <is>
          <t>ÖSTERGÖTLANDS LÄN</t>
        </is>
      </c>
      <c r="E690" t="inlineStr">
        <is>
          <t>ÅTVIDABERG</t>
        </is>
      </c>
      <c r="F690" t="inlineStr">
        <is>
          <t>Övriga Aktiebolag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17931-2019</t>
        </is>
      </c>
      <c r="B691" s="1" t="n">
        <v>43557</v>
      </c>
      <c r="C691" s="1" t="n">
        <v>45710</v>
      </c>
      <c r="D691" t="inlineStr">
        <is>
          <t>ÖSTERGÖTLANDS LÄN</t>
        </is>
      </c>
      <c r="E691" t="inlineStr">
        <is>
          <t>ÖDESHÖG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18047-2019</t>
        </is>
      </c>
      <c r="B692" s="1" t="n">
        <v>43557</v>
      </c>
      <c r="C692" s="1" t="n">
        <v>45710</v>
      </c>
      <c r="D692" t="inlineStr">
        <is>
          <t>ÖSTERGÖTLANDS LÄN</t>
        </is>
      </c>
      <c r="E692" t="inlineStr">
        <is>
          <t>KINDA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17971-2019</t>
        </is>
      </c>
      <c r="B693" s="1" t="n">
        <v>43557</v>
      </c>
      <c r="C693" s="1" t="n">
        <v>45710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18524-2019</t>
        </is>
      </c>
      <c r="B694" s="1" t="n">
        <v>43558</v>
      </c>
      <c r="C694" s="1" t="n">
        <v>45710</v>
      </c>
      <c r="D694" t="inlineStr">
        <is>
          <t>ÖSTERGÖTLANDS LÄN</t>
        </is>
      </c>
      <c r="E694" t="inlineStr">
        <is>
          <t>KINDA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18315-2019</t>
        </is>
      </c>
      <c r="B695" s="1" t="n">
        <v>43558</v>
      </c>
      <c r="C695" s="1" t="n">
        <v>45710</v>
      </c>
      <c r="D695" t="inlineStr">
        <is>
          <t>ÖSTERGÖTLANDS LÄN</t>
        </is>
      </c>
      <c r="E695" t="inlineStr">
        <is>
          <t>NORRKÖPING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18592-2019</t>
        </is>
      </c>
      <c r="B696" s="1" t="n">
        <v>43558</v>
      </c>
      <c r="C696" s="1" t="n">
        <v>45710</v>
      </c>
      <c r="D696" t="inlineStr">
        <is>
          <t>ÖSTERGÖTLANDS LÄN</t>
        </is>
      </c>
      <c r="E696" t="inlineStr">
        <is>
          <t>LINKÖPING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18589-2019</t>
        </is>
      </c>
      <c r="B697" s="1" t="n">
        <v>43558</v>
      </c>
      <c r="C697" s="1" t="n">
        <v>45710</v>
      </c>
      <c r="D697" t="inlineStr">
        <is>
          <t>ÖSTERGÖTLANDS LÄN</t>
        </is>
      </c>
      <c r="E697" t="inlineStr">
        <is>
          <t>MOTALA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18343-2019</t>
        </is>
      </c>
      <c r="B698" s="1" t="n">
        <v>43558</v>
      </c>
      <c r="C698" s="1" t="n">
        <v>45710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18369-2019</t>
        </is>
      </c>
      <c r="B699" s="1" t="n">
        <v>43558</v>
      </c>
      <c r="C699" s="1" t="n">
        <v>45710</v>
      </c>
      <c r="D699" t="inlineStr">
        <is>
          <t>ÖSTERGÖTLANDS LÄN</t>
        </is>
      </c>
      <c r="E699" t="inlineStr">
        <is>
          <t>NORRKÖPING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18097-2019</t>
        </is>
      </c>
      <c r="B700" s="1" t="n">
        <v>43558</v>
      </c>
      <c r="C700" s="1" t="n">
        <v>45710</v>
      </c>
      <c r="D700" t="inlineStr">
        <is>
          <t>ÖSTERGÖTLANDS LÄN</t>
        </is>
      </c>
      <c r="E700" t="inlineStr">
        <is>
          <t>YDRE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18434-2019</t>
        </is>
      </c>
      <c r="B701" s="1" t="n">
        <v>43559</v>
      </c>
      <c r="C701" s="1" t="n">
        <v>45710</v>
      </c>
      <c r="D701" t="inlineStr">
        <is>
          <t>ÖSTERGÖTLANDS LÄN</t>
        </is>
      </c>
      <c r="E701" t="inlineStr">
        <is>
          <t>LINKÖPING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18663-2019</t>
        </is>
      </c>
      <c r="B702" s="1" t="n">
        <v>43560</v>
      </c>
      <c r="C702" s="1" t="n">
        <v>45710</v>
      </c>
      <c r="D702" t="inlineStr">
        <is>
          <t>ÖSTERGÖTLANDS LÄN</t>
        </is>
      </c>
      <c r="E702" t="inlineStr">
        <is>
          <t>YDRE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18717-2019</t>
        </is>
      </c>
      <c r="B703" s="1" t="n">
        <v>43560</v>
      </c>
      <c r="C703" s="1" t="n">
        <v>45710</v>
      </c>
      <c r="D703" t="inlineStr">
        <is>
          <t>ÖSTERGÖTLANDS LÄN</t>
        </is>
      </c>
      <c r="E703" t="inlineStr">
        <is>
          <t>BOXHOLM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18597-2019</t>
        </is>
      </c>
      <c r="B704" s="1" t="n">
        <v>43560</v>
      </c>
      <c r="C704" s="1" t="n">
        <v>45710</v>
      </c>
      <c r="D704" t="inlineStr">
        <is>
          <t>ÖSTERGÖTLANDS LÄN</t>
        </is>
      </c>
      <c r="E704" t="inlineStr">
        <is>
          <t>ÖDESHÖG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18780-2019</t>
        </is>
      </c>
      <c r="B705" s="1" t="n">
        <v>43561</v>
      </c>
      <c r="C705" s="1" t="n">
        <v>45710</v>
      </c>
      <c r="D705" t="inlineStr">
        <is>
          <t>ÖSTERGÖTLANDS LÄN</t>
        </is>
      </c>
      <c r="E705" t="inlineStr">
        <is>
          <t>ÖDESHÖG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18779-2019</t>
        </is>
      </c>
      <c r="B706" s="1" t="n">
        <v>43561</v>
      </c>
      <c r="C706" s="1" t="n">
        <v>45710</v>
      </c>
      <c r="D706" t="inlineStr">
        <is>
          <t>ÖSTERGÖTLANDS LÄN</t>
        </is>
      </c>
      <c r="E706" t="inlineStr">
        <is>
          <t>ÖDESHÖG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18907-2019</t>
        </is>
      </c>
      <c r="B707" s="1" t="n">
        <v>43563</v>
      </c>
      <c r="C707" s="1" t="n">
        <v>45710</v>
      </c>
      <c r="D707" t="inlineStr">
        <is>
          <t>ÖSTERGÖTLANDS LÄN</t>
        </is>
      </c>
      <c r="E707" t="inlineStr">
        <is>
          <t>KINDA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18954-2019</t>
        </is>
      </c>
      <c r="B708" s="1" t="n">
        <v>43563</v>
      </c>
      <c r="C708" s="1" t="n">
        <v>45710</v>
      </c>
      <c r="D708" t="inlineStr">
        <is>
          <t>ÖSTERGÖTLANDS LÄN</t>
        </is>
      </c>
      <c r="E708" t="inlineStr">
        <is>
          <t>SÖDERKÖPING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18903-2019</t>
        </is>
      </c>
      <c r="B709" s="1" t="n">
        <v>43563</v>
      </c>
      <c r="C709" s="1" t="n">
        <v>45710</v>
      </c>
      <c r="D709" t="inlineStr">
        <is>
          <t>ÖSTERGÖTLANDS LÄN</t>
        </is>
      </c>
      <c r="E709" t="inlineStr">
        <is>
          <t>KINDA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19040-2019</t>
        </is>
      </c>
      <c r="B710" s="1" t="n">
        <v>43563</v>
      </c>
      <c r="C710" s="1" t="n">
        <v>45710</v>
      </c>
      <c r="D710" t="inlineStr">
        <is>
          <t>ÖSTERGÖTLANDS LÄN</t>
        </is>
      </c>
      <c r="E710" t="inlineStr">
        <is>
          <t>VALDEMARSVIK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18970-2019</t>
        </is>
      </c>
      <c r="B711" s="1" t="n">
        <v>43563</v>
      </c>
      <c r="C711" s="1" t="n">
        <v>45710</v>
      </c>
      <c r="D711" t="inlineStr">
        <is>
          <t>ÖSTERGÖTLANDS LÄN</t>
        </is>
      </c>
      <c r="E711" t="inlineStr">
        <is>
          <t>NORRKÖPING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18998-2019</t>
        </is>
      </c>
      <c r="B712" s="1" t="n">
        <v>43563</v>
      </c>
      <c r="C712" s="1" t="n">
        <v>45710</v>
      </c>
      <c r="D712" t="inlineStr">
        <is>
          <t>ÖSTERGÖTLANDS LÄN</t>
        </is>
      </c>
      <c r="E712" t="inlineStr">
        <is>
          <t>LINKÖPING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19257-2019</t>
        </is>
      </c>
      <c r="B713" s="1" t="n">
        <v>43564</v>
      </c>
      <c r="C713" s="1" t="n">
        <v>45710</v>
      </c>
      <c r="D713" t="inlineStr">
        <is>
          <t>ÖSTERGÖTLANDS LÄN</t>
        </is>
      </c>
      <c r="E713" t="inlineStr">
        <is>
          <t>FINSPÅNG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19185-2019</t>
        </is>
      </c>
      <c r="B714" s="1" t="n">
        <v>43564</v>
      </c>
      <c r="C714" s="1" t="n">
        <v>45710</v>
      </c>
      <c r="D714" t="inlineStr">
        <is>
          <t>ÖSTERGÖTLANDS LÄN</t>
        </is>
      </c>
      <c r="E714" t="inlineStr">
        <is>
          <t>YDRE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19218-2019</t>
        </is>
      </c>
      <c r="B715" s="1" t="n">
        <v>43564</v>
      </c>
      <c r="C715" s="1" t="n">
        <v>45710</v>
      </c>
      <c r="D715" t="inlineStr">
        <is>
          <t>ÖSTERGÖTLANDS LÄN</t>
        </is>
      </c>
      <c r="E715" t="inlineStr">
        <is>
          <t>MOTALA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19139-2019</t>
        </is>
      </c>
      <c r="B716" s="1" t="n">
        <v>43564</v>
      </c>
      <c r="C716" s="1" t="n">
        <v>45710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19115-2019</t>
        </is>
      </c>
      <c r="B717" s="1" t="n">
        <v>43564</v>
      </c>
      <c r="C717" s="1" t="n">
        <v>45710</v>
      </c>
      <c r="D717" t="inlineStr">
        <is>
          <t>ÖSTERGÖTLANDS LÄN</t>
        </is>
      </c>
      <c r="E717" t="inlineStr">
        <is>
          <t>LINKÖPING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19333-2019</t>
        </is>
      </c>
      <c r="B718" s="1" t="n">
        <v>43565</v>
      </c>
      <c r="C718" s="1" t="n">
        <v>45710</v>
      </c>
      <c r="D718" t="inlineStr">
        <is>
          <t>ÖSTERGÖTLANDS LÄN</t>
        </is>
      </c>
      <c r="E718" t="inlineStr">
        <is>
          <t>VADSTENA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19401-2019</t>
        </is>
      </c>
      <c r="B719" s="1" t="n">
        <v>43565</v>
      </c>
      <c r="C719" s="1" t="n">
        <v>45710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19337-2019</t>
        </is>
      </c>
      <c r="B720" s="1" t="n">
        <v>43565</v>
      </c>
      <c r="C720" s="1" t="n">
        <v>45710</v>
      </c>
      <c r="D720" t="inlineStr">
        <is>
          <t>ÖSTERGÖTLANDS LÄN</t>
        </is>
      </c>
      <c r="E720" t="inlineStr">
        <is>
          <t>BOXHOLM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19628-2019</t>
        </is>
      </c>
      <c r="B721" s="1" t="n">
        <v>43566</v>
      </c>
      <c r="C721" s="1" t="n">
        <v>45710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19888-2019</t>
        </is>
      </c>
      <c r="B722" s="1" t="n">
        <v>43567</v>
      </c>
      <c r="C722" s="1" t="n">
        <v>45710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20134-2019</t>
        </is>
      </c>
      <c r="B723" s="1" t="n">
        <v>43570</v>
      </c>
      <c r="C723" s="1" t="n">
        <v>45710</v>
      </c>
      <c r="D723" t="inlineStr">
        <is>
          <t>ÖSTERGÖTLANDS LÄN</t>
        </is>
      </c>
      <c r="E723" t="inlineStr">
        <is>
          <t>VALDEMARSVIK</t>
        </is>
      </c>
      <c r="F723" t="inlineStr">
        <is>
          <t>Övriga Aktiebolag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20142-2019</t>
        </is>
      </c>
      <c r="B724" s="1" t="n">
        <v>43570</v>
      </c>
      <c r="C724" s="1" t="n">
        <v>45710</v>
      </c>
      <c r="D724" t="inlineStr">
        <is>
          <t>ÖSTERGÖTLANDS LÄN</t>
        </is>
      </c>
      <c r="E724" t="inlineStr">
        <is>
          <t>VALDEMARSVIK</t>
        </is>
      </c>
      <c r="F724" t="inlineStr">
        <is>
          <t>Övriga Aktiebolag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20116-2019</t>
        </is>
      </c>
      <c r="B725" s="1" t="n">
        <v>43570</v>
      </c>
      <c r="C725" s="1" t="n">
        <v>45710</v>
      </c>
      <c r="D725" t="inlineStr">
        <is>
          <t>ÖSTERGÖTLANDS LÄN</t>
        </is>
      </c>
      <c r="E725" t="inlineStr">
        <is>
          <t>MOTALA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20036-2019</t>
        </is>
      </c>
      <c r="B726" s="1" t="n">
        <v>43570</v>
      </c>
      <c r="C726" s="1" t="n">
        <v>45710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20031-2019</t>
        </is>
      </c>
      <c r="B727" s="1" t="n">
        <v>43570</v>
      </c>
      <c r="C727" s="1" t="n">
        <v>45710</v>
      </c>
      <c r="D727" t="inlineStr">
        <is>
          <t>ÖSTERGÖTLANDS LÄN</t>
        </is>
      </c>
      <c r="E727" t="inlineStr">
        <is>
          <t>FINSPÅNG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20296-2019</t>
        </is>
      </c>
      <c r="B728" s="1" t="n">
        <v>43571</v>
      </c>
      <c r="C728" s="1" t="n">
        <v>45710</v>
      </c>
      <c r="D728" t="inlineStr">
        <is>
          <t>ÖSTERGÖTLANDS LÄN</t>
        </is>
      </c>
      <c r="E728" t="inlineStr">
        <is>
          <t>FINSPÅNG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20455-2019</t>
        </is>
      </c>
      <c r="B729" s="1" t="n">
        <v>43572</v>
      </c>
      <c r="C729" s="1" t="n">
        <v>45710</v>
      </c>
      <c r="D729" t="inlineStr">
        <is>
          <t>ÖSTERGÖTLANDS LÄN</t>
        </is>
      </c>
      <c r="E729" t="inlineStr">
        <is>
          <t>MJÖLBY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20700-2019</t>
        </is>
      </c>
      <c r="B730" s="1" t="n">
        <v>43573</v>
      </c>
      <c r="C730" s="1" t="n">
        <v>45710</v>
      </c>
      <c r="D730" t="inlineStr">
        <is>
          <t>ÖSTERGÖTLANDS LÄN</t>
        </is>
      </c>
      <c r="E730" t="inlineStr">
        <is>
          <t>ÅTVIDABERG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20707-2019</t>
        </is>
      </c>
      <c r="B731" s="1" t="n">
        <v>43573</v>
      </c>
      <c r="C731" s="1" t="n">
        <v>45710</v>
      </c>
      <c r="D731" t="inlineStr">
        <is>
          <t>ÖSTERGÖTLANDS LÄN</t>
        </is>
      </c>
      <c r="E731" t="inlineStr">
        <is>
          <t>KINDA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20713-2019</t>
        </is>
      </c>
      <c r="B732" s="1" t="n">
        <v>43573</v>
      </c>
      <c r="C732" s="1" t="n">
        <v>45710</v>
      </c>
      <c r="D732" t="inlineStr">
        <is>
          <t>ÖSTERGÖTLANDS LÄN</t>
        </is>
      </c>
      <c r="E732" t="inlineStr">
        <is>
          <t>ÅTVIDABERG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20703-2019</t>
        </is>
      </c>
      <c r="B733" s="1" t="n">
        <v>43573</v>
      </c>
      <c r="C733" s="1" t="n">
        <v>45710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20711-2019</t>
        </is>
      </c>
      <c r="B734" s="1" t="n">
        <v>43573</v>
      </c>
      <c r="C734" s="1" t="n">
        <v>45710</v>
      </c>
      <c r="D734" t="inlineStr">
        <is>
          <t>ÖSTERGÖTLANDS LÄN</t>
        </is>
      </c>
      <c r="E734" t="inlineStr">
        <is>
          <t>ÅTVIDABERG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20782-2019</t>
        </is>
      </c>
      <c r="B735" s="1" t="n">
        <v>43573</v>
      </c>
      <c r="C735" s="1" t="n">
        <v>45710</v>
      </c>
      <c r="D735" t="inlineStr">
        <is>
          <t>ÖSTERGÖTLANDS LÄN</t>
        </is>
      </c>
      <c r="E735" t="inlineStr">
        <is>
          <t>MJÖLBY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20837-2019</t>
        </is>
      </c>
      <c r="B736" s="1" t="n">
        <v>43576</v>
      </c>
      <c r="C736" s="1" t="n">
        <v>45710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21038-2019</t>
        </is>
      </c>
      <c r="B737" s="1" t="n">
        <v>43578</v>
      </c>
      <c r="C737" s="1" t="n">
        <v>45710</v>
      </c>
      <c r="D737" t="inlineStr">
        <is>
          <t>ÖSTERGÖTLANDS LÄN</t>
        </is>
      </c>
      <c r="E737" t="inlineStr">
        <is>
          <t>KINDA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21309-2019</t>
        </is>
      </c>
      <c r="B738" s="1" t="n">
        <v>43579</v>
      </c>
      <c r="C738" s="1" t="n">
        <v>45710</v>
      </c>
      <c r="D738" t="inlineStr">
        <is>
          <t>ÖSTERGÖTLANDS LÄN</t>
        </is>
      </c>
      <c r="E738" t="inlineStr">
        <is>
          <t>KINDA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21378-2019</t>
        </is>
      </c>
      <c r="B739" s="1" t="n">
        <v>43579</v>
      </c>
      <c r="C739" s="1" t="n">
        <v>45710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21351-2019</t>
        </is>
      </c>
      <c r="B740" s="1" t="n">
        <v>43579</v>
      </c>
      <c r="C740" s="1" t="n">
        <v>45710</v>
      </c>
      <c r="D740" t="inlineStr">
        <is>
          <t>ÖSTERGÖTLANDS LÄN</t>
        </is>
      </c>
      <c r="E740" t="inlineStr">
        <is>
          <t>FINSPÅNG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21425-2019</t>
        </is>
      </c>
      <c r="B741" s="1" t="n">
        <v>43580</v>
      </c>
      <c r="C741" s="1" t="n">
        <v>45710</v>
      </c>
      <c r="D741" t="inlineStr">
        <is>
          <t>ÖSTERGÖTLANDS LÄN</t>
        </is>
      </c>
      <c r="E741" t="inlineStr">
        <is>
          <t>KINDA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21869-2019</t>
        </is>
      </c>
      <c r="B742" s="1" t="n">
        <v>43584</v>
      </c>
      <c r="C742" s="1" t="n">
        <v>45710</v>
      </c>
      <c r="D742" t="inlineStr">
        <is>
          <t>ÖSTERGÖTLANDS LÄN</t>
        </is>
      </c>
      <c r="E742" t="inlineStr">
        <is>
          <t>KINDA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22038-2019</t>
        </is>
      </c>
      <c r="B743" s="1" t="n">
        <v>43584</v>
      </c>
      <c r="C743" s="1" t="n">
        <v>45710</v>
      </c>
      <c r="D743" t="inlineStr">
        <is>
          <t>ÖSTERGÖTLANDS LÄN</t>
        </is>
      </c>
      <c r="E743" t="inlineStr">
        <is>
          <t>KINDA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21966-2019</t>
        </is>
      </c>
      <c r="B744" s="1" t="n">
        <v>43584</v>
      </c>
      <c r="C744" s="1" t="n">
        <v>45710</v>
      </c>
      <c r="D744" t="inlineStr">
        <is>
          <t>ÖSTERGÖTLANDS LÄN</t>
        </is>
      </c>
      <c r="E744" t="inlineStr">
        <is>
          <t>FINSPÅNG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22133-2019</t>
        </is>
      </c>
      <c r="B745" s="1" t="n">
        <v>43584</v>
      </c>
      <c r="C745" s="1" t="n">
        <v>45710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21865-2019</t>
        </is>
      </c>
      <c r="B746" s="1" t="n">
        <v>43584</v>
      </c>
      <c r="C746" s="1" t="n">
        <v>45710</v>
      </c>
      <c r="D746" t="inlineStr">
        <is>
          <t>ÖSTERGÖTLANDS LÄN</t>
        </is>
      </c>
      <c r="E746" t="inlineStr">
        <is>
          <t>KINDA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22010-2019</t>
        </is>
      </c>
      <c r="B747" s="1" t="n">
        <v>43584</v>
      </c>
      <c r="C747" s="1" t="n">
        <v>45710</v>
      </c>
      <c r="D747" t="inlineStr">
        <is>
          <t>ÖSTERGÖTLANDS LÄN</t>
        </is>
      </c>
      <c r="E747" t="inlineStr">
        <is>
          <t>BOXHOLM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22205-2019</t>
        </is>
      </c>
      <c r="B748" s="1" t="n">
        <v>43585</v>
      </c>
      <c r="C748" s="1" t="n">
        <v>45710</v>
      </c>
      <c r="D748" t="inlineStr">
        <is>
          <t>ÖSTERGÖTLANDS LÄN</t>
        </is>
      </c>
      <c r="E748" t="inlineStr">
        <is>
          <t>YDRE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22949-2019</t>
        </is>
      </c>
      <c r="B749" s="1" t="n">
        <v>43587</v>
      </c>
      <c r="C749" s="1" t="n">
        <v>45710</v>
      </c>
      <c r="D749" t="inlineStr">
        <is>
          <t>ÖSTERGÖTLANDS LÄN</t>
        </is>
      </c>
      <c r="E749" t="inlineStr">
        <is>
          <t>MOTALA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22578-2019</t>
        </is>
      </c>
      <c r="B750" s="1" t="n">
        <v>43587</v>
      </c>
      <c r="C750" s="1" t="n">
        <v>45710</v>
      </c>
      <c r="D750" t="inlineStr">
        <is>
          <t>ÖSTERGÖTLANDS LÄN</t>
        </is>
      </c>
      <c r="E750" t="inlineStr">
        <is>
          <t>YDRE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22553-2019</t>
        </is>
      </c>
      <c r="B751" s="1" t="n">
        <v>43587</v>
      </c>
      <c r="C751" s="1" t="n">
        <v>45710</v>
      </c>
      <c r="D751" t="inlineStr">
        <is>
          <t>ÖSTERGÖTLANDS LÄN</t>
        </is>
      </c>
      <c r="E751" t="inlineStr">
        <is>
          <t>BOXHOLM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22699-2019</t>
        </is>
      </c>
      <c r="B752" s="1" t="n">
        <v>43588</v>
      </c>
      <c r="C752" s="1" t="n">
        <v>45710</v>
      </c>
      <c r="D752" t="inlineStr">
        <is>
          <t>ÖSTERGÖTLANDS LÄN</t>
        </is>
      </c>
      <c r="E752" t="inlineStr">
        <is>
          <t>NORRKÖPING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22704-2019</t>
        </is>
      </c>
      <c r="B753" s="1" t="n">
        <v>43588</v>
      </c>
      <c r="C753" s="1" t="n">
        <v>45710</v>
      </c>
      <c r="D753" t="inlineStr">
        <is>
          <t>ÖSTERGÖTLANDS LÄN</t>
        </is>
      </c>
      <c r="E753" t="inlineStr">
        <is>
          <t>NORRKÖPING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22683-2019</t>
        </is>
      </c>
      <c r="B754" s="1" t="n">
        <v>43588</v>
      </c>
      <c r="C754" s="1" t="n">
        <v>45710</v>
      </c>
      <c r="D754" t="inlineStr">
        <is>
          <t>ÖSTERGÖTLANDS LÄN</t>
        </is>
      </c>
      <c r="E754" t="inlineStr">
        <is>
          <t>KINDA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22633-2019</t>
        </is>
      </c>
      <c r="B755" s="1" t="n">
        <v>43588</v>
      </c>
      <c r="C755" s="1" t="n">
        <v>45710</v>
      </c>
      <c r="D755" t="inlineStr">
        <is>
          <t>ÖSTERGÖTLANDS LÄN</t>
        </is>
      </c>
      <c r="E755" t="inlineStr">
        <is>
          <t>LINKÖPING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22793-2019</t>
        </is>
      </c>
      <c r="B756" s="1" t="n">
        <v>43589</v>
      </c>
      <c r="C756" s="1" t="n">
        <v>45710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22831-2019</t>
        </is>
      </c>
      <c r="B757" s="1" t="n">
        <v>43591</v>
      </c>
      <c r="C757" s="1" t="n">
        <v>45710</v>
      </c>
      <c r="D757" t="inlineStr">
        <is>
          <t>ÖSTERGÖTLANDS LÄN</t>
        </is>
      </c>
      <c r="E757" t="inlineStr">
        <is>
          <t>ÖDESHÖG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22862-2019</t>
        </is>
      </c>
      <c r="B758" s="1" t="n">
        <v>43591</v>
      </c>
      <c r="C758" s="1" t="n">
        <v>45710</v>
      </c>
      <c r="D758" t="inlineStr">
        <is>
          <t>ÖSTERGÖTLANDS LÄN</t>
        </is>
      </c>
      <c r="E758" t="inlineStr">
        <is>
          <t>ÅTVIDABERG</t>
        </is>
      </c>
      <c r="F758" t="inlineStr">
        <is>
          <t>Övriga Aktiebolag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23027-2019</t>
        </is>
      </c>
      <c r="B759" s="1" t="n">
        <v>43591</v>
      </c>
      <c r="C759" s="1" t="n">
        <v>45710</v>
      </c>
      <c r="D759" t="inlineStr">
        <is>
          <t>ÖSTERGÖTLANDS LÄN</t>
        </is>
      </c>
      <c r="E759" t="inlineStr">
        <is>
          <t>NORRKÖPING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23101-2019</t>
        </is>
      </c>
      <c r="B760" s="1" t="n">
        <v>43592</v>
      </c>
      <c r="C760" s="1" t="n">
        <v>45710</v>
      </c>
      <c r="D760" t="inlineStr">
        <is>
          <t>ÖSTERGÖTLANDS LÄN</t>
        </is>
      </c>
      <c r="E760" t="inlineStr">
        <is>
          <t>BOXHOLM</t>
        </is>
      </c>
      <c r="F760" t="inlineStr">
        <is>
          <t>Övriga Aktiebolag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23198-2019</t>
        </is>
      </c>
      <c r="B761" s="1" t="n">
        <v>43592</v>
      </c>
      <c r="C761" s="1" t="n">
        <v>45710</v>
      </c>
      <c r="D761" t="inlineStr">
        <is>
          <t>ÖSTERGÖTLANDS LÄN</t>
        </is>
      </c>
      <c r="E761" t="inlineStr">
        <is>
          <t>VALDEMARSVIK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23201-2019</t>
        </is>
      </c>
      <c r="B762" s="1" t="n">
        <v>43592</v>
      </c>
      <c r="C762" s="1" t="n">
        <v>45710</v>
      </c>
      <c r="D762" t="inlineStr">
        <is>
          <t>ÖSTERGÖTLANDS LÄN</t>
        </is>
      </c>
      <c r="E762" t="inlineStr">
        <is>
          <t>VALDEMARSVIK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23367-2019</t>
        </is>
      </c>
      <c r="B763" s="1" t="n">
        <v>43593</v>
      </c>
      <c r="C763" s="1" t="n">
        <v>45710</v>
      </c>
      <c r="D763" t="inlineStr">
        <is>
          <t>ÖSTERGÖTLANDS LÄN</t>
        </is>
      </c>
      <c r="E763" t="inlineStr">
        <is>
          <t>KINDA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23473-2019</t>
        </is>
      </c>
      <c r="B764" s="1" t="n">
        <v>43593</v>
      </c>
      <c r="C764" s="1" t="n">
        <v>45710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23554-2019</t>
        </is>
      </c>
      <c r="B765" s="1" t="n">
        <v>43593</v>
      </c>
      <c r="C765" s="1" t="n">
        <v>45710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23394-2019</t>
        </is>
      </c>
      <c r="B766" s="1" t="n">
        <v>43593</v>
      </c>
      <c r="C766" s="1" t="n">
        <v>45710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23579-2019</t>
        </is>
      </c>
      <c r="B767" s="1" t="n">
        <v>43593</v>
      </c>
      <c r="C767" s="1" t="n">
        <v>45710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Kommuner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23468-2019</t>
        </is>
      </c>
      <c r="B768" s="1" t="n">
        <v>43593</v>
      </c>
      <c r="C768" s="1" t="n">
        <v>45710</v>
      </c>
      <c r="D768" t="inlineStr">
        <is>
          <t>ÖSTERGÖTLANDS LÄN</t>
        </is>
      </c>
      <c r="E768" t="inlineStr">
        <is>
          <t>ÅTVIDABERG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23358-2019</t>
        </is>
      </c>
      <c r="B769" s="1" t="n">
        <v>43593</v>
      </c>
      <c r="C769" s="1" t="n">
        <v>45710</v>
      </c>
      <c r="D769" t="inlineStr">
        <is>
          <t>ÖSTERGÖTLANDS LÄN</t>
        </is>
      </c>
      <c r="E769" t="inlineStr">
        <is>
          <t>FINSPÅNG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23639-2019</t>
        </is>
      </c>
      <c r="B770" s="1" t="n">
        <v>43594</v>
      </c>
      <c r="C770" s="1" t="n">
        <v>45710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23761-2019</t>
        </is>
      </c>
      <c r="B771" s="1" t="n">
        <v>43594</v>
      </c>
      <c r="C771" s="1" t="n">
        <v>45710</v>
      </c>
      <c r="D771" t="inlineStr">
        <is>
          <t>ÖSTERGÖTLANDS LÄN</t>
        </is>
      </c>
      <c r="E771" t="inlineStr">
        <is>
          <t>ÖDESHÖG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23593-2019</t>
        </is>
      </c>
      <c r="B772" s="1" t="n">
        <v>43594</v>
      </c>
      <c r="C772" s="1" t="n">
        <v>45710</v>
      </c>
      <c r="D772" t="inlineStr">
        <is>
          <t>ÖSTERGÖTLANDS LÄN</t>
        </is>
      </c>
      <c r="E772" t="inlineStr">
        <is>
          <t>KINDA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23765-2019</t>
        </is>
      </c>
      <c r="B773" s="1" t="n">
        <v>43594</v>
      </c>
      <c r="C773" s="1" t="n">
        <v>45710</v>
      </c>
      <c r="D773" t="inlineStr">
        <is>
          <t>ÖSTERGÖTLANDS LÄN</t>
        </is>
      </c>
      <c r="E773" t="inlineStr">
        <is>
          <t>ÖDESHÖG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23690-2019</t>
        </is>
      </c>
      <c r="B774" s="1" t="n">
        <v>43594</v>
      </c>
      <c r="C774" s="1" t="n">
        <v>45710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23692-2019</t>
        </is>
      </c>
      <c r="B775" s="1" t="n">
        <v>43594</v>
      </c>
      <c r="C775" s="1" t="n">
        <v>45710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23872-2019</t>
        </is>
      </c>
      <c r="B776" s="1" t="n">
        <v>43595</v>
      </c>
      <c r="C776" s="1" t="n">
        <v>45710</v>
      </c>
      <c r="D776" t="inlineStr">
        <is>
          <t>ÖSTERGÖTLANDS LÄN</t>
        </is>
      </c>
      <c r="E776" t="inlineStr">
        <is>
          <t>YDRE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23886-2019</t>
        </is>
      </c>
      <c r="B777" s="1" t="n">
        <v>43595</v>
      </c>
      <c r="C777" s="1" t="n">
        <v>45710</v>
      </c>
      <c r="D777" t="inlineStr">
        <is>
          <t>ÖSTERGÖTLANDS LÄN</t>
        </is>
      </c>
      <c r="E777" t="inlineStr">
        <is>
          <t>KINDA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24104-2019</t>
        </is>
      </c>
      <c r="B778" s="1" t="n">
        <v>43598</v>
      </c>
      <c r="C778" s="1" t="n">
        <v>45710</v>
      </c>
      <c r="D778" t="inlineStr">
        <is>
          <t>ÖSTERGÖTLANDS LÄN</t>
        </is>
      </c>
      <c r="E778" t="inlineStr">
        <is>
          <t>MJÖLBY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24428-2019</t>
        </is>
      </c>
      <c r="B779" s="1" t="n">
        <v>43598</v>
      </c>
      <c r="C779" s="1" t="n">
        <v>45710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24056-2019</t>
        </is>
      </c>
      <c r="B780" s="1" t="n">
        <v>43598</v>
      </c>
      <c r="C780" s="1" t="n">
        <v>45710</v>
      </c>
      <c r="D780" t="inlineStr">
        <is>
          <t>ÖSTERGÖTLANDS LÄN</t>
        </is>
      </c>
      <c r="E780" t="inlineStr">
        <is>
          <t>NORRKÖPING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24239-2019</t>
        </is>
      </c>
      <c r="B781" s="1" t="n">
        <v>43599</v>
      </c>
      <c r="C781" s="1" t="n">
        <v>45710</v>
      </c>
      <c r="D781" t="inlineStr">
        <is>
          <t>ÖSTERGÖTLANDS LÄN</t>
        </is>
      </c>
      <c r="E781" t="inlineStr">
        <is>
          <t>MJÖLBY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24308-2019</t>
        </is>
      </c>
      <c r="B782" s="1" t="n">
        <v>43599</v>
      </c>
      <c r="C782" s="1" t="n">
        <v>45710</v>
      </c>
      <c r="D782" t="inlineStr">
        <is>
          <t>ÖSTERGÖTLANDS LÄN</t>
        </is>
      </c>
      <c r="E782" t="inlineStr">
        <is>
          <t>KINDA</t>
        </is>
      </c>
      <c r="F782" t="inlineStr">
        <is>
          <t>Kommuner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25203-2019</t>
        </is>
      </c>
      <c r="B783" s="1" t="n">
        <v>43600</v>
      </c>
      <c r="C783" s="1" t="n">
        <v>45710</v>
      </c>
      <c r="D783" t="inlineStr">
        <is>
          <t>ÖSTERGÖTLANDS LÄN</t>
        </is>
      </c>
      <c r="E783" t="inlineStr">
        <is>
          <t>KINDA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24554-2019</t>
        </is>
      </c>
      <c r="B784" s="1" t="n">
        <v>43600</v>
      </c>
      <c r="C784" s="1" t="n">
        <v>45710</v>
      </c>
      <c r="D784" t="inlineStr">
        <is>
          <t>ÖSTERGÖTLANDS LÄN</t>
        </is>
      </c>
      <c r="E784" t="inlineStr">
        <is>
          <t>FINSPÅNG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24558-2019</t>
        </is>
      </c>
      <c r="B785" s="1" t="n">
        <v>43600</v>
      </c>
      <c r="C785" s="1" t="n">
        <v>45710</v>
      </c>
      <c r="D785" t="inlineStr">
        <is>
          <t>ÖSTERGÖTLANDS LÄN</t>
        </is>
      </c>
      <c r="E785" t="inlineStr">
        <is>
          <t>FINSPÅNG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24742-2019</t>
        </is>
      </c>
      <c r="B786" s="1" t="n">
        <v>43601</v>
      </c>
      <c r="C786" s="1" t="n">
        <v>45710</v>
      </c>
      <c r="D786" t="inlineStr">
        <is>
          <t>ÖSTERGÖTLANDS LÄN</t>
        </is>
      </c>
      <c r="E786" t="inlineStr">
        <is>
          <t>YDRE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24680-2019</t>
        </is>
      </c>
      <c r="B787" s="1" t="n">
        <v>43601</v>
      </c>
      <c r="C787" s="1" t="n">
        <v>45710</v>
      </c>
      <c r="D787" t="inlineStr">
        <is>
          <t>ÖSTERGÖTLANDS LÄN</t>
        </is>
      </c>
      <c r="E787" t="inlineStr">
        <is>
          <t>ÖDESHÖG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24718-2019</t>
        </is>
      </c>
      <c r="B788" s="1" t="n">
        <v>43601</v>
      </c>
      <c r="C788" s="1" t="n">
        <v>45710</v>
      </c>
      <c r="D788" t="inlineStr">
        <is>
          <t>ÖSTERGÖTLANDS LÄN</t>
        </is>
      </c>
      <c r="E788" t="inlineStr">
        <is>
          <t>ÖDESHÖG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24936-2019</t>
        </is>
      </c>
      <c r="B789" s="1" t="n">
        <v>43602</v>
      </c>
      <c r="C789" s="1" t="n">
        <v>45710</v>
      </c>
      <c r="D789" t="inlineStr">
        <is>
          <t>ÖSTERGÖTLANDS LÄN</t>
        </is>
      </c>
      <c r="E789" t="inlineStr">
        <is>
          <t>KINDA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24854-2019</t>
        </is>
      </c>
      <c r="B790" s="1" t="n">
        <v>43602</v>
      </c>
      <c r="C790" s="1" t="n">
        <v>45710</v>
      </c>
      <c r="D790" t="inlineStr">
        <is>
          <t>ÖSTERGÖTLANDS LÄN</t>
        </is>
      </c>
      <c r="E790" t="inlineStr">
        <is>
          <t>NORRKÖPING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25079-2019</t>
        </is>
      </c>
      <c r="B791" s="1" t="n">
        <v>43605</v>
      </c>
      <c r="C791" s="1" t="n">
        <v>45710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25525-2019</t>
        </is>
      </c>
      <c r="B792" s="1" t="n">
        <v>43606</v>
      </c>
      <c r="C792" s="1" t="n">
        <v>45710</v>
      </c>
      <c r="D792" t="inlineStr">
        <is>
          <t>ÖSTERGÖTLANDS LÄN</t>
        </is>
      </c>
      <c r="E792" t="inlineStr">
        <is>
          <t>LINKÖPING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25529-2019</t>
        </is>
      </c>
      <c r="B793" s="1" t="n">
        <v>43606</v>
      </c>
      <c r="C793" s="1" t="n">
        <v>45710</v>
      </c>
      <c r="D793" t="inlineStr">
        <is>
          <t>ÖSTERGÖTLANDS LÄN</t>
        </is>
      </c>
      <c r="E793" t="inlineStr">
        <is>
          <t>LINKÖPING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26346-2019</t>
        </is>
      </c>
      <c r="B794" s="1" t="n">
        <v>43606</v>
      </c>
      <c r="C794" s="1" t="n">
        <v>45710</v>
      </c>
      <c r="D794" t="inlineStr">
        <is>
          <t>ÖSTERGÖTLANDS LÄN</t>
        </is>
      </c>
      <c r="E794" t="inlineStr">
        <is>
          <t>MJÖLBY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26410-2019</t>
        </is>
      </c>
      <c r="B795" s="1" t="n">
        <v>43606</v>
      </c>
      <c r="C795" s="1" t="n">
        <v>45710</v>
      </c>
      <c r="D795" t="inlineStr">
        <is>
          <t>ÖSTERGÖTLANDS LÄN</t>
        </is>
      </c>
      <c r="E795" t="inlineStr">
        <is>
          <t>LINKÖPING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25526-2019</t>
        </is>
      </c>
      <c r="B796" s="1" t="n">
        <v>43606</v>
      </c>
      <c r="C796" s="1" t="n">
        <v>45710</v>
      </c>
      <c r="D796" t="inlineStr">
        <is>
          <t>ÖSTERGÖTLANDS LÄN</t>
        </is>
      </c>
      <c r="E796" t="inlineStr">
        <is>
          <t>LINKÖPING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25639-2019</t>
        </is>
      </c>
      <c r="B797" s="1" t="n">
        <v>43607</v>
      </c>
      <c r="C797" s="1" t="n">
        <v>45710</v>
      </c>
      <c r="D797" t="inlineStr">
        <is>
          <t>ÖSTERGÖTLANDS LÄN</t>
        </is>
      </c>
      <c r="E797" t="inlineStr">
        <is>
          <t>ÖDESHÖG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25567-2019</t>
        </is>
      </c>
      <c r="B798" s="1" t="n">
        <v>43607</v>
      </c>
      <c r="C798" s="1" t="n">
        <v>45710</v>
      </c>
      <c r="D798" t="inlineStr">
        <is>
          <t>ÖSTERGÖTLANDS LÄN</t>
        </is>
      </c>
      <c r="E798" t="inlineStr">
        <is>
          <t>NORRKÖPING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25867-2019</t>
        </is>
      </c>
      <c r="B799" s="1" t="n">
        <v>43608</v>
      </c>
      <c r="C799" s="1" t="n">
        <v>45710</v>
      </c>
      <c r="D799" t="inlineStr">
        <is>
          <t>ÖSTERGÖTLANDS LÄN</t>
        </is>
      </c>
      <c r="E799" t="inlineStr">
        <is>
          <t>MOTALA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25853-2019</t>
        </is>
      </c>
      <c r="B800" s="1" t="n">
        <v>43608</v>
      </c>
      <c r="C800" s="1" t="n">
        <v>45710</v>
      </c>
      <c r="D800" t="inlineStr">
        <is>
          <t>ÖSTERGÖTLANDS LÄN</t>
        </is>
      </c>
      <c r="E800" t="inlineStr">
        <is>
          <t>YDRE</t>
        </is>
      </c>
      <c r="F800" t="inlineStr">
        <is>
          <t>Övriga Aktiebolag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25815-2019</t>
        </is>
      </c>
      <c r="B801" s="1" t="n">
        <v>43608</v>
      </c>
      <c r="C801" s="1" t="n">
        <v>45710</v>
      </c>
      <c r="D801" t="inlineStr">
        <is>
          <t>ÖSTERGÖTLANDS LÄN</t>
        </is>
      </c>
      <c r="E801" t="inlineStr">
        <is>
          <t>NORRKÖPING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25912-2019</t>
        </is>
      </c>
      <c r="B802" s="1" t="n">
        <v>43608</v>
      </c>
      <c r="C802" s="1" t="n">
        <v>45710</v>
      </c>
      <c r="D802" t="inlineStr">
        <is>
          <t>ÖSTERGÖTLANDS LÄN</t>
        </is>
      </c>
      <c r="E802" t="inlineStr">
        <is>
          <t>MOTALA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25820-2019</t>
        </is>
      </c>
      <c r="B803" s="1" t="n">
        <v>43608</v>
      </c>
      <c r="C803" s="1" t="n">
        <v>45710</v>
      </c>
      <c r="D803" t="inlineStr">
        <is>
          <t>ÖSTERGÖTLANDS LÄN</t>
        </is>
      </c>
      <c r="E803" t="inlineStr">
        <is>
          <t>KINDA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26186-2019</t>
        </is>
      </c>
      <c r="B804" s="1" t="n">
        <v>43609</v>
      </c>
      <c r="C804" s="1" t="n">
        <v>45710</v>
      </c>
      <c r="D804" t="inlineStr">
        <is>
          <t>ÖSTERGÖTLANDS LÄN</t>
        </is>
      </c>
      <c r="E804" t="inlineStr">
        <is>
          <t>MOTALA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26195-2019</t>
        </is>
      </c>
      <c r="B805" s="1" t="n">
        <v>43609</v>
      </c>
      <c r="C805" s="1" t="n">
        <v>45710</v>
      </c>
      <c r="D805" t="inlineStr">
        <is>
          <t>ÖSTERGÖTLANDS LÄN</t>
        </is>
      </c>
      <c r="E805" t="inlineStr">
        <is>
          <t>MOTALA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26191-2019</t>
        </is>
      </c>
      <c r="B806" s="1" t="n">
        <v>43609</v>
      </c>
      <c r="C806" s="1" t="n">
        <v>45710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26206-2019</t>
        </is>
      </c>
      <c r="B807" s="1" t="n">
        <v>43609</v>
      </c>
      <c r="C807" s="1" t="n">
        <v>45710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26224-2019</t>
        </is>
      </c>
      <c r="B808" s="1" t="n">
        <v>43609</v>
      </c>
      <c r="C808" s="1" t="n">
        <v>45710</v>
      </c>
      <c r="D808" t="inlineStr">
        <is>
          <t>ÖSTERGÖTLANDS LÄN</t>
        </is>
      </c>
      <c r="E808" t="inlineStr">
        <is>
          <t>FINSPÅNG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26185-2019</t>
        </is>
      </c>
      <c r="B809" s="1" t="n">
        <v>43609</v>
      </c>
      <c r="C809" s="1" t="n">
        <v>45710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26188-2019</t>
        </is>
      </c>
      <c r="B810" s="1" t="n">
        <v>43609</v>
      </c>
      <c r="C810" s="1" t="n">
        <v>45710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26199-2019</t>
        </is>
      </c>
      <c r="B811" s="1" t="n">
        <v>43609</v>
      </c>
      <c r="C811" s="1" t="n">
        <v>45710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26902-2019</t>
        </is>
      </c>
      <c r="B812" s="1" t="n">
        <v>43609</v>
      </c>
      <c r="C812" s="1" t="n">
        <v>45710</v>
      </c>
      <c r="D812" t="inlineStr">
        <is>
          <t>ÖSTERGÖTLANDS LÄN</t>
        </is>
      </c>
      <c r="E812" t="inlineStr">
        <is>
          <t>VALDEMARSVIK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26225-2019</t>
        </is>
      </c>
      <c r="B813" s="1" t="n">
        <v>43609</v>
      </c>
      <c r="C813" s="1" t="n">
        <v>45710</v>
      </c>
      <c r="D813" t="inlineStr">
        <is>
          <t>ÖSTERGÖTLANDS LÄN</t>
        </is>
      </c>
      <c r="E813" t="inlineStr">
        <is>
          <t>FINSPÅNG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26283-2019</t>
        </is>
      </c>
      <c r="B814" s="1" t="n">
        <v>43611</v>
      </c>
      <c r="C814" s="1" t="n">
        <v>45710</v>
      </c>
      <c r="D814" t="inlineStr">
        <is>
          <t>ÖSTERGÖTLANDS LÄN</t>
        </is>
      </c>
      <c r="E814" t="inlineStr">
        <is>
          <t>NORRKÖPING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26604-2019</t>
        </is>
      </c>
      <c r="B815" s="1" t="n">
        <v>43612</v>
      </c>
      <c r="C815" s="1" t="n">
        <v>45710</v>
      </c>
      <c r="D815" t="inlineStr">
        <is>
          <t>ÖSTERGÖTLANDS LÄN</t>
        </is>
      </c>
      <c r="E815" t="inlineStr">
        <is>
          <t>KINDA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26534-2019</t>
        </is>
      </c>
      <c r="B816" s="1" t="n">
        <v>43612</v>
      </c>
      <c r="C816" s="1" t="n">
        <v>45710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26445-2019</t>
        </is>
      </c>
      <c r="B817" s="1" t="n">
        <v>43612</v>
      </c>
      <c r="C817" s="1" t="n">
        <v>45710</v>
      </c>
      <c r="D817" t="inlineStr">
        <is>
          <t>ÖSTERGÖTLANDS LÄN</t>
        </is>
      </c>
      <c r="E817" t="inlineStr">
        <is>
          <t>KINDA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26450-2019</t>
        </is>
      </c>
      <c r="B818" s="1" t="n">
        <v>43612</v>
      </c>
      <c r="C818" s="1" t="n">
        <v>45710</v>
      </c>
      <c r="D818" t="inlineStr">
        <is>
          <t>ÖSTERGÖTLANDS LÄN</t>
        </is>
      </c>
      <c r="E818" t="inlineStr">
        <is>
          <t>KINDA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26969-2019</t>
        </is>
      </c>
      <c r="B819" s="1" t="n">
        <v>43614</v>
      </c>
      <c r="C819" s="1" t="n">
        <v>45710</v>
      </c>
      <c r="D819" t="inlineStr">
        <is>
          <t>ÖSTERGÖTLANDS LÄN</t>
        </is>
      </c>
      <c r="E819" t="inlineStr">
        <is>
          <t>MJÖLBY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27544-2019</t>
        </is>
      </c>
      <c r="B820" s="1" t="n">
        <v>43616</v>
      </c>
      <c r="C820" s="1" t="n">
        <v>45710</v>
      </c>
      <c r="D820" t="inlineStr">
        <is>
          <t>ÖSTERGÖTLANDS LÄN</t>
        </is>
      </c>
      <c r="E820" t="inlineStr">
        <is>
          <t>LINKÖPING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28893-2019</t>
        </is>
      </c>
      <c r="B821" s="1" t="n">
        <v>43616</v>
      </c>
      <c r="C821" s="1" t="n">
        <v>45710</v>
      </c>
      <c r="D821" t="inlineStr">
        <is>
          <t>ÖSTERGÖTLANDS LÄN</t>
        </is>
      </c>
      <c r="E821" t="inlineStr">
        <is>
          <t>MJÖLBY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28909-2019</t>
        </is>
      </c>
      <c r="B822" s="1" t="n">
        <v>43619</v>
      </c>
      <c r="C822" s="1" t="n">
        <v>45710</v>
      </c>
      <c r="D822" t="inlineStr">
        <is>
          <t>ÖSTERGÖTLANDS LÄN</t>
        </is>
      </c>
      <c r="E822" t="inlineStr">
        <is>
          <t>KINDA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27727-2019</t>
        </is>
      </c>
      <c r="B823" s="1" t="n">
        <v>43619</v>
      </c>
      <c r="C823" s="1" t="n">
        <v>45710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28914-2019</t>
        </is>
      </c>
      <c r="B824" s="1" t="n">
        <v>43619</v>
      </c>
      <c r="C824" s="1" t="n">
        <v>45710</v>
      </c>
      <c r="D824" t="inlineStr">
        <is>
          <t>ÖSTERGÖTLANDS LÄN</t>
        </is>
      </c>
      <c r="E824" t="inlineStr">
        <is>
          <t>KINDA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27733-2019</t>
        </is>
      </c>
      <c r="B825" s="1" t="n">
        <v>43619</v>
      </c>
      <c r="C825" s="1" t="n">
        <v>45710</v>
      </c>
      <c r="D825" t="inlineStr">
        <is>
          <t>ÖSTERGÖTLANDS LÄN</t>
        </is>
      </c>
      <c r="E825" t="inlineStr">
        <is>
          <t>VALDEMARSVIK</t>
        </is>
      </c>
      <c r="F825" t="inlineStr">
        <is>
          <t>Kommuner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27687-2019</t>
        </is>
      </c>
      <c r="B826" s="1" t="n">
        <v>43619</v>
      </c>
      <c r="C826" s="1" t="n">
        <v>45710</v>
      </c>
      <c r="D826" t="inlineStr">
        <is>
          <t>ÖSTERGÖTLANDS LÄN</t>
        </is>
      </c>
      <c r="E826" t="inlineStr">
        <is>
          <t>LINKÖPING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29019-2019</t>
        </is>
      </c>
      <c r="B827" s="1" t="n">
        <v>43620</v>
      </c>
      <c r="C827" s="1" t="n">
        <v>45710</v>
      </c>
      <c r="D827" t="inlineStr">
        <is>
          <t>ÖSTERGÖTLANDS LÄN</t>
        </is>
      </c>
      <c r="E827" t="inlineStr">
        <is>
          <t>ÅTVIDABERG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28044-2019</t>
        </is>
      </c>
      <c r="B828" s="1" t="n">
        <v>43621</v>
      </c>
      <c r="C828" s="1" t="n">
        <v>45710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28045-2019</t>
        </is>
      </c>
      <c r="B829" s="1" t="n">
        <v>43621</v>
      </c>
      <c r="C829" s="1" t="n">
        <v>45710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28117-2019</t>
        </is>
      </c>
      <c r="B830" s="1" t="n">
        <v>43621</v>
      </c>
      <c r="C830" s="1" t="n">
        <v>45710</v>
      </c>
      <c r="D830" t="inlineStr">
        <is>
          <t>ÖSTERGÖTLANDS LÄN</t>
        </is>
      </c>
      <c r="E830" t="inlineStr">
        <is>
          <t>ÖDESHÖG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28202-2019</t>
        </is>
      </c>
      <c r="B831" s="1" t="n">
        <v>43621</v>
      </c>
      <c r="C831" s="1" t="n">
        <v>45710</v>
      </c>
      <c r="D831" t="inlineStr">
        <is>
          <t>ÖSTERGÖTLANDS LÄN</t>
        </is>
      </c>
      <c r="E831" t="inlineStr">
        <is>
          <t>LINKÖPING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28120-2019</t>
        </is>
      </c>
      <c r="B832" s="1" t="n">
        <v>43621</v>
      </c>
      <c r="C832" s="1" t="n">
        <v>45710</v>
      </c>
      <c r="D832" t="inlineStr">
        <is>
          <t>ÖSTERGÖTLANDS LÄN</t>
        </is>
      </c>
      <c r="E832" t="inlineStr">
        <is>
          <t>ÖDESHÖG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29215-2019</t>
        </is>
      </c>
      <c r="B833" s="1" t="n">
        <v>43621</v>
      </c>
      <c r="C833" s="1" t="n">
        <v>45710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29218-2019</t>
        </is>
      </c>
      <c r="B834" s="1" t="n">
        <v>43621</v>
      </c>
      <c r="C834" s="1" t="n">
        <v>45710</v>
      </c>
      <c r="D834" t="inlineStr">
        <is>
          <t>ÖSTERGÖTLANDS LÄN</t>
        </is>
      </c>
      <c r="E834" t="inlineStr">
        <is>
          <t>KINDA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28451-2019</t>
        </is>
      </c>
      <c r="B835" s="1" t="n">
        <v>43626</v>
      </c>
      <c r="C835" s="1" t="n">
        <v>45710</v>
      </c>
      <c r="D835" t="inlineStr">
        <is>
          <t>ÖSTERGÖTLANDS LÄN</t>
        </is>
      </c>
      <c r="E835" t="inlineStr">
        <is>
          <t>ÖDESHÖG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28491-2019</t>
        </is>
      </c>
      <c r="B836" s="1" t="n">
        <v>43626</v>
      </c>
      <c r="C836" s="1" t="n">
        <v>45710</v>
      </c>
      <c r="D836" t="inlineStr">
        <is>
          <t>ÖSTERGÖTLANDS LÄN</t>
        </is>
      </c>
      <c r="E836" t="inlineStr">
        <is>
          <t>YDRE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28588-2019</t>
        </is>
      </c>
      <c r="B837" s="1" t="n">
        <v>43626</v>
      </c>
      <c r="C837" s="1" t="n">
        <v>45710</v>
      </c>
      <c r="D837" t="inlineStr">
        <is>
          <t>ÖSTERGÖTLANDS LÄN</t>
        </is>
      </c>
      <c r="E837" t="inlineStr">
        <is>
          <t>KINDA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28574-2019</t>
        </is>
      </c>
      <c r="B838" s="1" t="n">
        <v>43626</v>
      </c>
      <c r="C838" s="1" t="n">
        <v>45710</v>
      </c>
      <c r="D838" t="inlineStr">
        <is>
          <t>ÖSTERGÖTLANDS LÄN</t>
        </is>
      </c>
      <c r="E838" t="inlineStr">
        <is>
          <t>ÅTVIDABERG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28589-2019</t>
        </is>
      </c>
      <c r="B839" s="1" t="n">
        <v>43626</v>
      </c>
      <c r="C839" s="1" t="n">
        <v>45710</v>
      </c>
      <c r="D839" t="inlineStr">
        <is>
          <t>ÖSTERGÖTLANDS LÄN</t>
        </is>
      </c>
      <c r="E839" t="inlineStr">
        <is>
          <t>KINDA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28597-2019</t>
        </is>
      </c>
      <c r="B840" s="1" t="n">
        <v>43626</v>
      </c>
      <c r="C840" s="1" t="n">
        <v>45710</v>
      </c>
      <c r="D840" t="inlineStr">
        <is>
          <t>ÖSTERGÖTLANDS LÄN</t>
        </is>
      </c>
      <c r="E840" t="inlineStr">
        <is>
          <t>ÅTVIDABERG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28645-2019</t>
        </is>
      </c>
      <c r="B841" s="1" t="n">
        <v>43627</v>
      </c>
      <c r="C841" s="1" t="n">
        <v>45710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28990-2019</t>
        </is>
      </c>
      <c r="B842" s="1" t="n">
        <v>43628</v>
      </c>
      <c r="C842" s="1" t="n">
        <v>45710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28987-2019</t>
        </is>
      </c>
      <c r="B843" s="1" t="n">
        <v>43628</v>
      </c>
      <c r="C843" s="1" t="n">
        <v>45710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29181-2019</t>
        </is>
      </c>
      <c r="B844" s="1" t="n">
        <v>43628</v>
      </c>
      <c r="C844" s="1" t="n">
        <v>45710</v>
      </c>
      <c r="D844" t="inlineStr">
        <is>
          <t>ÖSTERGÖTLANDS LÄN</t>
        </is>
      </c>
      <c r="E844" t="inlineStr">
        <is>
          <t>NORRKÖPING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29086-2019</t>
        </is>
      </c>
      <c r="B845" s="1" t="n">
        <v>43628</v>
      </c>
      <c r="C845" s="1" t="n">
        <v>45710</v>
      </c>
      <c r="D845" t="inlineStr">
        <is>
          <t>ÖSTERGÖTLANDS LÄN</t>
        </is>
      </c>
      <c r="E845" t="inlineStr">
        <is>
          <t>YDRE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29288-2019</t>
        </is>
      </c>
      <c r="B846" s="1" t="n">
        <v>43629</v>
      </c>
      <c r="C846" s="1" t="n">
        <v>45710</v>
      </c>
      <c r="D846" t="inlineStr">
        <is>
          <t>ÖSTERGÖTLANDS LÄN</t>
        </is>
      </c>
      <c r="E846" t="inlineStr">
        <is>
          <t>LINKÖPING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29391-2019</t>
        </is>
      </c>
      <c r="B847" s="1" t="n">
        <v>43629</v>
      </c>
      <c r="C847" s="1" t="n">
        <v>45710</v>
      </c>
      <c r="D847" t="inlineStr">
        <is>
          <t>ÖSTERGÖTLANDS LÄN</t>
        </is>
      </c>
      <c r="E847" t="inlineStr">
        <is>
          <t>MOTALA</t>
        </is>
      </c>
      <c r="F847" t="inlineStr">
        <is>
          <t>Kyrkan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29364-2019</t>
        </is>
      </c>
      <c r="B848" s="1" t="n">
        <v>43629</v>
      </c>
      <c r="C848" s="1" t="n">
        <v>45710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Kyrkan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29444-2019</t>
        </is>
      </c>
      <c r="B849" s="1" t="n">
        <v>43629</v>
      </c>
      <c r="C849" s="1" t="n">
        <v>45710</v>
      </c>
      <c r="D849" t="inlineStr">
        <is>
          <t>ÖSTERGÖTLANDS LÄN</t>
        </is>
      </c>
      <c r="E849" t="inlineStr">
        <is>
          <t>FINSPÅNG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29314-2019</t>
        </is>
      </c>
      <c r="B850" s="1" t="n">
        <v>43629</v>
      </c>
      <c r="C850" s="1" t="n">
        <v>45710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Allmännings- och besparingsskogar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29497-2019</t>
        </is>
      </c>
      <c r="B851" s="1" t="n">
        <v>43630</v>
      </c>
      <c r="C851" s="1" t="n">
        <v>45710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29673-2019</t>
        </is>
      </c>
      <c r="B852" s="1" t="n">
        <v>43630</v>
      </c>
      <c r="C852" s="1" t="n">
        <v>45710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29734-2019</t>
        </is>
      </c>
      <c r="B853" s="1" t="n">
        <v>43630</v>
      </c>
      <c r="C853" s="1" t="n">
        <v>45710</v>
      </c>
      <c r="D853" t="inlineStr">
        <is>
          <t>ÖSTERGÖTLANDS LÄN</t>
        </is>
      </c>
      <c r="E853" t="inlineStr">
        <is>
          <t>ÖDESHÖG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29736-2019</t>
        </is>
      </c>
      <c r="B854" s="1" t="n">
        <v>43630</v>
      </c>
      <c r="C854" s="1" t="n">
        <v>45710</v>
      </c>
      <c r="D854" t="inlineStr">
        <is>
          <t>ÖSTERGÖTLANDS LÄN</t>
        </is>
      </c>
      <c r="E854" t="inlineStr">
        <is>
          <t>ÖDESHÖG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29735-2019</t>
        </is>
      </c>
      <c r="B855" s="1" t="n">
        <v>43630</v>
      </c>
      <c r="C855" s="1" t="n">
        <v>45710</v>
      </c>
      <c r="D855" t="inlineStr">
        <is>
          <t>ÖSTERGÖTLANDS LÄN</t>
        </is>
      </c>
      <c r="E855" t="inlineStr">
        <is>
          <t>ÖDESHÖG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30134-2019</t>
        </is>
      </c>
      <c r="B856" s="1" t="n">
        <v>43630</v>
      </c>
      <c r="C856" s="1" t="n">
        <v>45710</v>
      </c>
      <c r="D856" t="inlineStr">
        <is>
          <t>ÖSTERGÖTLANDS LÄN</t>
        </is>
      </c>
      <c r="E856" t="inlineStr">
        <is>
          <t>YDRE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29966-2019</t>
        </is>
      </c>
      <c r="B857" s="1" t="n">
        <v>43633</v>
      </c>
      <c r="C857" s="1" t="n">
        <v>45710</v>
      </c>
      <c r="D857" t="inlineStr">
        <is>
          <t>ÖSTERGÖTLANDS LÄN</t>
        </is>
      </c>
      <c r="E857" t="inlineStr">
        <is>
          <t>MOTALA</t>
        </is>
      </c>
      <c r="G857" t="n">
        <v>48.6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29972-2019</t>
        </is>
      </c>
      <c r="B858" s="1" t="n">
        <v>43633</v>
      </c>
      <c r="C858" s="1" t="n">
        <v>45710</v>
      </c>
      <c r="D858" t="inlineStr">
        <is>
          <t>ÖSTERGÖTLANDS LÄN</t>
        </is>
      </c>
      <c r="E858" t="inlineStr">
        <is>
          <t>MOTALA</t>
        </is>
      </c>
      <c r="G858" t="n">
        <v>20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30037-2019</t>
        </is>
      </c>
      <c r="B859" s="1" t="n">
        <v>43633</v>
      </c>
      <c r="C859" s="1" t="n">
        <v>45710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30067-2019</t>
        </is>
      </c>
      <c r="B860" s="1" t="n">
        <v>43633</v>
      </c>
      <c r="C860" s="1" t="n">
        <v>45710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30064-2019</t>
        </is>
      </c>
      <c r="B861" s="1" t="n">
        <v>43633</v>
      </c>
      <c r="C861" s="1" t="n">
        <v>45710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Övriga statliga verk och myndigheter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30063-2019</t>
        </is>
      </c>
      <c r="B862" s="1" t="n">
        <v>43633</v>
      </c>
      <c r="C862" s="1" t="n">
        <v>45710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Övriga statliga verk och myndigheter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29875-2019</t>
        </is>
      </c>
      <c r="B863" s="1" t="n">
        <v>43633</v>
      </c>
      <c r="C863" s="1" t="n">
        <v>45710</v>
      </c>
      <c r="D863" t="inlineStr">
        <is>
          <t>ÖSTERGÖTLANDS LÄN</t>
        </is>
      </c>
      <c r="E863" t="inlineStr">
        <is>
          <t>FINSPÅNG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30066-2019</t>
        </is>
      </c>
      <c r="B864" s="1" t="n">
        <v>43633</v>
      </c>
      <c r="C864" s="1" t="n">
        <v>45710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Övriga statliga verk och myndigheter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30068-2019</t>
        </is>
      </c>
      <c r="B865" s="1" t="n">
        <v>43633</v>
      </c>
      <c r="C865" s="1" t="n">
        <v>45710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30179-2019</t>
        </is>
      </c>
      <c r="B866" s="1" t="n">
        <v>43634</v>
      </c>
      <c r="C866" s="1" t="n">
        <v>45710</v>
      </c>
      <c r="D866" t="inlineStr">
        <is>
          <t>ÖSTERGÖTLANDS LÄN</t>
        </is>
      </c>
      <c r="E866" t="inlineStr">
        <is>
          <t>YDRE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30246-2019</t>
        </is>
      </c>
      <c r="B867" s="1" t="n">
        <v>43634</v>
      </c>
      <c r="C867" s="1" t="n">
        <v>45710</v>
      </c>
      <c r="D867" t="inlineStr">
        <is>
          <t>ÖSTERGÖTLANDS LÄN</t>
        </is>
      </c>
      <c r="E867" t="inlineStr">
        <is>
          <t>BOXHOLM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30356-2019</t>
        </is>
      </c>
      <c r="B868" s="1" t="n">
        <v>43634</v>
      </c>
      <c r="C868" s="1" t="n">
        <v>45710</v>
      </c>
      <c r="D868" t="inlineStr">
        <is>
          <t>ÖSTERGÖTLANDS LÄN</t>
        </is>
      </c>
      <c r="E868" t="inlineStr">
        <is>
          <t>KINDA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30361-2019</t>
        </is>
      </c>
      <c r="B869" s="1" t="n">
        <v>43634</v>
      </c>
      <c r="C869" s="1" t="n">
        <v>45710</v>
      </c>
      <c r="D869" t="inlineStr">
        <is>
          <t>ÖSTERGÖTLANDS LÄN</t>
        </is>
      </c>
      <c r="E869" t="inlineStr">
        <is>
          <t>KINDA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30572-2019</t>
        </is>
      </c>
      <c r="B870" s="1" t="n">
        <v>43635</v>
      </c>
      <c r="C870" s="1" t="n">
        <v>45710</v>
      </c>
      <c r="D870" t="inlineStr">
        <is>
          <t>ÖSTERGÖTLANDS LÄN</t>
        </is>
      </c>
      <c r="E870" t="inlineStr">
        <is>
          <t>ÖDESHÖG</t>
        </is>
      </c>
      <c r="F870" t="inlineStr">
        <is>
          <t>Allmännings- och besparingsskogar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30553-2019</t>
        </is>
      </c>
      <c r="B871" s="1" t="n">
        <v>43635</v>
      </c>
      <c r="C871" s="1" t="n">
        <v>45710</v>
      </c>
      <c r="D871" t="inlineStr">
        <is>
          <t>ÖSTERGÖTLANDS LÄN</t>
        </is>
      </c>
      <c r="E871" t="inlineStr">
        <is>
          <t>ÖDESHÖG</t>
        </is>
      </c>
      <c r="F871" t="inlineStr">
        <is>
          <t>Allmännings- och besparingsskogar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30598-2019</t>
        </is>
      </c>
      <c r="B872" s="1" t="n">
        <v>43635</v>
      </c>
      <c r="C872" s="1" t="n">
        <v>45710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Övriga statliga verk och myndigheter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30785-2019</t>
        </is>
      </c>
      <c r="B873" s="1" t="n">
        <v>43636</v>
      </c>
      <c r="C873" s="1" t="n">
        <v>45710</v>
      </c>
      <c r="D873" t="inlineStr">
        <is>
          <t>ÖSTERGÖTLANDS LÄN</t>
        </is>
      </c>
      <c r="E873" t="inlineStr">
        <is>
          <t>ÖDESHÖG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30866-2019</t>
        </is>
      </c>
      <c r="B874" s="1" t="n">
        <v>43636</v>
      </c>
      <c r="C874" s="1" t="n">
        <v>45710</v>
      </c>
      <c r="D874" t="inlineStr">
        <is>
          <t>ÖSTERGÖTLANDS LÄN</t>
        </is>
      </c>
      <c r="E874" t="inlineStr">
        <is>
          <t>MJÖLBY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31053-2019</t>
        </is>
      </c>
      <c r="B875" s="1" t="n">
        <v>43636</v>
      </c>
      <c r="C875" s="1" t="n">
        <v>45710</v>
      </c>
      <c r="D875" t="inlineStr">
        <is>
          <t>ÖSTERGÖTLANDS LÄN</t>
        </is>
      </c>
      <c r="E875" t="inlineStr">
        <is>
          <t>VALDEMARSVIK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30831-2019</t>
        </is>
      </c>
      <c r="B876" s="1" t="n">
        <v>43636</v>
      </c>
      <c r="C876" s="1" t="n">
        <v>45710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30998-2019</t>
        </is>
      </c>
      <c r="B877" s="1" t="n">
        <v>43640</v>
      </c>
      <c r="C877" s="1" t="n">
        <v>45710</v>
      </c>
      <c r="D877" t="inlineStr">
        <is>
          <t>ÖSTERGÖTLANDS LÄN</t>
        </is>
      </c>
      <c r="E877" t="inlineStr">
        <is>
          <t>NORRKÖPING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31130-2019</t>
        </is>
      </c>
      <c r="B878" s="1" t="n">
        <v>43640</v>
      </c>
      <c r="C878" s="1" t="n">
        <v>45710</v>
      </c>
      <c r="D878" t="inlineStr">
        <is>
          <t>ÖSTERGÖTLANDS LÄN</t>
        </is>
      </c>
      <c r="E878" t="inlineStr">
        <is>
          <t>MOTALA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31135-2019</t>
        </is>
      </c>
      <c r="B879" s="1" t="n">
        <v>43640</v>
      </c>
      <c r="C879" s="1" t="n">
        <v>45710</v>
      </c>
      <c r="D879" t="inlineStr">
        <is>
          <t>ÖSTERGÖTLANDS LÄN</t>
        </is>
      </c>
      <c r="E879" t="inlineStr">
        <is>
          <t>MOTALA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31259-2019</t>
        </is>
      </c>
      <c r="B880" s="1" t="n">
        <v>43640</v>
      </c>
      <c r="C880" s="1" t="n">
        <v>45710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31154-2019</t>
        </is>
      </c>
      <c r="B881" s="1" t="n">
        <v>43640</v>
      </c>
      <c r="C881" s="1" t="n">
        <v>45710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31347-2019</t>
        </is>
      </c>
      <c r="B882" s="1" t="n">
        <v>43641</v>
      </c>
      <c r="C882" s="1" t="n">
        <v>45710</v>
      </c>
      <c r="D882" t="inlineStr">
        <is>
          <t>ÖSTERGÖTLANDS LÄN</t>
        </is>
      </c>
      <c r="E882" t="inlineStr">
        <is>
          <t>MJÖLBY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31487-2019</t>
        </is>
      </c>
      <c r="B883" s="1" t="n">
        <v>43641</v>
      </c>
      <c r="C883" s="1" t="n">
        <v>45710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statliga verk och myndigheter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31967-2019</t>
        </is>
      </c>
      <c r="B884" s="1" t="n">
        <v>43642</v>
      </c>
      <c r="C884" s="1" t="n">
        <v>45710</v>
      </c>
      <c r="D884" t="inlineStr">
        <is>
          <t>ÖSTERGÖTLANDS LÄN</t>
        </is>
      </c>
      <c r="E884" t="inlineStr">
        <is>
          <t>MOTALA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32036-2019</t>
        </is>
      </c>
      <c r="B885" s="1" t="n">
        <v>43643</v>
      </c>
      <c r="C885" s="1" t="n">
        <v>45710</v>
      </c>
      <c r="D885" t="inlineStr">
        <is>
          <t>ÖSTERGÖTLANDS LÄN</t>
        </is>
      </c>
      <c r="E885" t="inlineStr">
        <is>
          <t>MOTALA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32174-2019</t>
        </is>
      </c>
      <c r="B886" s="1" t="n">
        <v>43643</v>
      </c>
      <c r="C886" s="1" t="n">
        <v>45710</v>
      </c>
      <c r="D886" t="inlineStr">
        <is>
          <t>ÖSTERGÖTLANDS LÄN</t>
        </is>
      </c>
      <c r="E886" t="inlineStr">
        <is>
          <t>MJÖLBY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32292-2019</t>
        </is>
      </c>
      <c r="B887" s="1" t="n">
        <v>43644</v>
      </c>
      <c r="C887" s="1" t="n">
        <v>45710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32407-2019</t>
        </is>
      </c>
      <c r="B888" s="1" t="n">
        <v>43644</v>
      </c>
      <c r="C888" s="1" t="n">
        <v>45710</v>
      </c>
      <c r="D888" t="inlineStr">
        <is>
          <t>ÖSTERGÖTLANDS LÄN</t>
        </is>
      </c>
      <c r="E888" t="inlineStr">
        <is>
          <t>MJÖLBY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32300-2019</t>
        </is>
      </c>
      <c r="B889" s="1" t="n">
        <v>43644</v>
      </c>
      <c r="C889" s="1" t="n">
        <v>45710</v>
      </c>
      <c r="D889" t="inlineStr">
        <is>
          <t>ÖSTERGÖTLANDS LÄN</t>
        </is>
      </c>
      <c r="E889" t="inlineStr">
        <is>
          <t>KINDA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32435-2019</t>
        </is>
      </c>
      <c r="B890" s="1" t="n">
        <v>43644</v>
      </c>
      <c r="C890" s="1" t="n">
        <v>45710</v>
      </c>
      <c r="D890" t="inlineStr">
        <is>
          <t>ÖSTERGÖTLANDS LÄN</t>
        </is>
      </c>
      <c r="E890" t="inlineStr">
        <is>
          <t>MJÖLBY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33294-2019</t>
        </is>
      </c>
      <c r="B891" s="1" t="n">
        <v>43644</v>
      </c>
      <c r="C891" s="1" t="n">
        <v>45710</v>
      </c>
      <c r="D891" t="inlineStr">
        <is>
          <t>ÖSTERGÖTLANDS LÄN</t>
        </is>
      </c>
      <c r="E891" t="inlineStr">
        <is>
          <t>MOTALA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32667-2019</t>
        </is>
      </c>
      <c r="B892" s="1" t="n">
        <v>43647</v>
      </c>
      <c r="C892" s="1" t="n">
        <v>45710</v>
      </c>
      <c r="D892" t="inlineStr">
        <is>
          <t>ÖSTERGÖTLANDS LÄN</t>
        </is>
      </c>
      <c r="E892" t="inlineStr">
        <is>
          <t>BOXHOLM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32656-2019</t>
        </is>
      </c>
      <c r="B893" s="1" t="n">
        <v>43647</v>
      </c>
      <c r="C893" s="1" t="n">
        <v>45710</v>
      </c>
      <c r="D893" t="inlineStr">
        <is>
          <t>ÖSTERGÖTLANDS LÄN</t>
        </is>
      </c>
      <c r="E893" t="inlineStr">
        <is>
          <t>YDRE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32614-2019</t>
        </is>
      </c>
      <c r="B894" s="1" t="n">
        <v>43647</v>
      </c>
      <c r="C894" s="1" t="n">
        <v>45710</v>
      </c>
      <c r="D894" t="inlineStr">
        <is>
          <t>ÖSTERGÖTLANDS LÄN</t>
        </is>
      </c>
      <c r="E894" t="inlineStr">
        <is>
          <t>KINDA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32626-2019</t>
        </is>
      </c>
      <c r="B895" s="1" t="n">
        <v>43647</v>
      </c>
      <c r="C895" s="1" t="n">
        <v>45710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33129-2019</t>
        </is>
      </c>
      <c r="B896" s="1" t="n">
        <v>43649</v>
      </c>
      <c r="C896" s="1" t="n">
        <v>45710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33169-2019</t>
        </is>
      </c>
      <c r="B897" s="1" t="n">
        <v>43649</v>
      </c>
      <c r="C897" s="1" t="n">
        <v>45710</v>
      </c>
      <c r="D897" t="inlineStr">
        <is>
          <t>ÖSTERGÖTLANDS LÄN</t>
        </is>
      </c>
      <c r="E897" t="inlineStr">
        <is>
          <t>LINKÖPING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34812-2019</t>
        </is>
      </c>
      <c r="B898" s="1" t="n">
        <v>43649</v>
      </c>
      <c r="C898" s="1" t="n">
        <v>45710</v>
      </c>
      <c r="D898" t="inlineStr">
        <is>
          <t>ÖSTERGÖTLANDS LÄN</t>
        </is>
      </c>
      <c r="E898" t="inlineStr">
        <is>
          <t>MJÖLBY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33130-2019</t>
        </is>
      </c>
      <c r="B899" s="1" t="n">
        <v>43649</v>
      </c>
      <c r="C899" s="1" t="n">
        <v>45710</v>
      </c>
      <c r="D899" t="inlineStr">
        <is>
          <t>ÖSTERGÖTLANDS LÄN</t>
        </is>
      </c>
      <c r="E899" t="inlineStr">
        <is>
          <t>KINDA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33234-2019</t>
        </is>
      </c>
      <c r="B900" s="1" t="n">
        <v>43650</v>
      </c>
      <c r="C900" s="1" t="n">
        <v>45710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Sveaskog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33291-2019</t>
        </is>
      </c>
      <c r="B901" s="1" t="n">
        <v>43650</v>
      </c>
      <c r="C901" s="1" t="n">
        <v>45710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33319-2019</t>
        </is>
      </c>
      <c r="B902" s="1" t="n">
        <v>43650</v>
      </c>
      <c r="C902" s="1" t="n">
        <v>45710</v>
      </c>
      <c r="D902" t="inlineStr">
        <is>
          <t>ÖSTERGÖTLANDS LÄN</t>
        </is>
      </c>
      <c r="E902" t="inlineStr">
        <is>
          <t>LINKÖPING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33425-2019</t>
        </is>
      </c>
      <c r="B903" s="1" t="n">
        <v>43650</v>
      </c>
      <c r="C903" s="1" t="n">
        <v>45710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statliga verk och myndigheter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33689-2019</t>
        </is>
      </c>
      <c r="B904" s="1" t="n">
        <v>43651</v>
      </c>
      <c r="C904" s="1" t="n">
        <v>45710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33814-2019</t>
        </is>
      </c>
      <c r="B905" s="1" t="n">
        <v>43651</v>
      </c>
      <c r="C905" s="1" t="n">
        <v>45710</v>
      </c>
      <c r="D905" t="inlineStr">
        <is>
          <t>ÖSTERGÖTLANDS LÄN</t>
        </is>
      </c>
      <c r="E905" t="inlineStr">
        <is>
          <t>FINSPÅNG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33812-2019</t>
        </is>
      </c>
      <c r="B906" s="1" t="n">
        <v>43651</v>
      </c>
      <c r="C906" s="1" t="n">
        <v>45710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34042-2019</t>
        </is>
      </c>
      <c r="B907" s="1" t="n">
        <v>43654</v>
      </c>
      <c r="C907" s="1" t="n">
        <v>45710</v>
      </c>
      <c r="D907" t="inlineStr">
        <is>
          <t>ÖSTERGÖTLANDS LÄN</t>
        </is>
      </c>
      <c r="E907" t="inlineStr">
        <is>
          <t>MOTALA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34300-2019</t>
        </is>
      </c>
      <c r="B908" s="1" t="n">
        <v>43655</v>
      </c>
      <c r="C908" s="1" t="n">
        <v>45710</v>
      </c>
      <c r="D908" t="inlineStr">
        <is>
          <t>ÖSTERGÖTLANDS LÄN</t>
        </is>
      </c>
      <c r="E908" t="inlineStr">
        <is>
          <t>NORRKÖPING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34252-2019</t>
        </is>
      </c>
      <c r="B909" s="1" t="n">
        <v>43655</v>
      </c>
      <c r="C909" s="1" t="n">
        <v>45710</v>
      </c>
      <c r="D909" t="inlineStr">
        <is>
          <t>ÖSTERGÖTLANDS LÄN</t>
        </is>
      </c>
      <c r="E909" t="inlineStr">
        <is>
          <t>BOXHOLM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34557-2019</t>
        </is>
      </c>
      <c r="B910" s="1" t="n">
        <v>43657</v>
      </c>
      <c r="C910" s="1" t="n">
        <v>45710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34559-2019</t>
        </is>
      </c>
      <c r="B911" s="1" t="n">
        <v>43657</v>
      </c>
      <c r="C911" s="1" t="n">
        <v>45710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34556-2019</t>
        </is>
      </c>
      <c r="B912" s="1" t="n">
        <v>43657</v>
      </c>
      <c r="C912" s="1" t="n">
        <v>45710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36012-2019</t>
        </is>
      </c>
      <c r="B913" s="1" t="n">
        <v>43657</v>
      </c>
      <c r="C913" s="1" t="n">
        <v>45710</v>
      </c>
      <c r="D913" t="inlineStr">
        <is>
          <t>ÖSTERGÖTLANDS LÄN</t>
        </is>
      </c>
      <c r="E913" t="inlineStr">
        <is>
          <t>KINDA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36001-2019</t>
        </is>
      </c>
      <c r="B914" s="1" t="n">
        <v>43657</v>
      </c>
      <c r="C914" s="1" t="n">
        <v>45710</v>
      </c>
      <c r="D914" t="inlineStr">
        <is>
          <t>ÖSTERGÖTLANDS LÄN</t>
        </is>
      </c>
      <c r="E914" t="inlineStr">
        <is>
          <t>KINDA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34697-2019</t>
        </is>
      </c>
      <c r="B915" s="1" t="n">
        <v>43657</v>
      </c>
      <c r="C915" s="1" t="n">
        <v>45710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36015-2019</t>
        </is>
      </c>
      <c r="B916" s="1" t="n">
        <v>43657</v>
      </c>
      <c r="C916" s="1" t="n">
        <v>45710</v>
      </c>
      <c r="D916" t="inlineStr">
        <is>
          <t>ÖSTERGÖTLANDS LÄN</t>
        </is>
      </c>
      <c r="E916" t="inlineStr">
        <is>
          <t>KINDA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34839-2019</t>
        </is>
      </c>
      <c r="B917" s="1" t="n">
        <v>43658</v>
      </c>
      <c r="C917" s="1" t="n">
        <v>45710</v>
      </c>
      <c r="D917" t="inlineStr">
        <is>
          <t>ÖSTERGÖTLANDS LÄN</t>
        </is>
      </c>
      <c r="E917" t="inlineStr">
        <is>
          <t>LINKÖPING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35133-2019</t>
        </is>
      </c>
      <c r="B918" s="1" t="n">
        <v>43661</v>
      </c>
      <c r="C918" s="1" t="n">
        <v>45710</v>
      </c>
      <c r="D918" t="inlineStr">
        <is>
          <t>ÖSTERGÖTLANDS LÄN</t>
        </is>
      </c>
      <c r="E918" t="inlineStr">
        <is>
          <t>FINSPÅNG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36319-2019</t>
        </is>
      </c>
      <c r="B919" s="1" t="n">
        <v>43661</v>
      </c>
      <c r="C919" s="1" t="n">
        <v>45710</v>
      </c>
      <c r="D919" t="inlineStr">
        <is>
          <t>ÖSTERGÖTLANDS LÄN</t>
        </is>
      </c>
      <c r="E919" t="inlineStr">
        <is>
          <t>NORRKÖPING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35130-2019</t>
        </is>
      </c>
      <c r="B920" s="1" t="n">
        <v>43661</v>
      </c>
      <c r="C920" s="1" t="n">
        <v>45710</v>
      </c>
      <c r="D920" t="inlineStr">
        <is>
          <t>ÖSTERGÖTLANDS LÄN</t>
        </is>
      </c>
      <c r="E920" t="inlineStr">
        <is>
          <t>YDRE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35134-2019</t>
        </is>
      </c>
      <c r="B921" s="1" t="n">
        <v>43661</v>
      </c>
      <c r="C921" s="1" t="n">
        <v>45710</v>
      </c>
      <c r="D921" t="inlineStr">
        <is>
          <t>ÖSTERGÖTLANDS LÄN</t>
        </is>
      </c>
      <c r="E921" t="inlineStr">
        <is>
          <t>SÖDERKÖPING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36301-2019</t>
        </is>
      </c>
      <c r="B922" s="1" t="n">
        <v>43661</v>
      </c>
      <c r="C922" s="1" t="n">
        <v>45710</v>
      </c>
      <c r="D922" t="inlineStr">
        <is>
          <t>ÖSTERGÖTLANDS LÄN</t>
        </is>
      </c>
      <c r="E922" t="inlineStr">
        <is>
          <t>KINDA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35414-2019</t>
        </is>
      </c>
      <c r="B923" s="1" t="n">
        <v>43663</v>
      </c>
      <c r="C923" s="1" t="n">
        <v>45710</v>
      </c>
      <c r="D923" t="inlineStr">
        <is>
          <t>ÖSTERGÖTLANDS LÄN</t>
        </is>
      </c>
      <c r="E923" t="inlineStr">
        <is>
          <t>MOTALA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35516-2019</t>
        </is>
      </c>
      <c r="B924" s="1" t="n">
        <v>43663</v>
      </c>
      <c r="C924" s="1" t="n">
        <v>45710</v>
      </c>
      <c r="D924" t="inlineStr">
        <is>
          <t>ÖSTERGÖTLANDS LÄN</t>
        </is>
      </c>
      <c r="E924" t="inlineStr">
        <is>
          <t>LINKÖPING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36476-2019</t>
        </is>
      </c>
      <c r="B925" s="1" t="n">
        <v>43665</v>
      </c>
      <c r="C925" s="1" t="n">
        <v>45710</v>
      </c>
      <c r="D925" t="inlineStr">
        <is>
          <t>ÖSTERGÖTLANDS LÄN</t>
        </is>
      </c>
      <c r="E925" t="inlineStr">
        <is>
          <t>MOTALA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36473-2019</t>
        </is>
      </c>
      <c r="B926" s="1" t="n">
        <v>43665</v>
      </c>
      <c r="C926" s="1" t="n">
        <v>45710</v>
      </c>
      <c r="D926" t="inlineStr">
        <is>
          <t>ÖSTERGÖTLANDS LÄN</t>
        </is>
      </c>
      <c r="E926" t="inlineStr">
        <is>
          <t>MOTALA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36475-2019</t>
        </is>
      </c>
      <c r="B927" s="1" t="n">
        <v>43665</v>
      </c>
      <c r="C927" s="1" t="n">
        <v>45710</v>
      </c>
      <c r="D927" t="inlineStr">
        <is>
          <t>ÖSTERGÖTLANDS LÄN</t>
        </is>
      </c>
      <c r="E927" t="inlineStr">
        <is>
          <t>MOTALA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36170-2019</t>
        </is>
      </c>
      <c r="B928" s="1" t="n">
        <v>43668</v>
      </c>
      <c r="C928" s="1" t="n">
        <v>45710</v>
      </c>
      <c r="D928" t="inlineStr">
        <is>
          <t>ÖSTERGÖTLANDS LÄN</t>
        </is>
      </c>
      <c r="E928" t="inlineStr">
        <is>
          <t>ÅTVIDABERG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36668-2019</t>
        </is>
      </c>
      <c r="B929" s="1" t="n">
        <v>43669</v>
      </c>
      <c r="C929" s="1" t="n">
        <v>45710</v>
      </c>
      <c r="D929" t="inlineStr">
        <is>
          <t>ÖSTERGÖTLANDS LÄN</t>
        </is>
      </c>
      <c r="E929" t="inlineStr">
        <is>
          <t>MOTALA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36684-2019</t>
        </is>
      </c>
      <c r="B930" s="1" t="n">
        <v>43669</v>
      </c>
      <c r="C930" s="1" t="n">
        <v>45710</v>
      </c>
      <c r="D930" t="inlineStr">
        <is>
          <t>ÖSTERGÖTLANDS LÄN</t>
        </is>
      </c>
      <c r="E930" t="inlineStr">
        <is>
          <t>VALDEMARSVIK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36681-2019</t>
        </is>
      </c>
      <c r="B931" s="1" t="n">
        <v>43669</v>
      </c>
      <c r="C931" s="1" t="n">
        <v>45710</v>
      </c>
      <c r="D931" t="inlineStr">
        <is>
          <t>ÖSTERGÖTLANDS LÄN</t>
        </is>
      </c>
      <c r="E931" t="inlineStr">
        <is>
          <t>VALDEMARSVIK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36674-2019</t>
        </is>
      </c>
      <c r="B932" s="1" t="n">
        <v>43669</v>
      </c>
      <c r="C932" s="1" t="n">
        <v>45710</v>
      </c>
      <c r="D932" t="inlineStr">
        <is>
          <t>ÖSTERGÖTLANDS LÄN</t>
        </is>
      </c>
      <c r="E932" t="inlineStr">
        <is>
          <t>MOTALA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36673-2019</t>
        </is>
      </c>
      <c r="B933" s="1" t="n">
        <v>43669</v>
      </c>
      <c r="C933" s="1" t="n">
        <v>45710</v>
      </c>
      <c r="D933" t="inlineStr">
        <is>
          <t>ÖSTERGÖTLANDS LÄN</t>
        </is>
      </c>
      <c r="E933" t="inlineStr">
        <is>
          <t>MOTALA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36763-2019</t>
        </is>
      </c>
      <c r="B934" s="1" t="n">
        <v>43672</v>
      </c>
      <c r="C934" s="1" t="n">
        <v>45710</v>
      </c>
      <c r="D934" t="inlineStr">
        <is>
          <t>ÖSTERGÖTLANDS LÄN</t>
        </is>
      </c>
      <c r="E934" t="inlineStr">
        <is>
          <t>KINDA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36775-2019</t>
        </is>
      </c>
      <c r="B935" s="1" t="n">
        <v>43672</v>
      </c>
      <c r="C935" s="1" t="n">
        <v>45710</v>
      </c>
      <c r="D935" t="inlineStr">
        <is>
          <t>ÖSTERGÖTLANDS LÄN</t>
        </is>
      </c>
      <c r="E935" t="inlineStr">
        <is>
          <t>ÅTVIDABERG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36783-2019</t>
        </is>
      </c>
      <c r="B936" s="1" t="n">
        <v>43672</v>
      </c>
      <c r="C936" s="1" t="n">
        <v>45710</v>
      </c>
      <c r="D936" t="inlineStr">
        <is>
          <t>ÖSTERGÖTLANDS LÄN</t>
        </is>
      </c>
      <c r="E936" t="inlineStr">
        <is>
          <t>LINKÖPING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36827-2019</t>
        </is>
      </c>
      <c r="B937" s="1" t="n">
        <v>43674</v>
      </c>
      <c r="C937" s="1" t="n">
        <v>45710</v>
      </c>
      <c r="D937" t="inlineStr">
        <is>
          <t>ÖSTERGÖTLANDS LÄN</t>
        </is>
      </c>
      <c r="E937" t="inlineStr">
        <is>
          <t>SÖDERKÖPING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36826-2019</t>
        </is>
      </c>
      <c r="B938" s="1" t="n">
        <v>43674</v>
      </c>
      <c r="C938" s="1" t="n">
        <v>45710</v>
      </c>
      <c r="D938" t="inlineStr">
        <is>
          <t>ÖSTERGÖTLANDS LÄN</t>
        </is>
      </c>
      <c r="E938" t="inlineStr">
        <is>
          <t>SÖDERKÖPING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36869-2019</t>
        </is>
      </c>
      <c r="B939" s="1" t="n">
        <v>43675</v>
      </c>
      <c r="C939" s="1" t="n">
        <v>45710</v>
      </c>
      <c r="D939" t="inlineStr">
        <is>
          <t>ÖSTERGÖTLANDS LÄN</t>
        </is>
      </c>
      <c r="E939" t="inlineStr">
        <is>
          <t>NORRKÖPING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36911-2019</t>
        </is>
      </c>
      <c r="B940" s="1" t="n">
        <v>43675</v>
      </c>
      <c r="C940" s="1" t="n">
        <v>45710</v>
      </c>
      <c r="D940" t="inlineStr">
        <is>
          <t>ÖSTERGÖTLANDS LÄN</t>
        </is>
      </c>
      <c r="E940" t="inlineStr">
        <is>
          <t>BOXHOLM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36908-2019</t>
        </is>
      </c>
      <c r="B941" s="1" t="n">
        <v>43675</v>
      </c>
      <c r="C941" s="1" t="n">
        <v>45710</v>
      </c>
      <c r="D941" t="inlineStr">
        <is>
          <t>ÖSTERGÖTLANDS LÄN</t>
        </is>
      </c>
      <c r="E941" t="inlineStr">
        <is>
          <t>BOXHOLM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36938-2019</t>
        </is>
      </c>
      <c r="B942" s="1" t="n">
        <v>43675</v>
      </c>
      <c r="C942" s="1" t="n">
        <v>45710</v>
      </c>
      <c r="D942" t="inlineStr">
        <is>
          <t>ÖSTERGÖTLANDS LÄN</t>
        </is>
      </c>
      <c r="E942" t="inlineStr">
        <is>
          <t>MJÖLBY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36951-2019</t>
        </is>
      </c>
      <c r="B943" s="1" t="n">
        <v>43675</v>
      </c>
      <c r="C943" s="1" t="n">
        <v>45710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37006-2019</t>
        </is>
      </c>
      <c r="B944" s="1" t="n">
        <v>43675</v>
      </c>
      <c r="C944" s="1" t="n">
        <v>45710</v>
      </c>
      <c r="D944" t="inlineStr">
        <is>
          <t>ÖSTERGÖTLANDS LÄN</t>
        </is>
      </c>
      <c r="E944" t="inlineStr">
        <is>
          <t>MOTALA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37012-2019</t>
        </is>
      </c>
      <c r="B945" s="1" t="n">
        <v>43675</v>
      </c>
      <c r="C945" s="1" t="n">
        <v>45710</v>
      </c>
      <c r="D945" t="inlineStr">
        <is>
          <t>ÖSTERGÖTLANDS LÄN</t>
        </is>
      </c>
      <c r="E945" t="inlineStr">
        <is>
          <t>MOTALA</t>
        </is>
      </c>
      <c r="G945" t="n">
        <v>50.7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37022-2019</t>
        </is>
      </c>
      <c r="B946" s="1" t="n">
        <v>43676</v>
      </c>
      <c r="C946" s="1" t="n">
        <v>45710</v>
      </c>
      <c r="D946" t="inlineStr">
        <is>
          <t>ÖSTERGÖTLANDS LÄN</t>
        </is>
      </c>
      <c r="E946" t="inlineStr">
        <is>
          <t>VALDEMARSVIK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37229-2019</t>
        </is>
      </c>
      <c r="B947" s="1" t="n">
        <v>43677</v>
      </c>
      <c r="C947" s="1" t="n">
        <v>45710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37490-2019</t>
        </is>
      </c>
      <c r="B948" s="1" t="n">
        <v>43677</v>
      </c>
      <c r="C948" s="1" t="n">
        <v>45710</v>
      </c>
      <c r="D948" t="inlineStr">
        <is>
          <t>ÖSTERGÖTLANDS LÄN</t>
        </is>
      </c>
      <c r="E948" t="inlineStr">
        <is>
          <t>MOTALA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37492-2019</t>
        </is>
      </c>
      <c r="B949" s="1" t="n">
        <v>43677</v>
      </c>
      <c r="C949" s="1" t="n">
        <v>45710</v>
      </c>
      <c r="D949" t="inlineStr">
        <is>
          <t>ÖSTERGÖTLANDS LÄN</t>
        </is>
      </c>
      <c r="E949" t="inlineStr">
        <is>
          <t>MOTALA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37488-2019</t>
        </is>
      </c>
      <c r="B950" s="1" t="n">
        <v>43677</v>
      </c>
      <c r="C950" s="1" t="n">
        <v>45710</v>
      </c>
      <c r="D950" t="inlineStr">
        <is>
          <t>ÖSTERGÖTLANDS LÄN</t>
        </is>
      </c>
      <c r="E950" t="inlineStr">
        <is>
          <t>MOTALA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37461-2019</t>
        </is>
      </c>
      <c r="B951" s="1" t="n">
        <v>43678</v>
      </c>
      <c r="C951" s="1" t="n">
        <v>45710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37456-2019</t>
        </is>
      </c>
      <c r="B952" s="1" t="n">
        <v>43678</v>
      </c>
      <c r="C952" s="1" t="n">
        <v>45710</v>
      </c>
      <c r="D952" t="inlineStr">
        <is>
          <t>ÖSTERGÖTLANDS LÄN</t>
        </is>
      </c>
      <c r="E952" t="inlineStr">
        <is>
          <t>FINSPÅNG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37564-2019</t>
        </is>
      </c>
      <c r="B953" s="1" t="n">
        <v>43678</v>
      </c>
      <c r="C953" s="1" t="n">
        <v>45710</v>
      </c>
      <c r="D953" t="inlineStr">
        <is>
          <t>ÖSTERGÖTLANDS LÄN</t>
        </is>
      </c>
      <c r="E953" t="inlineStr">
        <is>
          <t>MOTALA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37483-2019</t>
        </is>
      </c>
      <c r="B954" s="1" t="n">
        <v>43678</v>
      </c>
      <c r="C954" s="1" t="n">
        <v>45710</v>
      </c>
      <c r="D954" t="inlineStr">
        <is>
          <t>ÖSTERGÖTLANDS LÄN</t>
        </is>
      </c>
      <c r="E954" t="inlineStr">
        <is>
          <t>VALDEMARSVIK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37458-2019</t>
        </is>
      </c>
      <c r="B955" s="1" t="n">
        <v>43678</v>
      </c>
      <c r="C955" s="1" t="n">
        <v>45710</v>
      </c>
      <c r="D955" t="inlineStr">
        <is>
          <t>ÖSTERGÖTLANDS LÄN</t>
        </is>
      </c>
      <c r="E955" t="inlineStr">
        <is>
          <t>VALDEMARSVIK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37382-2019</t>
        </is>
      </c>
      <c r="B956" s="1" t="n">
        <v>43678</v>
      </c>
      <c r="C956" s="1" t="n">
        <v>45710</v>
      </c>
      <c r="D956" t="inlineStr">
        <is>
          <t>ÖSTERGÖTLANDS LÄN</t>
        </is>
      </c>
      <c r="E956" t="inlineStr">
        <is>
          <t>MOTALA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37460-2019</t>
        </is>
      </c>
      <c r="B957" s="1" t="n">
        <v>43678</v>
      </c>
      <c r="C957" s="1" t="n">
        <v>45710</v>
      </c>
      <c r="D957" t="inlineStr">
        <is>
          <t>ÖSTERGÖTLANDS LÄN</t>
        </is>
      </c>
      <c r="E957" t="inlineStr">
        <is>
          <t>VALDEMARSVIK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37567-2019</t>
        </is>
      </c>
      <c r="B958" s="1" t="n">
        <v>43678</v>
      </c>
      <c r="C958" s="1" t="n">
        <v>45710</v>
      </c>
      <c r="D958" t="inlineStr">
        <is>
          <t>ÖSTERGÖTLANDS LÄN</t>
        </is>
      </c>
      <c r="E958" t="inlineStr">
        <is>
          <t>MOTALA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37454-2019</t>
        </is>
      </c>
      <c r="B959" s="1" t="n">
        <v>43679</v>
      </c>
      <c r="C959" s="1" t="n">
        <v>45710</v>
      </c>
      <c r="D959" t="inlineStr">
        <is>
          <t>ÖSTERGÖTLANDS LÄN</t>
        </is>
      </c>
      <c r="E959" t="inlineStr">
        <is>
          <t>YDRE</t>
        </is>
      </c>
      <c r="G959" t="n">
        <v>10.7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37464-2019</t>
        </is>
      </c>
      <c r="B960" s="1" t="n">
        <v>43679</v>
      </c>
      <c r="C960" s="1" t="n">
        <v>45710</v>
      </c>
      <c r="D960" t="inlineStr">
        <is>
          <t>ÖSTERGÖTLANDS LÄN</t>
        </is>
      </c>
      <c r="E960" t="inlineStr">
        <is>
          <t>KINDA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37616-2019</t>
        </is>
      </c>
      <c r="B961" s="1" t="n">
        <v>43681</v>
      </c>
      <c r="C961" s="1" t="n">
        <v>45710</v>
      </c>
      <c r="D961" t="inlineStr">
        <is>
          <t>ÖSTERGÖTLANDS LÄN</t>
        </is>
      </c>
      <c r="E961" t="inlineStr">
        <is>
          <t>VALDEMARSVIK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37835-2019</t>
        </is>
      </c>
      <c r="B962" s="1" t="n">
        <v>43682</v>
      </c>
      <c r="C962" s="1" t="n">
        <v>45710</v>
      </c>
      <c r="D962" t="inlineStr">
        <is>
          <t>ÖSTERGÖTLANDS LÄN</t>
        </is>
      </c>
      <c r="E962" t="inlineStr">
        <is>
          <t>ÅTVIDABERG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37654-2019</t>
        </is>
      </c>
      <c r="B963" s="1" t="n">
        <v>43682</v>
      </c>
      <c r="C963" s="1" t="n">
        <v>45710</v>
      </c>
      <c r="D963" t="inlineStr">
        <is>
          <t>ÖSTERGÖTLANDS LÄN</t>
        </is>
      </c>
      <c r="E963" t="inlineStr">
        <is>
          <t>MOTALA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37855-2019</t>
        </is>
      </c>
      <c r="B964" s="1" t="n">
        <v>43682</v>
      </c>
      <c r="C964" s="1" t="n">
        <v>45710</v>
      </c>
      <c r="D964" t="inlineStr">
        <is>
          <t>ÖSTERGÖTLANDS LÄN</t>
        </is>
      </c>
      <c r="E964" t="inlineStr">
        <is>
          <t>ÅTVIDABERG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38095-2019</t>
        </is>
      </c>
      <c r="B965" s="1" t="n">
        <v>43682</v>
      </c>
      <c r="C965" s="1" t="n">
        <v>45710</v>
      </c>
      <c r="D965" t="inlineStr">
        <is>
          <t>ÖSTERGÖTLANDS LÄN</t>
        </is>
      </c>
      <c r="E965" t="inlineStr">
        <is>
          <t>YDRE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37707-2019</t>
        </is>
      </c>
      <c r="B966" s="1" t="n">
        <v>43682</v>
      </c>
      <c r="C966" s="1" t="n">
        <v>45710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37934-2019</t>
        </is>
      </c>
      <c r="B967" s="1" t="n">
        <v>43683</v>
      </c>
      <c r="C967" s="1" t="n">
        <v>45710</v>
      </c>
      <c r="D967" t="inlineStr">
        <is>
          <t>ÖSTERGÖTLANDS LÄN</t>
        </is>
      </c>
      <c r="E967" t="inlineStr">
        <is>
          <t>MOTALA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37979-2019</t>
        </is>
      </c>
      <c r="B968" s="1" t="n">
        <v>43683</v>
      </c>
      <c r="C968" s="1" t="n">
        <v>45710</v>
      </c>
      <c r="D968" t="inlineStr">
        <is>
          <t>ÖSTERGÖTLANDS LÄN</t>
        </is>
      </c>
      <c r="E968" t="inlineStr">
        <is>
          <t>MOTALA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37906-2019</t>
        </is>
      </c>
      <c r="B969" s="1" t="n">
        <v>43683</v>
      </c>
      <c r="C969" s="1" t="n">
        <v>45710</v>
      </c>
      <c r="D969" t="inlineStr">
        <is>
          <t>ÖSTERGÖTLANDS LÄN</t>
        </is>
      </c>
      <c r="E969" t="inlineStr">
        <is>
          <t>YDRE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37902-2019</t>
        </is>
      </c>
      <c r="B970" s="1" t="n">
        <v>43683</v>
      </c>
      <c r="C970" s="1" t="n">
        <v>45710</v>
      </c>
      <c r="D970" t="inlineStr">
        <is>
          <t>ÖSTERGÖTLANDS LÄN</t>
        </is>
      </c>
      <c r="E970" t="inlineStr">
        <is>
          <t>KINDA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37975-2019</t>
        </is>
      </c>
      <c r="B971" s="1" t="n">
        <v>43683</v>
      </c>
      <c r="C971" s="1" t="n">
        <v>45710</v>
      </c>
      <c r="D971" t="inlineStr">
        <is>
          <t>ÖSTERGÖTLANDS LÄN</t>
        </is>
      </c>
      <c r="E971" t="inlineStr">
        <is>
          <t>BOXHOLM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38028-2019</t>
        </is>
      </c>
      <c r="B972" s="1" t="n">
        <v>43683</v>
      </c>
      <c r="C972" s="1" t="n">
        <v>45710</v>
      </c>
      <c r="D972" t="inlineStr">
        <is>
          <t>ÖSTERGÖTLANDS LÄN</t>
        </is>
      </c>
      <c r="E972" t="inlineStr">
        <is>
          <t>MOTALA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38066-2019</t>
        </is>
      </c>
      <c r="B973" s="1" t="n">
        <v>43683</v>
      </c>
      <c r="C973" s="1" t="n">
        <v>45710</v>
      </c>
      <c r="D973" t="inlineStr">
        <is>
          <t>ÖSTERGÖTLANDS LÄN</t>
        </is>
      </c>
      <c r="E973" t="inlineStr">
        <is>
          <t>FINSPÅNG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38014-2019</t>
        </is>
      </c>
      <c r="B974" s="1" t="n">
        <v>43683</v>
      </c>
      <c r="C974" s="1" t="n">
        <v>45710</v>
      </c>
      <c r="D974" t="inlineStr">
        <is>
          <t>ÖSTERGÖTLANDS LÄN</t>
        </is>
      </c>
      <c r="E974" t="inlineStr">
        <is>
          <t>MOTALA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38086-2019</t>
        </is>
      </c>
      <c r="B975" s="1" t="n">
        <v>43683</v>
      </c>
      <c r="C975" s="1" t="n">
        <v>45710</v>
      </c>
      <c r="D975" t="inlineStr">
        <is>
          <t>ÖSTERGÖTLANDS LÄN</t>
        </is>
      </c>
      <c r="E975" t="inlineStr">
        <is>
          <t>FINSPÅNG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37932-2019</t>
        </is>
      </c>
      <c r="B976" s="1" t="n">
        <v>43683</v>
      </c>
      <c r="C976" s="1" t="n">
        <v>45710</v>
      </c>
      <c r="D976" t="inlineStr">
        <is>
          <t>ÖSTERGÖTLANDS LÄN</t>
        </is>
      </c>
      <c r="E976" t="inlineStr">
        <is>
          <t>MOTALA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38026-2019</t>
        </is>
      </c>
      <c r="B977" s="1" t="n">
        <v>43683</v>
      </c>
      <c r="C977" s="1" t="n">
        <v>45710</v>
      </c>
      <c r="D977" t="inlineStr">
        <is>
          <t>ÖSTERGÖTLANDS LÄN</t>
        </is>
      </c>
      <c r="E977" t="inlineStr">
        <is>
          <t>ÅTVIDABERG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38004-2019</t>
        </is>
      </c>
      <c r="B978" s="1" t="n">
        <v>43683</v>
      </c>
      <c r="C978" s="1" t="n">
        <v>45710</v>
      </c>
      <c r="D978" t="inlineStr">
        <is>
          <t>ÖSTERGÖTLANDS LÄN</t>
        </is>
      </c>
      <c r="E978" t="inlineStr">
        <is>
          <t>MOTALA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38212-2019</t>
        </is>
      </c>
      <c r="B979" s="1" t="n">
        <v>43684</v>
      </c>
      <c r="C979" s="1" t="n">
        <v>45710</v>
      </c>
      <c r="D979" t="inlineStr">
        <is>
          <t>ÖSTERGÖTLANDS LÄN</t>
        </is>
      </c>
      <c r="E979" t="inlineStr">
        <is>
          <t>LINKÖPING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38295-2019</t>
        </is>
      </c>
      <c r="B980" s="1" t="n">
        <v>43684</v>
      </c>
      <c r="C980" s="1" t="n">
        <v>45710</v>
      </c>
      <c r="D980" t="inlineStr">
        <is>
          <t>ÖSTERGÖTLANDS LÄN</t>
        </is>
      </c>
      <c r="E980" t="inlineStr">
        <is>
          <t>SÖDERKÖPING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38416-2019</t>
        </is>
      </c>
      <c r="B981" s="1" t="n">
        <v>43685</v>
      </c>
      <c r="C981" s="1" t="n">
        <v>45710</v>
      </c>
      <c r="D981" t="inlineStr">
        <is>
          <t>ÖSTERGÖTLANDS LÄN</t>
        </is>
      </c>
      <c r="E981" t="inlineStr">
        <is>
          <t>KINDA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38437-2019</t>
        </is>
      </c>
      <c r="B982" s="1" t="n">
        <v>43685</v>
      </c>
      <c r="C982" s="1" t="n">
        <v>45710</v>
      </c>
      <c r="D982" t="inlineStr">
        <is>
          <t>ÖSTERGÖTLANDS LÄN</t>
        </is>
      </c>
      <c r="E982" t="inlineStr">
        <is>
          <t>MOTALA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38493-2019</t>
        </is>
      </c>
      <c r="B983" s="1" t="n">
        <v>43685</v>
      </c>
      <c r="C983" s="1" t="n">
        <v>45710</v>
      </c>
      <c r="D983" t="inlineStr">
        <is>
          <t>ÖSTERGÖTLANDS LÄN</t>
        </is>
      </c>
      <c r="E983" t="inlineStr">
        <is>
          <t>ÅTVIDABERG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38492-2019</t>
        </is>
      </c>
      <c r="B984" s="1" t="n">
        <v>43685</v>
      </c>
      <c r="C984" s="1" t="n">
        <v>45710</v>
      </c>
      <c r="D984" t="inlineStr">
        <is>
          <t>ÖSTERGÖTLANDS LÄN</t>
        </is>
      </c>
      <c r="E984" t="inlineStr">
        <is>
          <t>ÅTVIDABERG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38519-2019</t>
        </is>
      </c>
      <c r="B985" s="1" t="n">
        <v>43685</v>
      </c>
      <c r="C985" s="1" t="n">
        <v>45710</v>
      </c>
      <c r="D985" t="inlineStr">
        <is>
          <t>ÖSTERGÖTLANDS LÄN</t>
        </is>
      </c>
      <c r="E985" t="inlineStr">
        <is>
          <t>ÅTVIDABERG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38361-2019</t>
        </is>
      </c>
      <c r="B986" s="1" t="n">
        <v>43685</v>
      </c>
      <c r="C986" s="1" t="n">
        <v>45710</v>
      </c>
      <c r="D986" t="inlineStr">
        <is>
          <t>ÖSTERGÖTLANDS LÄN</t>
        </is>
      </c>
      <c r="E986" t="inlineStr">
        <is>
          <t>NORRKÖPING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38801-2019</t>
        </is>
      </c>
      <c r="B987" s="1" t="n">
        <v>43688</v>
      </c>
      <c r="C987" s="1" t="n">
        <v>45710</v>
      </c>
      <c r="D987" t="inlineStr">
        <is>
          <t>ÖSTERGÖTLANDS LÄN</t>
        </is>
      </c>
      <c r="E987" t="inlineStr">
        <is>
          <t>BOXHOLM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38882-2019</t>
        </is>
      </c>
      <c r="B988" s="1" t="n">
        <v>43689</v>
      </c>
      <c r="C988" s="1" t="n">
        <v>45710</v>
      </c>
      <c r="D988" t="inlineStr">
        <is>
          <t>ÖSTERGÖTLANDS LÄN</t>
        </is>
      </c>
      <c r="E988" t="inlineStr">
        <is>
          <t>VALDEMARSVIK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38901-2019</t>
        </is>
      </c>
      <c r="B989" s="1" t="n">
        <v>43689</v>
      </c>
      <c r="C989" s="1" t="n">
        <v>45710</v>
      </c>
      <c r="D989" t="inlineStr">
        <is>
          <t>ÖSTERGÖTLANDS LÄN</t>
        </is>
      </c>
      <c r="E989" t="inlineStr">
        <is>
          <t>ÖDESHÖG</t>
        </is>
      </c>
      <c r="F989" t="inlineStr">
        <is>
          <t>Allmännings- och besparingsskogar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39667-2019</t>
        </is>
      </c>
      <c r="B990" s="1" t="n">
        <v>43689</v>
      </c>
      <c r="C990" s="1" t="n">
        <v>45710</v>
      </c>
      <c r="D990" t="inlineStr">
        <is>
          <t>ÖSTERGÖTLANDS LÄN</t>
        </is>
      </c>
      <c r="E990" t="inlineStr">
        <is>
          <t>YDRE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39051-2019</t>
        </is>
      </c>
      <c r="B991" s="1" t="n">
        <v>43689</v>
      </c>
      <c r="C991" s="1" t="n">
        <v>45710</v>
      </c>
      <c r="D991" t="inlineStr">
        <is>
          <t>ÖSTERGÖTLANDS LÄN</t>
        </is>
      </c>
      <c r="E991" t="inlineStr">
        <is>
          <t>KINDA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39675-2019</t>
        </is>
      </c>
      <c r="B992" s="1" t="n">
        <v>43689</v>
      </c>
      <c r="C992" s="1" t="n">
        <v>45710</v>
      </c>
      <c r="D992" t="inlineStr">
        <is>
          <t>ÖSTERGÖTLANDS LÄN</t>
        </is>
      </c>
      <c r="E992" t="inlineStr">
        <is>
          <t>KINDA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39684-2019</t>
        </is>
      </c>
      <c r="B993" s="1" t="n">
        <v>43689</v>
      </c>
      <c r="C993" s="1" t="n">
        <v>45710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39377-2019</t>
        </is>
      </c>
      <c r="B994" s="1" t="n">
        <v>43690</v>
      </c>
      <c r="C994" s="1" t="n">
        <v>45710</v>
      </c>
      <c r="D994" t="inlineStr">
        <is>
          <t>ÖSTERGÖTLANDS LÄN</t>
        </is>
      </c>
      <c r="E994" t="inlineStr">
        <is>
          <t>MOTALA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39896-2019</t>
        </is>
      </c>
      <c r="B995" s="1" t="n">
        <v>43690</v>
      </c>
      <c r="C995" s="1" t="n">
        <v>45710</v>
      </c>
      <c r="D995" t="inlineStr">
        <is>
          <t>ÖSTERGÖTLANDS LÄN</t>
        </is>
      </c>
      <c r="E995" t="inlineStr">
        <is>
          <t>ÅTVIDABERG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40454-2019</t>
        </is>
      </c>
      <c r="B996" s="1" t="n">
        <v>43690</v>
      </c>
      <c r="C996" s="1" t="n">
        <v>45710</v>
      </c>
      <c r="D996" t="inlineStr">
        <is>
          <t>ÖSTERGÖTLANDS LÄN</t>
        </is>
      </c>
      <c r="E996" t="inlineStr">
        <is>
          <t>MOTALA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40519-2019</t>
        </is>
      </c>
      <c r="B997" s="1" t="n">
        <v>43690</v>
      </c>
      <c r="C997" s="1" t="n">
        <v>45710</v>
      </c>
      <c r="D997" t="inlineStr">
        <is>
          <t>ÖSTERGÖTLANDS LÄN</t>
        </is>
      </c>
      <c r="E997" t="inlineStr">
        <is>
          <t>MOTALA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39413-2019</t>
        </is>
      </c>
      <c r="B998" s="1" t="n">
        <v>43691</v>
      </c>
      <c r="C998" s="1" t="n">
        <v>45710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39437-2019</t>
        </is>
      </c>
      <c r="B999" s="1" t="n">
        <v>43691</v>
      </c>
      <c r="C999" s="1" t="n">
        <v>45710</v>
      </c>
      <c r="D999" t="inlineStr">
        <is>
          <t>ÖSTERGÖTLANDS LÄN</t>
        </is>
      </c>
      <c r="E999" t="inlineStr">
        <is>
          <t>NORRKÖPING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39541-2019</t>
        </is>
      </c>
      <c r="B1000" s="1" t="n">
        <v>43691</v>
      </c>
      <c r="C1000" s="1" t="n">
        <v>45710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39640-2019</t>
        </is>
      </c>
      <c r="B1001" s="1" t="n">
        <v>43691</v>
      </c>
      <c r="C1001" s="1" t="n">
        <v>45710</v>
      </c>
      <c r="D1001" t="inlineStr">
        <is>
          <t>ÖSTERGÖTLANDS LÄN</t>
        </is>
      </c>
      <c r="E1001" t="inlineStr">
        <is>
          <t>NORRKÖPING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40188-2019</t>
        </is>
      </c>
      <c r="B1002" s="1" t="n">
        <v>43691</v>
      </c>
      <c r="C1002" s="1" t="n">
        <v>45710</v>
      </c>
      <c r="D1002" t="inlineStr">
        <is>
          <t>ÖSTERGÖTLANDS LÄN</t>
        </is>
      </c>
      <c r="E1002" t="inlineStr">
        <is>
          <t>LINKÖPING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39703-2019</t>
        </is>
      </c>
      <c r="B1003" s="1" t="n">
        <v>43691</v>
      </c>
      <c r="C1003" s="1" t="n">
        <v>45710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40601-2019</t>
        </is>
      </c>
      <c r="B1004" s="1" t="n">
        <v>43691</v>
      </c>
      <c r="C1004" s="1" t="n">
        <v>45710</v>
      </c>
      <c r="D1004" t="inlineStr">
        <is>
          <t>ÖSTERGÖTLANDS LÄN</t>
        </is>
      </c>
      <c r="E1004" t="inlineStr">
        <is>
          <t>KINDA</t>
        </is>
      </c>
      <c r="G1004" t="n">
        <v>25.6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39831-2019</t>
        </is>
      </c>
      <c r="B1005" s="1" t="n">
        <v>43692</v>
      </c>
      <c r="C1005" s="1" t="n">
        <v>45710</v>
      </c>
      <c r="D1005" t="inlineStr">
        <is>
          <t>ÖSTERGÖTLANDS LÄN</t>
        </is>
      </c>
      <c r="E1005" t="inlineStr">
        <is>
          <t>MOTALA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39876-2019</t>
        </is>
      </c>
      <c r="B1006" s="1" t="n">
        <v>43692</v>
      </c>
      <c r="C1006" s="1" t="n">
        <v>45710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39781-2019</t>
        </is>
      </c>
      <c r="B1007" s="1" t="n">
        <v>43692</v>
      </c>
      <c r="C1007" s="1" t="n">
        <v>45710</v>
      </c>
      <c r="D1007" t="inlineStr">
        <is>
          <t>ÖSTERGÖTLANDS LÄN</t>
        </is>
      </c>
      <c r="E1007" t="inlineStr">
        <is>
          <t>LINKÖPING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40750-2019</t>
        </is>
      </c>
      <c r="B1008" s="1" t="n">
        <v>43692</v>
      </c>
      <c r="C1008" s="1" t="n">
        <v>45710</v>
      </c>
      <c r="D1008" t="inlineStr">
        <is>
          <t>ÖSTERGÖTLANDS LÄN</t>
        </is>
      </c>
      <c r="E1008" t="inlineStr">
        <is>
          <t>MOTALA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39999-2019</t>
        </is>
      </c>
      <c r="B1009" s="1" t="n">
        <v>43692</v>
      </c>
      <c r="C1009" s="1" t="n">
        <v>45710</v>
      </c>
      <c r="D1009" t="inlineStr">
        <is>
          <t>ÖSTERGÖTLANDS LÄN</t>
        </is>
      </c>
      <c r="E1009" t="inlineStr">
        <is>
          <t>LINKÖPING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39878-2019</t>
        </is>
      </c>
      <c r="B1010" s="1" t="n">
        <v>43692</v>
      </c>
      <c r="C1010" s="1" t="n">
        <v>45710</v>
      </c>
      <c r="D1010" t="inlineStr">
        <is>
          <t>ÖSTERGÖTLANDS LÄN</t>
        </is>
      </c>
      <c r="E1010" t="inlineStr">
        <is>
          <t>YDRE</t>
        </is>
      </c>
      <c r="G1010" t="n">
        <v>17.7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39998-2019</t>
        </is>
      </c>
      <c r="B1011" s="1" t="n">
        <v>43692</v>
      </c>
      <c r="C1011" s="1" t="n">
        <v>45710</v>
      </c>
      <c r="D1011" t="inlineStr">
        <is>
          <t>ÖSTERGÖTLANDS LÄN</t>
        </is>
      </c>
      <c r="E1011" t="inlineStr">
        <is>
          <t>LINKÖPING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40375-2019</t>
        </is>
      </c>
      <c r="B1012" s="1" t="n">
        <v>43696</v>
      </c>
      <c r="C1012" s="1" t="n">
        <v>45710</v>
      </c>
      <c r="D1012" t="inlineStr">
        <is>
          <t>ÖSTERGÖTLANDS LÄN</t>
        </is>
      </c>
      <c r="E1012" t="inlineStr">
        <is>
          <t>NORRKÖPING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40312-2019</t>
        </is>
      </c>
      <c r="B1013" s="1" t="n">
        <v>43696</v>
      </c>
      <c r="C1013" s="1" t="n">
        <v>45710</v>
      </c>
      <c r="D1013" t="inlineStr">
        <is>
          <t>ÖSTERGÖTLANDS LÄN</t>
        </is>
      </c>
      <c r="E1013" t="inlineStr">
        <is>
          <t>KINDA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40394-2019</t>
        </is>
      </c>
      <c r="B1014" s="1" t="n">
        <v>43696</v>
      </c>
      <c r="C1014" s="1" t="n">
        <v>45710</v>
      </c>
      <c r="D1014" t="inlineStr">
        <is>
          <t>ÖSTERGÖTLANDS LÄN</t>
        </is>
      </c>
      <c r="E1014" t="inlineStr">
        <is>
          <t>FINSPÅNG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40438-2019</t>
        </is>
      </c>
      <c r="B1015" s="1" t="n">
        <v>43696</v>
      </c>
      <c r="C1015" s="1" t="n">
        <v>45710</v>
      </c>
      <c r="D1015" t="inlineStr">
        <is>
          <t>ÖSTERGÖTLANDS LÄN</t>
        </is>
      </c>
      <c r="E1015" t="inlineStr">
        <is>
          <t>SÖDERKÖPING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40442-2019</t>
        </is>
      </c>
      <c r="B1016" s="1" t="n">
        <v>43696</v>
      </c>
      <c r="C1016" s="1" t="n">
        <v>45710</v>
      </c>
      <c r="D1016" t="inlineStr">
        <is>
          <t>ÖSTERGÖTLANDS LÄN</t>
        </is>
      </c>
      <c r="E1016" t="inlineStr">
        <is>
          <t>LINKÖPING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40573-2019</t>
        </is>
      </c>
      <c r="B1017" s="1" t="n">
        <v>43696</v>
      </c>
      <c r="C1017" s="1" t="n">
        <v>45710</v>
      </c>
      <c r="D1017" t="inlineStr">
        <is>
          <t>ÖSTERGÖTLANDS LÄN</t>
        </is>
      </c>
      <c r="E1017" t="inlineStr">
        <is>
          <t>BOXHOLM</t>
        </is>
      </c>
      <c r="F1017" t="inlineStr">
        <is>
          <t>Övriga Aktiebolag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40608-2019</t>
        </is>
      </c>
      <c r="B1018" s="1" t="n">
        <v>43696</v>
      </c>
      <c r="C1018" s="1" t="n">
        <v>45710</v>
      </c>
      <c r="D1018" t="inlineStr">
        <is>
          <t>ÖSTERGÖTLANDS LÄN</t>
        </is>
      </c>
      <c r="E1018" t="inlineStr">
        <is>
          <t>ÖDESHÖG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40624-2019</t>
        </is>
      </c>
      <c r="B1019" s="1" t="n">
        <v>43696</v>
      </c>
      <c r="C1019" s="1" t="n">
        <v>45710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40650-2019</t>
        </is>
      </c>
      <c r="B1020" s="1" t="n">
        <v>43696</v>
      </c>
      <c r="C1020" s="1" t="n">
        <v>45710</v>
      </c>
      <c r="D1020" t="inlineStr">
        <is>
          <t>ÖSTERGÖTLANDS LÄN</t>
        </is>
      </c>
      <c r="E1020" t="inlineStr">
        <is>
          <t>BOXHOLM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40570-2019</t>
        </is>
      </c>
      <c r="B1021" s="1" t="n">
        <v>43696</v>
      </c>
      <c r="C1021" s="1" t="n">
        <v>45710</v>
      </c>
      <c r="D1021" t="inlineStr">
        <is>
          <t>ÖSTERGÖTLANDS LÄN</t>
        </is>
      </c>
      <c r="E1021" t="inlineStr">
        <is>
          <t>BOXHOLM</t>
        </is>
      </c>
      <c r="F1021" t="inlineStr">
        <is>
          <t>Övriga Aktiebolag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40316-2019</t>
        </is>
      </c>
      <c r="B1022" s="1" t="n">
        <v>43696</v>
      </c>
      <c r="C1022" s="1" t="n">
        <v>45710</v>
      </c>
      <c r="D1022" t="inlineStr">
        <is>
          <t>ÖSTERGÖTLANDS LÄN</t>
        </is>
      </c>
      <c r="E1022" t="inlineStr">
        <is>
          <t>KINDA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40559-2019</t>
        </is>
      </c>
      <c r="B1023" s="1" t="n">
        <v>43696</v>
      </c>
      <c r="C1023" s="1" t="n">
        <v>45710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Övriga Aktiebolag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40567-2019</t>
        </is>
      </c>
      <c r="B1024" s="1" t="n">
        <v>43696</v>
      </c>
      <c r="C1024" s="1" t="n">
        <v>45710</v>
      </c>
      <c r="D1024" t="inlineStr">
        <is>
          <t>ÖSTERGÖTLANDS LÄN</t>
        </is>
      </c>
      <c r="E1024" t="inlineStr">
        <is>
          <t>KINDA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40837-2019</t>
        </is>
      </c>
      <c r="B1025" s="1" t="n">
        <v>43697</v>
      </c>
      <c r="C1025" s="1" t="n">
        <v>45710</v>
      </c>
      <c r="D1025" t="inlineStr">
        <is>
          <t>ÖSTERGÖTLANDS LÄN</t>
        </is>
      </c>
      <c r="E1025" t="inlineStr">
        <is>
          <t>VALDEMARSVIK</t>
        </is>
      </c>
      <c r="F1025" t="inlineStr">
        <is>
          <t>Övriga Aktiebolag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40928-2019</t>
        </is>
      </c>
      <c r="B1026" s="1" t="n">
        <v>43697</v>
      </c>
      <c r="C1026" s="1" t="n">
        <v>45710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40834-2019</t>
        </is>
      </c>
      <c r="B1027" s="1" t="n">
        <v>43697</v>
      </c>
      <c r="C1027" s="1" t="n">
        <v>45710</v>
      </c>
      <c r="D1027" t="inlineStr">
        <is>
          <t>ÖSTERGÖTLANDS LÄN</t>
        </is>
      </c>
      <c r="E1027" t="inlineStr">
        <is>
          <t>VALDEMARSVIK</t>
        </is>
      </c>
      <c r="F1027" t="inlineStr">
        <is>
          <t>Övriga Aktiebolag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40889-2019</t>
        </is>
      </c>
      <c r="B1028" s="1" t="n">
        <v>43697</v>
      </c>
      <c r="C1028" s="1" t="n">
        <v>45710</v>
      </c>
      <c r="D1028" t="inlineStr">
        <is>
          <t>ÖSTERGÖTLANDS LÄN</t>
        </is>
      </c>
      <c r="E1028" t="inlineStr">
        <is>
          <t>NORRKÖPING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40985-2019</t>
        </is>
      </c>
      <c r="B1029" s="1" t="n">
        <v>43697</v>
      </c>
      <c r="C1029" s="1" t="n">
        <v>45710</v>
      </c>
      <c r="D1029" t="inlineStr">
        <is>
          <t>ÖSTERGÖTLANDS LÄN</t>
        </is>
      </c>
      <c r="E1029" t="inlineStr">
        <is>
          <t>SÖDERKÖPING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41903-2019</t>
        </is>
      </c>
      <c r="B1030" s="1" t="n">
        <v>43697</v>
      </c>
      <c r="C1030" s="1" t="n">
        <v>45710</v>
      </c>
      <c r="D1030" t="inlineStr">
        <is>
          <t>ÖSTERGÖTLANDS LÄN</t>
        </is>
      </c>
      <c r="E1030" t="inlineStr">
        <is>
          <t>SÖDERKÖPING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41907-2019</t>
        </is>
      </c>
      <c r="B1031" s="1" t="n">
        <v>43697</v>
      </c>
      <c r="C1031" s="1" t="n">
        <v>45710</v>
      </c>
      <c r="D1031" t="inlineStr">
        <is>
          <t>ÖSTERGÖTLANDS LÄN</t>
        </is>
      </c>
      <c r="E1031" t="inlineStr">
        <is>
          <t>SÖDERKÖPING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41005-2019</t>
        </is>
      </c>
      <c r="B1032" s="1" t="n">
        <v>43697</v>
      </c>
      <c r="C1032" s="1" t="n">
        <v>45710</v>
      </c>
      <c r="D1032" t="inlineStr">
        <is>
          <t>ÖSTERGÖTLANDS LÄN</t>
        </is>
      </c>
      <c r="E1032" t="inlineStr">
        <is>
          <t>BOXHOLM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40908-2019</t>
        </is>
      </c>
      <c r="B1033" s="1" t="n">
        <v>43697</v>
      </c>
      <c r="C1033" s="1" t="n">
        <v>45710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41127-2019</t>
        </is>
      </c>
      <c r="B1034" s="1" t="n">
        <v>43698</v>
      </c>
      <c r="C1034" s="1" t="n">
        <v>45710</v>
      </c>
      <c r="D1034" t="inlineStr">
        <is>
          <t>ÖSTERGÖTLANDS LÄN</t>
        </is>
      </c>
      <c r="E1034" t="inlineStr">
        <is>
          <t>SÖDERKÖPING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41148-2019</t>
        </is>
      </c>
      <c r="B1035" s="1" t="n">
        <v>43698</v>
      </c>
      <c r="C1035" s="1" t="n">
        <v>45710</v>
      </c>
      <c r="D1035" t="inlineStr">
        <is>
          <t>ÖSTERGÖTLANDS LÄN</t>
        </is>
      </c>
      <c r="E1035" t="inlineStr">
        <is>
          <t>MOTALA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41118-2019</t>
        </is>
      </c>
      <c r="B1036" s="1" t="n">
        <v>43698</v>
      </c>
      <c r="C1036" s="1" t="n">
        <v>45710</v>
      </c>
      <c r="D1036" t="inlineStr">
        <is>
          <t>ÖSTERGÖTLANDS LÄN</t>
        </is>
      </c>
      <c r="E1036" t="inlineStr">
        <is>
          <t>FINSPÅNG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41303-2019</t>
        </is>
      </c>
      <c r="B1037" s="1" t="n">
        <v>43698</v>
      </c>
      <c r="C1037" s="1" t="n">
        <v>45710</v>
      </c>
      <c r="D1037" t="inlineStr">
        <is>
          <t>ÖSTERGÖTLANDS LÄN</t>
        </is>
      </c>
      <c r="E1037" t="inlineStr">
        <is>
          <t>FINSPÅNG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41261-2019</t>
        </is>
      </c>
      <c r="B1038" s="1" t="n">
        <v>43698</v>
      </c>
      <c r="C1038" s="1" t="n">
        <v>45710</v>
      </c>
      <c r="D1038" t="inlineStr">
        <is>
          <t>ÖSTERGÖTLANDS LÄN</t>
        </is>
      </c>
      <c r="E1038" t="inlineStr">
        <is>
          <t>KINDA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41432-2019</t>
        </is>
      </c>
      <c r="B1039" s="1" t="n">
        <v>43698</v>
      </c>
      <c r="C1039" s="1" t="n">
        <v>45710</v>
      </c>
      <c r="D1039" t="inlineStr">
        <is>
          <t>ÖSTERGÖTLANDS LÄN</t>
        </is>
      </c>
      <c r="E1039" t="inlineStr">
        <is>
          <t>MOTALA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42272-2019</t>
        </is>
      </c>
      <c r="B1040" s="1" t="n">
        <v>43698</v>
      </c>
      <c r="C1040" s="1" t="n">
        <v>45710</v>
      </c>
      <c r="D1040" t="inlineStr">
        <is>
          <t>ÖSTERGÖTLANDS LÄN</t>
        </is>
      </c>
      <c r="E1040" t="inlineStr">
        <is>
          <t>KINDA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41274-2019</t>
        </is>
      </c>
      <c r="B1041" s="1" t="n">
        <v>43698</v>
      </c>
      <c r="C1041" s="1" t="n">
        <v>45710</v>
      </c>
      <c r="D1041" t="inlineStr">
        <is>
          <t>ÖSTERGÖTLANDS LÄN</t>
        </is>
      </c>
      <c r="E1041" t="inlineStr">
        <is>
          <t>LINKÖPING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41265-2019</t>
        </is>
      </c>
      <c r="B1042" s="1" t="n">
        <v>43698</v>
      </c>
      <c r="C1042" s="1" t="n">
        <v>45710</v>
      </c>
      <c r="D1042" t="inlineStr">
        <is>
          <t>ÖSTERGÖTLANDS LÄN</t>
        </is>
      </c>
      <c r="E1042" t="inlineStr">
        <is>
          <t>KINDA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41434-2019</t>
        </is>
      </c>
      <c r="B1043" s="1" t="n">
        <v>43698</v>
      </c>
      <c r="C1043" s="1" t="n">
        <v>45710</v>
      </c>
      <c r="D1043" t="inlineStr">
        <is>
          <t>ÖSTERGÖTLANDS LÄN</t>
        </is>
      </c>
      <c r="E1043" t="inlineStr">
        <is>
          <t>MOTALA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41516-2019</t>
        </is>
      </c>
      <c r="B1044" s="1" t="n">
        <v>43699</v>
      </c>
      <c r="C1044" s="1" t="n">
        <v>45710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41658-2019</t>
        </is>
      </c>
      <c r="B1045" s="1" t="n">
        <v>43699</v>
      </c>
      <c r="C1045" s="1" t="n">
        <v>45710</v>
      </c>
      <c r="D1045" t="inlineStr">
        <is>
          <t>ÖSTERGÖTLANDS LÄN</t>
        </is>
      </c>
      <c r="E1045" t="inlineStr">
        <is>
          <t>KINDA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41515-2019</t>
        </is>
      </c>
      <c r="B1046" s="1" t="n">
        <v>43699</v>
      </c>
      <c r="C1046" s="1" t="n">
        <v>45710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42495-2019</t>
        </is>
      </c>
      <c r="B1047" s="1" t="n">
        <v>43699</v>
      </c>
      <c r="C1047" s="1" t="n">
        <v>45710</v>
      </c>
      <c r="D1047" t="inlineStr">
        <is>
          <t>ÖSTERGÖTLANDS LÄN</t>
        </is>
      </c>
      <c r="E1047" t="inlineStr">
        <is>
          <t>YDRE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42593-2019</t>
        </is>
      </c>
      <c r="B1048" s="1" t="n">
        <v>43699</v>
      </c>
      <c r="C1048" s="1" t="n">
        <v>45710</v>
      </c>
      <c r="D1048" t="inlineStr">
        <is>
          <t>ÖSTERGÖTLANDS LÄN</t>
        </is>
      </c>
      <c r="E1048" t="inlineStr">
        <is>
          <t>ÖDESHÖG</t>
        </is>
      </c>
      <c r="G1048" t="n">
        <v>17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45152-2019</t>
        </is>
      </c>
      <c r="B1049" s="1" t="n">
        <v>43699</v>
      </c>
      <c r="C1049" s="1" t="n">
        <v>45710</v>
      </c>
      <c r="D1049" t="inlineStr">
        <is>
          <t>ÖSTERGÖTLANDS LÄN</t>
        </is>
      </c>
      <c r="E1049" t="inlineStr">
        <is>
          <t>ÖDESHÖG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41932-2019</t>
        </is>
      </c>
      <c r="B1050" s="1" t="n">
        <v>43700</v>
      </c>
      <c r="C1050" s="1" t="n">
        <v>45710</v>
      </c>
      <c r="D1050" t="inlineStr">
        <is>
          <t>ÖSTERGÖTLANDS LÄN</t>
        </is>
      </c>
      <c r="E1050" t="inlineStr">
        <is>
          <t>ÖDESHÖG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41846-2019</t>
        </is>
      </c>
      <c r="B1051" s="1" t="n">
        <v>43700</v>
      </c>
      <c r="C1051" s="1" t="n">
        <v>45710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41874-2019</t>
        </is>
      </c>
      <c r="B1052" s="1" t="n">
        <v>43700</v>
      </c>
      <c r="C1052" s="1" t="n">
        <v>45710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41938-2019</t>
        </is>
      </c>
      <c r="B1053" s="1" t="n">
        <v>43700</v>
      </c>
      <c r="C1053" s="1" t="n">
        <v>45710</v>
      </c>
      <c r="D1053" t="inlineStr">
        <is>
          <t>ÖSTERGÖTLANDS LÄN</t>
        </is>
      </c>
      <c r="E1053" t="inlineStr">
        <is>
          <t>ÖDESHÖG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41800-2019</t>
        </is>
      </c>
      <c r="B1054" s="1" t="n">
        <v>43700</v>
      </c>
      <c r="C1054" s="1" t="n">
        <v>45710</v>
      </c>
      <c r="D1054" t="inlineStr">
        <is>
          <t>ÖSTERGÖTLANDS LÄN</t>
        </is>
      </c>
      <c r="E1054" t="inlineStr">
        <is>
          <t>NORRKÖPING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41801-2019</t>
        </is>
      </c>
      <c r="B1055" s="1" t="n">
        <v>43700</v>
      </c>
      <c r="C1055" s="1" t="n">
        <v>45710</v>
      </c>
      <c r="D1055" t="inlineStr">
        <is>
          <t>ÖSTERGÖTLANDS LÄN</t>
        </is>
      </c>
      <c r="E1055" t="inlineStr">
        <is>
          <t>ÅTVIDABERG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41944-2019</t>
        </is>
      </c>
      <c r="B1056" s="1" t="n">
        <v>43700</v>
      </c>
      <c r="C1056" s="1" t="n">
        <v>45710</v>
      </c>
      <c r="D1056" t="inlineStr">
        <is>
          <t>ÖSTERGÖTLANDS LÄN</t>
        </is>
      </c>
      <c r="E1056" t="inlineStr">
        <is>
          <t>FINSPÅNG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42082-2019</t>
        </is>
      </c>
      <c r="B1057" s="1" t="n">
        <v>43701</v>
      </c>
      <c r="C1057" s="1" t="n">
        <v>45710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42103-2019</t>
        </is>
      </c>
      <c r="B1058" s="1" t="n">
        <v>43702</v>
      </c>
      <c r="C1058" s="1" t="n">
        <v>45710</v>
      </c>
      <c r="D1058" t="inlineStr">
        <is>
          <t>ÖSTERGÖTLANDS LÄN</t>
        </is>
      </c>
      <c r="E1058" t="inlineStr">
        <is>
          <t>KINDA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42276-2019</t>
        </is>
      </c>
      <c r="B1059" s="1" t="n">
        <v>43703</v>
      </c>
      <c r="C1059" s="1" t="n">
        <v>45710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43331-2019</t>
        </is>
      </c>
      <c r="B1060" s="1" t="n">
        <v>43703</v>
      </c>
      <c r="C1060" s="1" t="n">
        <v>45710</v>
      </c>
      <c r="D1060" t="inlineStr">
        <is>
          <t>ÖSTERGÖTLANDS LÄN</t>
        </is>
      </c>
      <c r="E1060" t="inlineStr">
        <is>
          <t>KINDA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42606-2019</t>
        </is>
      </c>
      <c r="B1061" s="1" t="n">
        <v>43704</v>
      </c>
      <c r="C1061" s="1" t="n">
        <v>45710</v>
      </c>
      <c r="D1061" t="inlineStr">
        <is>
          <t>ÖSTERGÖTLANDS LÄN</t>
        </is>
      </c>
      <c r="E1061" t="inlineStr">
        <is>
          <t>MOTALA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42493-2019</t>
        </is>
      </c>
      <c r="B1062" s="1" t="n">
        <v>43704</v>
      </c>
      <c r="C1062" s="1" t="n">
        <v>45710</v>
      </c>
      <c r="D1062" t="inlineStr">
        <is>
          <t>ÖSTERGÖTLANDS LÄN</t>
        </is>
      </c>
      <c r="E1062" t="inlineStr">
        <is>
          <t>ÅTVIDABERG</t>
        </is>
      </c>
      <c r="F1062" t="inlineStr">
        <is>
          <t>Övriga Aktiebolag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42612-2019</t>
        </is>
      </c>
      <c r="B1063" s="1" t="n">
        <v>43704</v>
      </c>
      <c r="C1063" s="1" t="n">
        <v>45710</v>
      </c>
      <c r="D1063" t="inlineStr">
        <is>
          <t>ÖSTERGÖTLANDS LÄN</t>
        </is>
      </c>
      <c r="E1063" t="inlineStr">
        <is>
          <t>FINSPÅNG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42755-2019</t>
        </is>
      </c>
      <c r="B1064" s="1" t="n">
        <v>43704</v>
      </c>
      <c r="C1064" s="1" t="n">
        <v>45710</v>
      </c>
      <c r="D1064" t="inlineStr">
        <is>
          <t>ÖSTERGÖTLANDS LÄN</t>
        </is>
      </c>
      <c r="E1064" t="inlineStr">
        <is>
          <t>FINSPÅNG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42648-2019</t>
        </is>
      </c>
      <c r="B1065" s="1" t="n">
        <v>43704</v>
      </c>
      <c r="C1065" s="1" t="n">
        <v>45710</v>
      </c>
      <c r="D1065" t="inlineStr">
        <is>
          <t>ÖSTERGÖTLANDS LÄN</t>
        </is>
      </c>
      <c r="E1065" t="inlineStr">
        <is>
          <t>FINSPÅNG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42608-2019</t>
        </is>
      </c>
      <c r="B1066" s="1" t="n">
        <v>43704</v>
      </c>
      <c r="C1066" s="1" t="n">
        <v>45710</v>
      </c>
      <c r="D1066" t="inlineStr">
        <is>
          <t>ÖSTERGÖTLANDS LÄN</t>
        </is>
      </c>
      <c r="E1066" t="inlineStr">
        <is>
          <t>FINSPÅNG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42683-2019</t>
        </is>
      </c>
      <c r="B1067" s="1" t="n">
        <v>43704</v>
      </c>
      <c r="C1067" s="1" t="n">
        <v>45710</v>
      </c>
      <c r="D1067" t="inlineStr">
        <is>
          <t>ÖSTERGÖTLANDS LÄN</t>
        </is>
      </c>
      <c r="E1067" t="inlineStr">
        <is>
          <t>FINSPÅNG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42623-2019</t>
        </is>
      </c>
      <c r="B1068" s="1" t="n">
        <v>43704</v>
      </c>
      <c r="C1068" s="1" t="n">
        <v>45710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42728-2019</t>
        </is>
      </c>
      <c r="B1069" s="1" t="n">
        <v>43704</v>
      </c>
      <c r="C1069" s="1" t="n">
        <v>45710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42748-2019</t>
        </is>
      </c>
      <c r="B1070" s="1" t="n">
        <v>43704</v>
      </c>
      <c r="C1070" s="1" t="n">
        <v>45710</v>
      </c>
      <c r="D1070" t="inlineStr">
        <is>
          <t>ÖSTERGÖTLANDS LÄN</t>
        </is>
      </c>
      <c r="E1070" t="inlineStr">
        <is>
          <t>FINSPÅNG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42757-2019</t>
        </is>
      </c>
      <c r="B1071" s="1" t="n">
        <v>43704</v>
      </c>
      <c r="C1071" s="1" t="n">
        <v>45710</v>
      </c>
      <c r="D1071" t="inlineStr">
        <is>
          <t>ÖSTERGÖTLANDS LÄN</t>
        </is>
      </c>
      <c r="E1071" t="inlineStr">
        <is>
          <t>FINSPÅNG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42699-2019</t>
        </is>
      </c>
      <c r="B1072" s="1" t="n">
        <v>43704</v>
      </c>
      <c r="C1072" s="1" t="n">
        <v>45710</v>
      </c>
      <c r="D1072" t="inlineStr">
        <is>
          <t>ÖSTERGÖTLANDS LÄN</t>
        </is>
      </c>
      <c r="E1072" t="inlineStr">
        <is>
          <t>MJÖLBY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42617-2019</t>
        </is>
      </c>
      <c r="B1073" s="1" t="n">
        <v>43704</v>
      </c>
      <c r="C1073" s="1" t="n">
        <v>45710</v>
      </c>
      <c r="D1073" t="inlineStr">
        <is>
          <t>ÖSTERGÖTLANDS LÄN</t>
        </is>
      </c>
      <c r="E1073" t="inlineStr">
        <is>
          <t>FINSPÅNG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42756-2019</t>
        </is>
      </c>
      <c r="B1074" s="1" t="n">
        <v>43704</v>
      </c>
      <c r="C1074" s="1" t="n">
        <v>45710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42546-2019</t>
        </is>
      </c>
      <c r="B1075" s="1" t="n">
        <v>43704</v>
      </c>
      <c r="C1075" s="1" t="n">
        <v>45710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Aktiebolag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42840-2019</t>
        </is>
      </c>
      <c r="B1076" s="1" t="n">
        <v>43705</v>
      </c>
      <c r="C1076" s="1" t="n">
        <v>45710</v>
      </c>
      <c r="D1076" t="inlineStr">
        <is>
          <t>ÖSTERGÖTLANDS LÄN</t>
        </is>
      </c>
      <c r="E1076" t="inlineStr">
        <is>
          <t>MOTALA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42931-2019</t>
        </is>
      </c>
      <c r="B1077" s="1" t="n">
        <v>43705</v>
      </c>
      <c r="C1077" s="1" t="n">
        <v>45710</v>
      </c>
      <c r="D1077" t="inlineStr">
        <is>
          <t>ÖSTERGÖTLANDS LÄN</t>
        </is>
      </c>
      <c r="E1077" t="inlineStr">
        <is>
          <t>SÖDERKÖPING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42885-2019</t>
        </is>
      </c>
      <c r="B1078" s="1" t="n">
        <v>43705</v>
      </c>
      <c r="C1078" s="1" t="n">
        <v>45710</v>
      </c>
      <c r="D1078" t="inlineStr">
        <is>
          <t>ÖSTERGÖTLANDS LÄN</t>
        </is>
      </c>
      <c r="E1078" t="inlineStr">
        <is>
          <t>SÖDERKÖPING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42891-2019</t>
        </is>
      </c>
      <c r="B1079" s="1" t="n">
        <v>43705</v>
      </c>
      <c r="C1079" s="1" t="n">
        <v>45710</v>
      </c>
      <c r="D1079" t="inlineStr">
        <is>
          <t>ÖSTERGÖTLANDS LÄN</t>
        </is>
      </c>
      <c r="E1079" t="inlineStr">
        <is>
          <t>SÖDERKÖPING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43000-2019</t>
        </is>
      </c>
      <c r="B1080" s="1" t="n">
        <v>43705</v>
      </c>
      <c r="C1080" s="1" t="n">
        <v>45710</v>
      </c>
      <c r="D1080" t="inlineStr">
        <is>
          <t>ÖSTERGÖTLANDS LÄN</t>
        </is>
      </c>
      <c r="E1080" t="inlineStr">
        <is>
          <t>FINSPÅNG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43050-2019</t>
        </is>
      </c>
      <c r="B1081" s="1" t="n">
        <v>43705</v>
      </c>
      <c r="C1081" s="1" t="n">
        <v>45710</v>
      </c>
      <c r="D1081" t="inlineStr">
        <is>
          <t>ÖSTERGÖTLANDS LÄN</t>
        </is>
      </c>
      <c r="E1081" t="inlineStr">
        <is>
          <t>MOTALA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43033-2019</t>
        </is>
      </c>
      <c r="B1082" s="1" t="n">
        <v>43705</v>
      </c>
      <c r="C1082" s="1" t="n">
        <v>45710</v>
      </c>
      <c r="D1082" t="inlineStr">
        <is>
          <t>ÖSTERGÖTLANDS LÄN</t>
        </is>
      </c>
      <c r="E1082" t="inlineStr">
        <is>
          <t>MOTALA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43070-2019</t>
        </is>
      </c>
      <c r="B1083" s="1" t="n">
        <v>43705</v>
      </c>
      <c r="C1083" s="1" t="n">
        <v>45710</v>
      </c>
      <c r="D1083" t="inlineStr">
        <is>
          <t>ÖSTERGÖTLANDS LÄN</t>
        </is>
      </c>
      <c r="E1083" t="inlineStr">
        <is>
          <t>MOTALA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43114-2019</t>
        </is>
      </c>
      <c r="B1084" s="1" t="n">
        <v>43705</v>
      </c>
      <c r="C1084" s="1" t="n">
        <v>45710</v>
      </c>
      <c r="D1084" t="inlineStr">
        <is>
          <t>ÖSTERGÖTLANDS LÄN</t>
        </is>
      </c>
      <c r="E1084" t="inlineStr">
        <is>
          <t>NORRKÖPING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43155-2019</t>
        </is>
      </c>
      <c r="B1085" s="1" t="n">
        <v>43705</v>
      </c>
      <c r="C1085" s="1" t="n">
        <v>45710</v>
      </c>
      <c r="D1085" t="inlineStr">
        <is>
          <t>ÖSTERGÖTLANDS LÄN</t>
        </is>
      </c>
      <c r="E1085" t="inlineStr">
        <is>
          <t>FINSPÅNG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43162-2019</t>
        </is>
      </c>
      <c r="B1086" s="1" t="n">
        <v>43705</v>
      </c>
      <c r="C1086" s="1" t="n">
        <v>45710</v>
      </c>
      <c r="D1086" t="inlineStr">
        <is>
          <t>ÖSTERGÖTLANDS LÄN</t>
        </is>
      </c>
      <c r="E1086" t="inlineStr">
        <is>
          <t>YDRE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44243-2019</t>
        </is>
      </c>
      <c r="B1087" s="1" t="n">
        <v>43705</v>
      </c>
      <c r="C1087" s="1" t="n">
        <v>45710</v>
      </c>
      <c r="D1087" t="inlineStr">
        <is>
          <t>ÖSTERGÖTLANDS LÄN</t>
        </is>
      </c>
      <c r="E1087" t="inlineStr">
        <is>
          <t>KINDA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43027-2019</t>
        </is>
      </c>
      <c r="B1088" s="1" t="n">
        <v>43705</v>
      </c>
      <c r="C1088" s="1" t="n">
        <v>45710</v>
      </c>
      <c r="D1088" t="inlineStr">
        <is>
          <t>ÖSTERGÖTLANDS LÄN</t>
        </is>
      </c>
      <c r="E1088" t="inlineStr">
        <is>
          <t>FINSPÅNG</t>
        </is>
      </c>
      <c r="F1088" t="inlineStr">
        <is>
          <t>Holmen skog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42901-2019</t>
        </is>
      </c>
      <c r="B1089" s="1" t="n">
        <v>43705</v>
      </c>
      <c r="C1089" s="1" t="n">
        <v>45710</v>
      </c>
      <c r="D1089" t="inlineStr">
        <is>
          <t>ÖSTERGÖTLANDS LÄN</t>
        </is>
      </c>
      <c r="E1089" t="inlineStr">
        <is>
          <t>NORRKÖPING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43302-2019</t>
        </is>
      </c>
      <c r="B1090" s="1" t="n">
        <v>43706</v>
      </c>
      <c r="C1090" s="1" t="n">
        <v>45710</v>
      </c>
      <c r="D1090" t="inlineStr">
        <is>
          <t>ÖSTERGÖTLANDS LÄN</t>
        </is>
      </c>
      <c r="E1090" t="inlineStr">
        <is>
          <t>KINDA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43439-2019</t>
        </is>
      </c>
      <c r="B1091" s="1" t="n">
        <v>43706</v>
      </c>
      <c r="C1091" s="1" t="n">
        <v>45710</v>
      </c>
      <c r="D1091" t="inlineStr">
        <is>
          <t>ÖSTERGÖTLANDS LÄN</t>
        </is>
      </c>
      <c r="E1091" t="inlineStr">
        <is>
          <t>SÖDERKÖPING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43481-2019</t>
        </is>
      </c>
      <c r="B1092" s="1" t="n">
        <v>43706</v>
      </c>
      <c r="C1092" s="1" t="n">
        <v>45710</v>
      </c>
      <c r="D1092" t="inlineStr">
        <is>
          <t>ÖSTERGÖTLANDS LÄN</t>
        </is>
      </c>
      <c r="E1092" t="inlineStr">
        <is>
          <t>LINKÖPING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43568-2019</t>
        </is>
      </c>
      <c r="B1093" s="1" t="n">
        <v>43706</v>
      </c>
      <c r="C1093" s="1" t="n">
        <v>45710</v>
      </c>
      <c r="D1093" t="inlineStr">
        <is>
          <t>ÖSTERGÖTLANDS LÄN</t>
        </is>
      </c>
      <c r="E1093" t="inlineStr">
        <is>
          <t>MOTALA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43641-2019</t>
        </is>
      </c>
      <c r="B1094" s="1" t="n">
        <v>43707</v>
      </c>
      <c r="C1094" s="1" t="n">
        <v>45710</v>
      </c>
      <c r="D1094" t="inlineStr">
        <is>
          <t>ÖSTERGÖTLANDS LÄN</t>
        </is>
      </c>
      <c r="E1094" t="inlineStr">
        <is>
          <t>ÖDESHÖG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43712-2019</t>
        </is>
      </c>
      <c r="B1095" s="1" t="n">
        <v>43707</v>
      </c>
      <c r="C1095" s="1" t="n">
        <v>45710</v>
      </c>
      <c r="D1095" t="inlineStr">
        <is>
          <t>ÖSTERGÖTLANDS LÄN</t>
        </is>
      </c>
      <c r="E1095" t="inlineStr">
        <is>
          <t>KINDA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43798-2019</t>
        </is>
      </c>
      <c r="B1096" s="1" t="n">
        <v>43707</v>
      </c>
      <c r="C1096" s="1" t="n">
        <v>45710</v>
      </c>
      <c r="D1096" t="inlineStr">
        <is>
          <t>ÖSTERGÖTLANDS LÄN</t>
        </is>
      </c>
      <c r="E1096" t="inlineStr">
        <is>
          <t>LINKÖPING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43764-2019</t>
        </is>
      </c>
      <c r="B1097" s="1" t="n">
        <v>43707</v>
      </c>
      <c r="C1097" s="1" t="n">
        <v>45710</v>
      </c>
      <c r="D1097" t="inlineStr">
        <is>
          <t>ÖSTERGÖTLANDS LÄN</t>
        </is>
      </c>
      <c r="E1097" t="inlineStr">
        <is>
          <t>SÖDERKÖPING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43792-2019</t>
        </is>
      </c>
      <c r="B1098" s="1" t="n">
        <v>43707</v>
      </c>
      <c r="C1098" s="1" t="n">
        <v>45710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43803-2019</t>
        </is>
      </c>
      <c r="B1099" s="1" t="n">
        <v>43707</v>
      </c>
      <c r="C1099" s="1" t="n">
        <v>45710</v>
      </c>
      <c r="D1099" t="inlineStr">
        <is>
          <t>ÖSTERGÖTLANDS LÄN</t>
        </is>
      </c>
      <c r="E1099" t="inlineStr">
        <is>
          <t>LINKÖPING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43813-2019</t>
        </is>
      </c>
      <c r="B1100" s="1" t="n">
        <v>43707</v>
      </c>
      <c r="C1100" s="1" t="n">
        <v>45710</v>
      </c>
      <c r="D1100" t="inlineStr">
        <is>
          <t>ÖSTERGÖTLANDS LÄN</t>
        </is>
      </c>
      <c r="E1100" t="inlineStr">
        <is>
          <t>NORRKÖPING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43918-2019</t>
        </is>
      </c>
      <c r="B1101" s="1" t="n">
        <v>43707</v>
      </c>
      <c r="C1101" s="1" t="n">
        <v>45710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45059-2019</t>
        </is>
      </c>
      <c r="B1102" s="1" t="n">
        <v>43707</v>
      </c>
      <c r="C1102" s="1" t="n">
        <v>45710</v>
      </c>
      <c r="D1102" t="inlineStr">
        <is>
          <t>ÖSTERGÖTLANDS LÄN</t>
        </is>
      </c>
      <c r="E1102" t="inlineStr">
        <is>
          <t>MOTALA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43680-2019</t>
        </is>
      </c>
      <c r="B1103" s="1" t="n">
        <v>43707</v>
      </c>
      <c r="C1103" s="1" t="n">
        <v>45710</v>
      </c>
      <c r="D1103" t="inlineStr">
        <is>
          <t>ÖSTERGÖTLANDS LÄN</t>
        </is>
      </c>
      <c r="E1103" t="inlineStr">
        <is>
          <t>KINDA</t>
        </is>
      </c>
      <c r="G1103" t="n">
        <v>10.2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43931-2019</t>
        </is>
      </c>
      <c r="B1104" s="1" t="n">
        <v>43707</v>
      </c>
      <c r="C1104" s="1" t="n">
        <v>45710</v>
      </c>
      <c r="D1104" t="inlineStr">
        <is>
          <t>ÖSTERGÖTLANDS LÄN</t>
        </is>
      </c>
      <c r="E1104" t="inlineStr">
        <is>
          <t>MOTALA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43979-2019</t>
        </is>
      </c>
      <c r="B1105" s="1" t="n">
        <v>43709</v>
      </c>
      <c r="C1105" s="1" t="n">
        <v>45710</v>
      </c>
      <c r="D1105" t="inlineStr">
        <is>
          <t>ÖSTERGÖTLANDS LÄN</t>
        </is>
      </c>
      <c r="E1105" t="inlineStr">
        <is>
          <t>LINKÖPING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44249-2019</t>
        </is>
      </c>
      <c r="B1106" s="1" t="n">
        <v>43710</v>
      </c>
      <c r="C1106" s="1" t="n">
        <v>45710</v>
      </c>
      <c r="D1106" t="inlineStr">
        <is>
          <t>ÖSTERGÖTLANDS LÄN</t>
        </is>
      </c>
      <c r="E1106" t="inlineStr">
        <is>
          <t>KINDA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44122-2019</t>
        </is>
      </c>
      <c r="B1107" s="1" t="n">
        <v>43710</v>
      </c>
      <c r="C1107" s="1" t="n">
        <v>45710</v>
      </c>
      <c r="D1107" t="inlineStr">
        <is>
          <t>ÖSTERGÖTLANDS LÄN</t>
        </is>
      </c>
      <c r="E1107" t="inlineStr">
        <is>
          <t>MOTALA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44206-2019</t>
        </is>
      </c>
      <c r="B1108" s="1" t="n">
        <v>43710</v>
      </c>
      <c r="C1108" s="1" t="n">
        <v>45710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44274-2019</t>
        </is>
      </c>
      <c r="B1109" s="1" t="n">
        <v>43710</v>
      </c>
      <c r="C1109" s="1" t="n">
        <v>45710</v>
      </c>
      <c r="D1109" t="inlineStr">
        <is>
          <t>ÖSTERGÖTLANDS LÄN</t>
        </is>
      </c>
      <c r="E1109" t="inlineStr">
        <is>
          <t>BOXHOLM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44445-2019</t>
        </is>
      </c>
      <c r="B1110" s="1" t="n">
        <v>43711</v>
      </c>
      <c r="C1110" s="1" t="n">
        <v>45710</v>
      </c>
      <c r="D1110" t="inlineStr">
        <is>
          <t>ÖSTERGÖTLANDS LÄN</t>
        </is>
      </c>
      <c r="E1110" t="inlineStr">
        <is>
          <t>ÖDESHÖG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44372-2019</t>
        </is>
      </c>
      <c r="B1111" s="1" t="n">
        <v>43711</v>
      </c>
      <c r="C1111" s="1" t="n">
        <v>45710</v>
      </c>
      <c r="D1111" t="inlineStr">
        <is>
          <t>ÖSTERGÖTLANDS LÄN</t>
        </is>
      </c>
      <c r="E1111" t="inlineStr">
        <is>
          <t>KINDA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44522-2019</t>
        </is>
      </c>
      <c r="B1112" s="1" t="n">
        <v>43711</v>
      </c>
      <c r="C1112" s="1" t="n">
        <v>45710</v>
      </c>
      <c r="D1112" t="inlineStr">
        <is>
          <t>ÖSTERGÖTLANDS LÄN</t>
        </is>
      </c>
      <c r="E1112" t="inlineStr">
        <is>
          <t>ÅTVIDABERG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44331-2019</t>
        </is>
      </c>
      <c r="B1113" s="1" t="n">
        <v>43711</v>
      </c>
      <c r="C1113" s="1" t="n">
        <v>45710</v>
      </c>
      <c r="D1113" t="inlineStr">
        <is>
          <t>ÖSTERGÖTLANDS LÄN</t>
        </is>
      </c>
      <c r="E1113" t="inlineStr">
        <is>
          <t>YDRE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44489-2019</t>
        </is>
      </c>
      <c r="B1114" s="1" t="n">
        <v>43711</v>
      </c>
      <c r="C1114" s="1" t="n">
        <v>45710</v>
      </c>
      <c r="D1114" t="inlineStr">
        <is>
          <t>ÖSTERGÖTLANDS LÄN</t>
        </is>
      </c>
      <c r="E1114" t="inlineStr">
        <is>
          <t>BOXHOLM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44562-2019</t>
        </is>
      </c>
      <c r="B1115" s="1" t="n">
        <v>43711</v>
      </c>
      <c r="C1115" s="1" t="n">
        <v>45710</v>
      </c>
      <c r="D1115" t="inlineStr">
        <is>
          <t>ÖSTERGÖTLANDS LÄN</t>
        </is>
      </c>
      <c r="E1115" t="inlineStr">
        <is>
          <t>ÖDESHÖG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44550-2019</t>
        </is>
      </c>
      <c r="B1116" s="1" t="n">
        <v>43711</v>
      </c>
      <c r="C1116" s="1" t="n">
        <v>45710</v>
      </c>
      <c r="D1116" t="inlineStr">
        <is>
          <t>ÖSTERGÖTLANDS LÄN</t>
        </is>
      </c>
      <c r="E1116" t="inlineStr">
        <is>
          <t>MJÖLBY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44498-2019</t>
        </is>
      </c>
      <c r="B1117" s="1" t="n">
        <v>43711</v>
      </c>
      <c r="C1117" s="1" t="n">
        <v>45710</v>
      </c>
      <c r="D1117" t="inlineStr">
        <is>
          <t>ÖSTERGÖTLANDS LÄN</t>
        </is>
      </c>
      <c r="E1117" t="inlineStr">
        <is>
          <t>ÅTVIDABERG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44622-2019</t>
        </is>
      </c>
      <c r="B1118" s="1" t="n">
        <v>43712</v>
      </c>
      <c r="C1118" s="1" t="n">
        <v>45710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44656-2019</t>
        </is>
      </c>
      <c r="B1119" s="1" t="n">
        <v>43712</v>
      </c>
      <c r="C1119" s="1" t="n">
        <v>45710</v>
      </c>
      <c r="D1119" t="inlineStr">
        <is>
          <t>ÖSTERGÖTLANDS LÄN</t>
        </is>
      </c>
      <c r="E1119" t="inlineStr">
        <is>
          <t>YDRE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44738-2019</t>
        </is>
      </c>
      <c r="B1120" s="1" t="n">
        <v>43712</v>
      </c>
      <c r="C1120" s="1" t="n">
        <v>45710</v>
      </c>
      <c r="D1120" t="inlineStr">
        <is>
          <t>ÖSTERGÖTLANDS LÄN</t>
        </is>
      </c>
      <c r="E1120" t="inlineStr">
        <is>
          <t>YDRE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45127-2019</t>
        </is>
      </c>
      <c r="B1121" s="1" t="n">
        <v>43713</v>
      </c>
      <c r="C1121" s="1" t="n">
        <v>45710</v>
      </c>
      <c r="D1121" t="inlineStr">
        <is>
          <t>ÖSTERGÖTLANDS LÄN</t>
        </is>
      </c>
      <c r="E1121" t="inlineStr">
        <is>
          <t>FINSPÅNG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44947-2019</t>
        </is>
      </c>
      <c r="B1122" s="1" t="n">
        <v>43713</v>
      </c>
      <c r="C1122" s="1" t="n">
        <v>45710</v>
      </c>
      <c r="D1122" t="inlineStr">
        <is>
          <t>ÖSTERGÖTLANDS LÄN</t>
        </is>
      </c>
      <c r="E1122" t="inlineStr">
        <is>
          <t>MOTALA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45088-2019</t>
        </is>
      </c>
      <c r="B1123" s="1" t="n">
        <v>43713</v>
      </c>
      <c r="C1123" s="1" t="n">
        <v>45710</v>
      </c>
      <c r="D1123" t="inlineStr">
        <is>
          <t>ÖSTERGÖTLANDS LÄN</t>
        </is>
      </c>
      <c r="E1123" t="inlineStr">
        <is>
          <t>ÅTVIDABERG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45122-2019</t>
        </is>
      </c>
      <c r="B1124" s="1" t="n">
        <v>43713</v>
      </c>
      <c r="C1124" s="1" t="n">
        <v>45710</v>
      </c>
      <c r="D1124" t="inlineStr">
        <is>
          <t>ÖSTERGÖTLANDS LÄN</t>
        </is>
      </c>
      <c r="E1124" t="inlineStr">
        <is>
          <t>FINSPÅNG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45247-2019</t>
        </is>
      </c>
      <c r="B1125" s="1" t="n">
        <v>43713</v>
      </c>
      <c r="C1125" s="1" t="n">
        <v>45710</v>
      </c>
      <c r="D1125" t="inlineStr">
        <is>
          <t>ÖSTERGÖTLANDS LÄN</t>
        </is>
      </c>
      <c r="E1125" t="inlineStr">
        <is>
          <t>YDRE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45245-2019</t>
        </is>
      </c>
      <c r="B1126" s="1" t="n">
        <v>43713</v>
      </c>
      <c r="C1126" s="1" t="n">
        <v>45710</v>
      </c>
      <c r="D1126" t="inlineStr">
        <is>
          <t>ÖSTERGÖTLANDS LÄN</t>
        </is>
      </c>
      <c r="E1126" t="inlineStr">
        <is>
          <t>YDRE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45998-2019</t>
        </is>
      </c>
      <c r="B1127" s="1" t="n">
        <v>43713</v>
      </c>
      <c r="C1127" s="1" t="n">
        <v>45710</v>
      </c>
      <c r="D1127" t="inlineStr">
        <is>
          <t>ÖSTERGÖTLANDS LÄN</t>
        </is>
      </c>
      <c r="E1127" t="inlineStr">
        <is>
          <t>LINKÖPING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45208-2019</t>
        </is>
      </c>
      <c r="B1128" s="1" t="n">
        <v>43713</v>
      </c>
      <c r="C1128" s="1" t="n">
        <v>45710</v>
      </c>
      <c r="D1128" t="inlineStr">
        <is>
          <t>ÖSTERGÖTLANDS LÄN</t>
        </is>
      </c>
      <c r="E1128" t="inlineStr">
        <is>
          <t>MJÖLBY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46123-2019</t>
        </is>
      </c>
      <c r="B1129" s="1" t="n">
        <v>43713</v>
      </c>
      <c r="C1129" s="1" t="n">
        <v>45710</v>
      </c>
      <c r="D1129" t="inlineStr">
        <is>
          <t>ÖSTERGÖTLANDS LÄN</t>
        </is>
      </c>
      <c r="E1129" t="inlineStr">
        <is>
          <t>NORRKÖPING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46124-2019</t>
        </is>
      </c>
      <c r="B1130" s="1" t="n">
        <v>43713</v>
      </c>
      <c r="C1130" s="1" t="n">
        <v>45710</v>
      </c>
      <c r="D1130" t="inlineStr">
        <is>
          <t>ÖSTERGÖTLANDS LÄN</t>
        </is>
      </c>
      <c r="E1130" t="inlineStr">
        <is>
          <t>FINSPÅNG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46184-2019</t>
        </is>
      </c>
      <c r="B1131" s="1" t="n">
        <v>43713</v>
      </c>
      <c r="C1131" s="1" t="n">
        <v>45710</v>
      </c>
      <c r="D1131" t="inlineStr">
        <is>
          <t>ÖSTERGÖTLANDS LÄN</t>
        </is>
      </c>
      <c r="E1131" t="inlineStr">
        <is>
          <t>FINSPÅNG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44938-2019</t>
        </is>
      </c>
      <c r="B1132" s="1" t="n">
        <v>43713</v>
      </c>
      <c r="C1132" s="1" t="n">
        <v>45710</v>
      </c>
      <c r="D1132" t="inlineStr">
        <is>
          <t>ÖSTERGÖTLANDS LÄN</t>
        </is>
      </c>
      <c r="E1132" t="inlineStr">
        <is>
          <t>MOTALA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45301-2019</t>
        </is>
      </c>
      <c r="B1133" s="1" t="n">
        <v>43714</v>
      </c>
      <c r="C1133" s="1" t="n">
        <v>45710</v>
      </c>
      <c r="D1133" t="inlineStr">
        <is>
          <t>ÖSTERGÖTLANDS LÄN</t>
        </is>
      </c>
      <c r="E1133" t="inlineStr">
        <is>
          <t>MOTALA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45384-2019</t>
        </is>
      </c>
      <c r="B1134" s="1" t="n">
        <v>43714</v>
      </c>
      <c r="C1134" s="1" t="n">
        <v>45710</v>
      </c>
      <c r="D1134" t="inlineStr">
        <is>
          <t>ÖSTERGÖTLANDS LÄN</t>
        </is>
      </c>
      <c r="E1134" t="inlineStr">
        <is>
          <t>KINDA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45447-2019</t>
        </is>
      </c>
      <c r="B1135" s="1" t="n">
        <v>43714</v>
      </c>
      <c r="C1135" s="1" t="n">
        <v>45710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45724-2019</t>
        </is>
      </c>
      <c r="B1136" s="1" t="n">
        <v>43716</v>
      </c>
      <c r="C1136" s="1" t="n">
        <v>45710</v>
      </c>
      <c r="D1136" t="inlineStr">
        <is>
          <t>ÖSTERGÖTLANDS LÄN</t>
        </is>
      </c>
      <c r="E1136" t="inlineStr">
        <is>
          <t>MOTALA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45641-2019</t>
        </is>
      </c>
      <c r="B1137" s="1" t="n">
        <v>43717</v>
      </c>
      <c r="C1137" s="1" t="n">
        <v>45710</v>
      </c>
      <c r="D1137" t="inlineStr">
        <is>
          <t>ÖSTERGÖTLANDS LÄN</t>
        </is>
      </c>
      <c r="E1137" t="inlineStr">
        <is>
          <t>BOXHOLM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45603-2019</t>
        </is>
      </c>
      <c r="B1138" s="1" t="n">
        <v>43717</v>
      </c>
      <c r="C1138" s="1" t="n">
        <v>45710</v>
      </c>
      <c r="D1138" t="inlineStr">
        <is>
          <t>ÖSTERGÖTLANDS LÄN</t>
        </is>
      </c>
      <c r="E1138" t="inlineStr">
        <is>
          <t>MOTALA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45702-2019</t>
        </is>
      </c>
      <c r="B1139" s="1" t="n">
        <v>43717</v>
      </c>
      <c r="C1139" s="1" t="n">
        <v>45710</v>
      </c>
      <c r="D1139" t="inlineStr">
        <is>
          <t>ÖSTERGÖTLANDS LÄN</t>
        </is>
      </c>
      <c r="E1139" t="inlineStr">
        <is>
          <t>BOXHOLM</t>
        </is>
      </c>
      <c r="F1139" t="inlineStr">
        <is>
          <t>Allmännings- och besparingsskogar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45902-2019</t>
        </is>
      </c>
      <c r="B1140" s="1" t="n">
        <v>43717</v>
      </c>
      <c r="C1140" s="1" t="n">
        <v>45710</v>
      </c>
      <c r="D1140" t="inlineStr">
        <is>
          <t>ÖSTERGÖTLANDS LÄN</t>
        </is>
      </c>
      <c r="E1140" t="inlineStr">
        <is>
          <t>KINDA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45874-2019</t>
        </is>
      </c>
      <c r="B1141" s="1" t="n">
        <v>43717</v>
      </c>
      <c r="C1141" s="1" t="n">
        <v>45710</v>
      </c>
      <c r="D1141" t="inlineStr">
        <is>
          <t>ÖSTERGÖTLANDS LÄN</t>
        </is>
      </c>
      <c r="E1141" t="inlineStr">
        <is>
          <t>YDRE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45900-2019</t>
        </is>
      </c>
      <c r="B1142" s="1" t="n">
        <v>43717</v>
      </c>
      <c r="C1142" s="1" t="n">
        <v>45710</v>
      </c>
      <c r="D1142" t="inlineStr">
        <is>
          <t>ÖSTERGÖTLANDS LÄN</t>
        </is>
      </c>
      <c r="E1142" t="inlineStr">
        <is>
          <t>MJÖLBY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45723-2019</t>
        </is>
      </c>
      <c r="B1143" s="1" t="n">
        <v>43717</v>
      </c>
      <c r="C1143" s="1" t="n">
        <v>45710</v>
      </c>
      <c r="D1143" t="inlineStr">
        <is>
          <t>ÖSTERGÖTLANDS LÄN</t>
        </is>
      </c>
      <c r="E1143" t="inlineStr">
        <is>
          <t>BOXHOLM</t>
        </is>
      </c>
      <c r="F1143" t="inlineStr">
        <is>
          <t>Allmännings- och besparingsskogar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46265-2019</t>
        </is>
      </c>
      <c r="B1144" s="1" t="n">
        <v>43718</v>
      </c>
      <c r="C1144" s="1" t="n">
        <v>45710</v>
      </c>
      <c r="D1144" t="inlineStr">
        <is>
          <t>ÖSTERGÖTLANDS LÄN</t>
        </is>
      </c>
      <c r="E1144" t="inlineStr">
        <is>
          <t>LINKÖPING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46282-2019</t>
        </is>
      </c>
      <c r="B1145" s="1" t="n">
        <v>43718</v>
      </c>
      <c r="C1145" s="1" t="n">
        <v>45710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Övriga Aktiebolag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45938-2019</t>
        </is>
      </c>
      <c r="B1146" s="1" t="n">
        <v>43718</v>
      </c>
      <c r="C1146" s="1" t="n">
        <v>45710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45992-2019</t>
        </is>
      </c>
      <c r="B1147" s="1" t="n">
        <v>43718</v>
      </c>
      <c r="C1147" s="1" t="n">
        <v>45710</v>
      </c>
      <c r="D1147" t="inlineStr">
        <is>
          <t>ÖSTERGÖTLANDS LÄN</t>
        </is>
      </c>
      <c r="E1147" t="inlineStr">
        <is>
          <t>VALDEMARSVIK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46009-2019</t>
        </is>
      </c>
      <c r="B1148" s="1" t="n">
        <v>43718</v>
      </c>
      <c r="C1148" s="1" t="n">
        <v>45710</v>
      </c>
      <c r="D1148" t="inlineStr">
        <is>
          <t>ÖSTERGÖTLANDS LÄN</t>
        </is>
      </c>
      <c r="E1148" t="inlineStr">
        <is>
          <t>ÅTVIDABERG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45949-2019</t>
        </is>
      </c>
      <c r="B1149" s="1" t="n">
        <v>43718</v>
      </c>
      <c r="C1149" s="1" t="n">
        <v>45710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46093-2019</t>
        </is>
      </c>
      <c r="B1150" s="1" t="n">
        <v>43718</v>
      </c>
      <c r="C1150" s="1" t="n">
        <v>45710</v>
      </c>
      <c r="D1150" t="inlineStr">
        <is>
          <t>ÖSTERGÖTLANDS LÄN</t>
        </is>
      </c>
      <c r="E1150" t="inlineStr">
        <is>
          <t>ÅTVIDABERG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45994-2019</t>
        </is>
      </c>
      <c r="B1151" s="1" t="n">
        <v>43718</v>
      </c>
      <c r="C1151" s="1" t="n">
        <v>45710</v>
      </c>
      <c r="D1151" t="inlineStr">
        <is>
          <t>ÖSTERGÖTLANDS LÄN</t>
        </is>
      </c>
      <c r="E1151" t="inlineStr">
        <is>
          <t>VALDEMARSVIK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46401-2019</t>
        </is>
      </c>
      <c r="B1152" s="1" t="n">
        <v>43719</v>
      </c>
      <c r="C1152" s="1" t="n">
        <v>45710</v>
      </c>
      <c r="D1152" t="inlineStr">
        <is>
          <t>ÖSTERGÖTLANDS LÄN</t>
        </is>
      </c>
      <c r="E1152" t="inlineStr">
        <is>
          <t>KINDA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46399-2019</t>
        </is>
      </c>
      <c r="B1153" s="1" t="n">
        <v>43719</v>
      </c>
      <c r="C1153" s="1" t="n">
        <v>45710</v>
      </c>
      <c r="D1153" t="inlineStr">
        <is>
          <t>ÖSTERGÖTLANDS LÄN</t>
        </is>
      </c>
      <c r="E1153" t="inlineStr">
        <is>
          <t>KINDA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46688-2019</t>
        </is>
      </c>
      <c r="B1154" s="1" t="n">
        <v>43719</v>
      </c>
      <c r="C1154" s="1" t="n">
        <v>45710</v>
      </c>
      <c r="D1154" t="inlineStr">
        <is>
          <t>ÖSTERGÖTLANDS LÄN</t>
        </is>
      </c>
      <c r="E1154" t="inlineStr">
        <is>
          <t>SÖDERKÖPING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46595-2019</t>
        </is>
      </c>
      <c r="B1155" s="1" t="n">
        <v>43719</v>
      </c>
      <c r="C1155" s="1" t="n">
        <v>45710</v>
      </c>
      <c r="D1155" t="inlineStr">
        <is>
          <t>ÖSTERGÖTLANDS LÄN</t>
        </is>
      </c>
      <c r="E1155" t="inlineStr">
        <is>
          <t>NORRKÖPING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46757-2019</t>
        </is>
      </c>
      <c r="B1156" s="1" t="n">
        <v>43720</v>
      </c>
      <c r="C1156" s="1" t="n">
        <v>45710</v>
      </c>
      <c r="D1156" t="inlineStr">
        <is>
          <t>ÖSTERGÖTLANDS LÄN</t>
        </is>
      </c>
      <c r="E1156" t="inlineStr">
        <is>
          <t>NORRKÖPING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47024-2019</t>
        </is>
      </c>
      <c r="B1157" s="1" t="n">
        <v>43720</v>
      </c>
      <c r="C1157" s="1" t="n">
        <v>45710</v>
      </c>
      <c r="D1157" t="inlineStr">
        <is>
          <t>ÖSTERGÖTLANDS LÄN</t>
        </is>
      </c>
      <c r="E1157" t="inlineStr">
        <is>
          <t>NORRKÖPING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47223-2019</t>
        </is>
      </c>
      <c r="B1158" s="1" t="n">
        <v>43720</v>
      </c>
      <c r="C1158" s="1" t="n">
        <v>45710</v>
      </c>
      <c r="D1158" t="inlineStr">
        <is>
          <t>ÖSTERGÖTLANDS LÄN</t>
        </is>
      </c>
      <c r="E1158" t="inlineStr">
        <is>
          <t>FINSPÅNG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47165-2019</t>
        </is>
      </c>
      <c r="B1159" s="1" t="n">
        <v>43720</v>
      </c>
      <c r="C1159" s="1" t="n">
        <v>45710</v>
      </c>
      <c r="D1159" t="inlineStr">
        <is>
          <t>ÖSTERGÖTLANDS LÄN</t>
        </is>
      </c>
      <c r="E1159" t="inlineStr">
        <is>
          <t>MOTALA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47347-2019</t>
        </is>
      </c>
      <c r="B1160" s="1" t="n">
        <v>43721</v>
      </c>
      <c r="C1160" s="1" t="n">
        <v>45710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47327-2019</t>
        </is>
      </c>
      <c r="B1161" s="1" t="n">
        <v>43721</v>
      </c>
      <c r="C1161" s="1" t="n">
        <v>45710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47284-2019</t>
        </is>
      </c>
      <c r="B1162" s="1" t="n">
        <v>43721</v>
      </c>
      <c r="C1162" s="1" t="n">
        <v>45710</v>
      </c>
      <c r="D1162" t="inlineStr">
        <is>
          <t>ÖSTERGÖTLANDS LÄN</t>
        </is>
      </c>
      <c r="E1162" t="inlineStr">
        <is>
          <t>YDRE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47348-2019</t>
        </is>
      </c>
      <c r="B1163" s="1" t="n">
        <v>43721</v>
      </c>
      <c r="C1163" s="1" t="n">
        <v>45710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Sveaskog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47249-2019</t>
        </is>
      </c>
      <c r="B1164" s="1" t="n">
        <v>43721</v>
      </c>
      <c r="C1164" s="1" t="n">
        <v>45710</v>
      </c>
      <c r="D1164" t="inlineStr">
        <is>
          <t>ÖSTERGÖTLANDS LÄN</t>
        </is>
      </c>
      <c r="E1164" t="inlineStr">
        <is>
          <t>KINDA</t>
        </is>
      </c>
      <c r="F1164" t="inlineStr">
        <is>
          <t>Övriga Aktiebolag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47578-2019</t>
        </is>
      </c>
      <c r="B1165" s="1" t="n">
        <v>43724</v>
      </c>
      <c r="C1165" s="1" t="n">
        <v>45710</v>
      </c>
      <c r="D1165" t="inlineStr">
        <is>
          <t>ÖSTERGÖTLANDS LÄN</t>
        </is>
      </c>
      <c r="E1165" t="inlineStr">
        <is>
          <t>ÅTVIDABERG</t>
        </is>
      </c>
      <c r="F1165" t="inlineStr">
        <is>
          <t>Övriga Aktiebolag</t>
        </is>
      </c>
      <c r="G1165" t="n">
        <v>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47670-2019</t>
        </is>
      </c>
      <c r="B1166" s="1" t="n">
        <v>43724</v>
      </c>
      <c r="C1166" s="1" t="n">
        <v>45710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Aktiebolag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47669-2019</t>
        </is>
      </c>
      <c r="B1167" s="1" t="n">
        <v>43724</v>
      </c>
      <c r="C1167" s="1" t="n">
        <v>45710</v>
      </c>
      <c r="D1167" t="inlineStr">
        <is>
          <t>ÖSTERGÖTLANDS LÄN</t>
        </is>
      </c>
      <c r="E1167" t="inlineStr">
        <is>
          <t>MOTALA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47691-2019</t>
        </is>
      </c>
      <c r="B1168" s="1" t="n">
        <v>43724</v>
      </c>
      <c r="C1168" s="1" t="n">
        <v>45710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47555-2019</t>
        </is>
      </c>
      <c r="B1169" s="1" t="n">
        <v>43724</v>
      </c>
      <c r="C1169" s="1" t="n">
        <v>45710</v>
      </c>
      <c r="D1169" t="inlineStr">
        <is>
          <t>ÖSTERGÖTLANDS LÄN</t>
        </is>
      </c>
      <c r="E1169" t="inlineStr">
        <is>
          <t>NORRKÖPING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47663-2019</t>
        </is>
      </c>
      <c r="B1170" s="1" t="n">
        <v>43724</v>
      </c>
      <c r="C1170" s="1" t="n">
        <v>45710</v>
      </c>
      <c r="D1170" t="inlineStr">
        <is>
          <t>ÖSTERGÖTLANDS LÄN</t>
        </is>
      </c>
      <c r="E1170" t="inlineStr">
        <is>
          <t>ÅTVIDABERG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47718-2019</t>
        </is>
      </c>
      <c r="B1171" s="1" t="n">
        <v>43724</v>
      </c>
      <c r="C1171" s="1" t="n">
        <v>45710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31.2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47726-2019</t>
        </is>
      </c>
      <c r="B1172" s="1" t="n">
        <v>43724</v>
      </c>
      <c r="C1172" s="1" t="n">
        <v>45710</v>
      </c>
      <c r="D1172" t="inlineStr">
        <is>
          <t>ÖSTERGÖTLANDS LÄN</t>
        </is>
      </c>
      <c r="E1172" t="inlineStr">
        <is>
          <t>NORRKÖPING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47873-2019</t>
        </is>
      </c>
      <c r="B1173" s="1" t="n">
        <v>43724</v>
      </c>
      <c r="C1173" s="1" t="n">
        <v>45710</v>
      </c>
      <c r="D1173" t="inlineStr">
        <is>
          <t>ÖSTERGÖTLANDS LÄN</t>
        </is>
      </c>
      <c r="E1173" t="inlineStr">
        <is>
          <t>MOTALA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47722-2019</t>
        </is>
      </c>
      <c r="B1174" s="1" t="n">
        <v>43724</v>
      </c>
      <c r="C1174" s="1" t="n">
        <v>45710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47839-2019</t>
        </is>
      </c>
      <c r="B1175" s="1" t="n">
        <v>43724</v>
      </c>
      <c r="C1175" s="1" t="n">
        <v>45710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47596-2019</t>
        </is>
      </c>
      <c r="B1176" s="1" t="n">
        <v>43724</v>
      </c>
      <c r="C1176" s="1" t="n">
        <v>45710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47973-2019</t>
        </is>
      </c>
      <c r="B1177" s="1" t="n">
        <v>43725</v>
      </c>
      <c r="C1177" s="1" t="n">
        <v>45710</v>
      </c>
      <c r="D1177" t="inlineStr">
        <is>
          <t>ÖSTERGÖTLANDS LÄN</t>
        </is>
      </c>
      <c r="E1177" t="inlineStr">
        <is>
          <t>FINSPÅNG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48106-2019</t>
        </is>
      </c>
      <c r="B1178" s="1" t="n">
        <v>43725</v>
      </c>
      <c r="C1178" s="1" t="n">
        <v>45710</v>
      </c>
      <c r="D1178" t="inlineStr">
        <is>
          <t>ÖSTERGÖTLANDS LÄN</t>
        </is>
      </c>
      <c r="E1178" t="inlineStr">
        <is>
          <t>KINDA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48110-2019</t>
        </is>
      </c>
      <c r="B1179" s="1" t="n">
        <v>43725</v>
      </c>
      <c r="C1179" s="1" t="n">
        <v>45710</v>
      </c>
      <c r="D1179" t="inlineStr">
        <is>
          <t>ÖSTERGÖTLANDS LÄN</t>
        </is>
      </c>
      <c r="E1179" t="inlineStr">
        <is>
          <t>ÅTVIDABERG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48020-2019</t>
        </is>
      </c>
      <c r="B1180" s="1" t="n">
        <v>43725</v>
      </c>
      <c r="C1180" s="1" t="n">
        <v>45710</v>
      </c>
      <c r="D1180" t="inlineStr">
        <is>
          <t>ÖSTERGÖTLANDS LÄN</t>
        </is>
      </c>
      <c r="E1180" t="inlineStr">
        <is>
          <t>LINKÖPING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48053-2019</t>
        </is>
      </c>
      <c r="B1181" s="1" t="n">
        <v>43725</v>
      </c>
      <c r="C1181" s="1" t="n">
        <v>45710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48242-2019</t>
        </is>
      </c>
      <c r="B1182" s="1" t="n">
        <v>43726</v>
      </c>
      <c r="C1182" s="1" t="n">
        <v>45710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Naturvårdsverket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48175-2019</t>
        </is>
      </c>
      <c r="B1183" s="1" t="n">
        <v>43726</v>
      </c>
      <c r="C1183" s="1" t="n">
        <v>45710</v>
      </c>
      <c r="D1183" t="inlineStr">
        <is>
          <t>ÖSTERGÖTLANDS LÄN</t>
        </is>
      </c>
      <c r="E1183" t="inlineStr">
        <is>
          <t>ÅTVIDABERG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48368-2019</t>
        </is>
      </c>
      <c r="B1184" s="1" t="n">
        <v>43726</v>
      </c>
      <c r="C1184" s="1" t="n">
        <v>45710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Kyrkan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48446-2019</t>
        </is>
      </c>
      <c r="B1185" s="1" t="n">
        <v>43727</v>
      </c>
      <c r="C1185" s="1" t="n">
        <v>45710</v>
      </c>
      <c r="D1185" t="inlineStr">
        <is>
          <t>ÖSTERGÖTLANDS LÄN</t>
        </is>
      </c>
      <c r="E1185" t="inlineStr">
        <is>
          <t>YDRE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48761-2019</t>
        </is>
      </c>
      <c r="B1186" s="1" t="n">
        <v>43727</v>
      </c>
      <c r="C1186" s="1" t="n">
        <v>45710</v>
      </c>
      <c r="D1186" t="inlineStr">
        <is>
          <t>ÖSTERGÖTLANDS LÄN</t>
        </is>
      </c>
      <c r="E1186" t="inlineStr">
        <is>
          <t>KINDA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48568-2019</t>
        </is>
      </c>
      <c r="B1187" s="1" t="n">
        <v>43727</v>
      </c>
      <c r="C1187" s="1" t="n">
        <v>45710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48759-2019</t>
        </is>
      </c>
      <c r="B1188" s="1" t="n">
        <v>43727</v>
      </c>
      <c r="C1188" s="1" t="n">
        <v>45710</v>
      </c>
      <c r="D1188" t="inlineStr">
        <is>
          <t>ÖSTERGÖTLANDS LÄN</t>
        </is>
      </c>
      <c r="E1188" t="inlineStr">
        <is>
          <t>KINDA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48666-2019</t>
        </is>
      </c>
      <c r="B1189" s="1" t="n">
        <v>43728</v>
      </c>
      <c r="C1189" s="1" t="n">
        <v>45710</v>
      </c>
      <c r="D1189" t="inlineStr">
        <is>
          <t>ÖSTERGÖTLANDS LÄN</t>
        </is>
      </c>
      <c r="E1189" t="inlineStr">
        <is>
          <t>ÖDESHÖG</t>
        </is>
      </c>
      <c r="F1189" t="inlineStr">
        <is>
          <t>Allmännings- och besparingsskogar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48669-2019</t>
        </is>
      </c>
      <c r="B1190" s="1" t="n">
        <v>43728</v>
      </c>
      <c r="C1190" s="1" t="n">
        <v>45710</v>
      </c>
      <c r="D1190" t="inlineStr">
        <is>
          <t>ÖSTERGÖTLANDS LÄN</t>
        </is>
      </c>
      <c r="E1190" t="inlineStr">
        <is>
          <t>ÖDESHÖG</t>
        </is>
      </c>
      <c r="F1190" t="inlineStr">
        <is>
          <t>Allmännings- och besparingsskogar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49007-2019</t>
        </is>
      </c>
      <c r="B1191" s="1" t="n">
        <v>43730</v>
      </c>
      <c r="C1191" s="1" t="n">
        <v>45710</v>
      </c>
      <c r="D1191" t="inlineStr">
        <is>
          <t>ÖSTERGÖTLANDS LÄN</t>
        </is>
      </c>
      <c r="E1191" t="inlineStr">
        <is>
          <t>MOTALA</t>
        </is>
      </c>
      <c r="G1191" t="n">
        <v>11.6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49064-2019</t>
        </is>
      </c>
      <c r="B1192" s="1" t="n">
        <v>43731</v>
      </c>
      <c r="C1192" s="1" t="n">
        <v>45710</v>
      </c>
      <c r="D1192" t="inlineStr">
        <is>
          <t>ÖSTERGÖTLANDS LÄN</t>
        </is>
      </c>
      <c r="E1192" t="inlineStr">
        <is>
          <t>BOXHOLM</t>
        </is>
      </c>
      <c r="F1192" t="inlineStr">
        <is>
          <t>Övriga Aktiebolag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49185-2019</t>
        </is>
      </c>
      <c r="B1193" s="1" t="n">
        <v>43731</v>
      </c>
      <c r="C1193" s="1" t="n">
        <v>45710</v>
      </c>
      <c r="D1193" t="inlineStr">
        <is>
          <t>ÖSTERGÖTLANDS LÄN</t>
        </is>
      </c>
      <c r="E1193" t="inlineStr">
        <is>
          <t>LINKÖPING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49050-2019</t>
        </is>
      </c>
      <c r="B1194" s="1" t="n">
        <v>43731</v>
      </c>
      <c r="C1194" s="1" t="n">
        <v>45710</v>
      </c>
      <c r="D1194" t="inlineStr">
        <is>
          <t>ÖSTERGÖTLANDS LÄN</t>
        </is>
      </c>
      <c r="E1194" t="inlineStr">
        <is>
          <t>VALDEMARSVIK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49086-2019</t>
        </is>
      </c>
      <c r="B1195" s="1" t="n">
        <v>43731</v>
      </c>
      <c r="C1195" s="1" t="n">
        <v>45710</v>
      </c>
      <c r="D1195" t="inlineStr">
        <is>
          <t>ÖSTERGÖTLANDS LÄN</t>
        </is>
      </c>
      <c r="E1195" t="inlineStr">
        <is>
          <t>ÅTVIDABERG</t>
        </is>
      </c>
      <c r="F1195" t="inlineStr">
        <is>
          <t>Övriga Aktiebolag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49144-2019</t>
        </is>
      </c>
      <c r="B1196" s="1" t="n">
        <v>43731</v>
      </c>
      <c r="C1196" s="1" t="n">
        <v>45710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49113-2019</t>
        </is>
      </c>
      <c r="B1197" s="1" t="n">
        <v>43731</v>
      </c>
      <c r="C1197" s="1" t="n">
        <v>45710</v>
      </c>
      <c r="D1197" t="inlineStr">
        <is>
          <t>ÖSTERGÖTLANDS LÄN</t>
        </is>
      </c>
      <c r="E1197" t="inlineStr">
        <is>
          <t>YDRE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49170-2019</t>
        </is>
      </c>
      <c r="B1198" s="1" t="n">
        <v>43731</v>
      </c>
      <c r="C1198" s="1" t="n">
        <v>45710</v>
      </c>
      <c r="D1198" t="inlineStr">
        <is>
          <t>ÖSTERGÖTLANDS LÄN</t>
        </is>
      </c>
      <c r="E1198" t="inlineStr">
        <is>
          <t>LINKÖPING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49299-2019</t>
        </is>
      </c>
      <c r="B1199" s="1" t="n">
        <v>43731</v>
      </c>
      <c r="C1199" s="1" t="n">
        <v>45710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49352-2019</t>
        </is>
      </c>
      <c r="B1200" s="1" t="n">
        <v>43731</v>
      </c>
      <c r="C1200" s="1" t="n">
        <v>45710</v>
      </c>
      <c r="D1200" t="inlineStr">
        <is>
          <t>ÖSTERGÖTLANDS LÄN</t>
        </is>
      </c>
      <c r="E1200" t="inlineStr">
        <is>
          <t>KINDA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49505-2019</t>
        </is>
      </c>
      <c r="B1201" s="1" t="n">
        <v>43732</v>
      </c>
      <c r="C1201" s="1" t="n">
        <v>45710</v>
      </c>
      <c r="D1201" t="inlineStr">
        <is>
          <t>ÖSTERGÖTLANDS LÄN</t>
        </is>
      </c>
      <c r="E1201" t="inlineStr">
        <is>
          <t>ÖDESHÖG</t>
        </is>
      </c>
      <c r="F1201" t="inlineStr">
        <is>
          <t>Allmännings- och besparingsskogar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49420-2019</t>
        </is>
      </c>
      <c r="B1202" s="1" t="n">
        <v>43732</v>
      </c>
      <c r="C1202" s="1" t="n">
        <v>45710</v>
      </c>
      <c r="D1202" t="inlineStr">
        <is>
          <t>ÖSTERGÖTLANDS LÄN</t>
        </is>
      </c>
      <c r="E1202" t="inlineStr">
        <is>
          <t>MJÖLBY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49532-2019</t>
        </is>
      </c>
      <c r="B1203" s="1" t="n">
        <v>43732</v>
      </c>
      <c r="C1203" s="1" t="n">
        <v>45710</v>
      </c>
      <c r="D1203" t="inlineStr">
        <is>
          <t>ÖSTERGÖTLANDS LÄN</t>
        </is>
      </c>
      <c r="E1203" t="inlineStr">
        <is>
          <t>ÖDESHÖG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49508-2019</t>
        </is>
      </c>
      <c r="B1204" s="1" t="n">
        <v>43732</v>
      </c>
      <c r="C1204" s="1" t="n">
        <v>45710</v>
      </c>
      <c r="D1204" t="inlineStr">
        <is>
          <t>ÖSTERGÖTLANDS LÄN</t>
        </is>
      </c>
      <c r="E1204" t="inlineStr">
        <is>
          <t>ÖDESHÖG</t>
        </is>
      </c>
      <c r="F1204" t="inlineStr">
        <is>
          <t>Allmännings- och besparingsskogar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49594-2019</t>
        </is>
      </c>
      <c r="B1205" s="1" t="n">
        <v>43732</v>
      </c>
      <c r="C1205" s="1" t="n">
        <v>45710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49623-2019</t>
        </is>
      </c>
      <c r="B1206" s="1" t="n">
        <v>43732</v>
      </c>
      <c r="C1206" s="1" t="n">
        <v>45710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19.8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49635-2019</t>
        </is>
      </c>
      <c r="B1207" s="1" t="n">
        <v>43732</v>
      </c>
      <c r="C1207" s="1" t="n">
        <v>45710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49571-2019</t>
        </is>
      </c>
      <c r="B1208" s="1" t="n">
        <v>43732</v>
      </c>
      <c r="C1208" s="1" t="n">
        <v>45710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49626-2019</t>
        </is>
      </c>
      <c r="B1209" s="1" t="n">
        <v>43732</v>
      </c>
      <c r="C1209" s="1" t="n">
        <v>45710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11.3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49633-2019</t>
        </is>
      </c>
      <c r="B1210" s="1" t="n">
        <v>43732</v>
      </c>
      <c r="C1210" s="1" t="n">
        <v>45710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49631-2019</t>
        </is>
      </c>
      <c r="B1211" s="1" t="n">
        <v>43732</v>
      </c>
      <c r="C1211" s="1" t="n">
        <v>45710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10.7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49540-2019</t>
        </is>
      </c>
      <c r="B1212" s="1" t="n">
        <v>43732</v>
      </c>
      <c r="C1212" s="1" t="n">
        <v>45710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49625-2019</t>
        </is>
      </c>
      <c r="B1213" s="1" t="n">
        <v>43732</v>
      </c>
      <c r="C1213" s="1" t="n">
        <v>45710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9.300000000000001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49588-2019</t>
        </is>
      </c>
      <c r="B1214" s="1" t="n">
        <v>43732</v>
      </c>
      <c r="C1214" s="1" t="n">
        <v>45710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statliga verk och myndigheter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49590-2019</t>
        </is>
      </c>
      <c r="B1215" s="1" t="n">
        <v>43732</v>
      </c>
      <c r="C1215" s="1" t="n">
        <v>45710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49480-2019</t>
        </is>
      </c>
      <c r="B1216" s="1" t="n">
        <v>43732</v>
      </c>
      <c r="C1216" s="1" t="n">
        <v>45710</v>
      </c>
      <c r="D1216" t="inlineStr">
        <is>
          <t>ÖSTERGÖTLANDS LÄN</t>
        </is>
      </c>
      <c r="E1216" t="inlineStr">
        <is>
          <t>ÖDESHÖG</t>
        </is>
      </c>
      <c r="F1216" t="inlineStr">
        <is>
          <t>Allmännings- och besparingsskogar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49740-2019</t>
        </is>
      </c>
      <c r="B1217" s="1" t="n">
        <v>43733</v>
      </c>
      <c r="C1217" s="1" t="n">
        <v>45710</v>
      </c>
      <c r="D1217" t="inlineStr">
        <is>
          <t>ÖSTERGÖTLANDS LÄN</t>
        </is>
      </c>
      <c r="E1217" t="inlineStr">
        <is>
          <t>BOXHOLM</t>
        </is>
      </c>
      <c r="F1217" t="inlineStr">
        <is>
          <t>Allmännings- och besparingsskogar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49879-2019</t>
        </is>
      </c>
      <c r="B1218" s="1" t="n">
        <v>43733</v>
      </c>
      <c r="C1218" s="1" t="n">
        <v>45710</v>
      </c>
      <c r="D1218" t="inlineStr">
        <is>
          <t>ÖSTERGÖTLANDS LÄN</t>
        </is>
      </c>
      <c r="E1218" t="inlineStr">
        <is>
          <t>ÅTVIDABERG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49796-2019</t>
        </is>
      </c>
      <c r="B1219" s="1" t="n">
        <v>43733</v>
      </c>
      <c r="C1219" s="1" t="n">
        <v>45710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Allmännings- och besparingsskogar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50015-2019</t>
        </is>
      </c>
      <c r="B1220" s="1" t="n">
        <v>43733</v>
      </c>
      <c r="C1220" s="1" t="n">
        <v>45710</v>
      </c>
      <c r="D1220" t="inlineStr">
        <is>
          <t>ÖSTERGÖTLANDS LÄN</t>
        </is>
      </c>
      <c r="E1220" t="inlineStr">
        <is>
          <t>FINSPÅNG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49949-2019</t>
        </is>
      </c>
      <c r="B1221" s="1" t="n">
        <v>43733</v>
      </c>
      <c r="C1221" s="1" t="n">
        <v>45710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49762-2019</t>
        </is>
      </c>
      <c r="B1222" s="1" t="n">
        <v>43733</v>
      </c>
      <c r="C1222" s="1" t="n">
        <v>45710</v>
      </c>
      <c r="D1222" t="inlineStr">
        <is>
          <t>ÖSTERGÖTLANDS LÄN</t>
        </is>
      </c>
      <c r="E1222" t="inlineStr">
        <is>
          <t>BOXHOLM</t>
        </is>
      </c>
      <c r="F1222" t="inlineStr">
        <is>
          <t>Allmännings- och besparingsskogar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50106-2019</t>
        </is>
      </c>
      <c r="B1223" s="1" t="n">
        <v>43734</v>
      </c>
      <c r="C1223" s="1" t="n">
        <v>45710</v>
      </c>
      <c r="D1223" t="inlineStr">
        <is>
          <t>ÖSTERGÖTLANDS LÄN</t>
        </is>
      </c>
      <c r="E1223" t="inlineStr">
        <is>
          <t>MJÖLBY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50103-2019</t>
        </is>
      </c>
      <c r="B1224" s="1" t="n">
        <v>43734</v>
      </c>
      <c r="C1224" s="1" t="n">
        <v>45710</v>
      </c>
      <c r="D1224" t="inlineStr">
        <is>
          <t>ÖSTERGÖTLANDS LÄN</t>
        </is>
      </c>
      <c r="E1224" t="inlineStr">
        <is>
          <t>MJÖLBY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50079-2019</t>
        </is>
      </c>
      <c r="B1225" s="1" t="n">
        <v>43734</v>
      </c>
      <c r="C1225" s="1" t="n">
        <v>45710</v>
      </c>
      <c r="D1225" t="inlineStr">
        <is>
          <t>ÖSTERGÖTLANDS LÄN</t>
        </is>
      </c>
      <c r="E1225" t="inlineStr">
        <is>
          <t>LINKÖPING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50272-2019</t>
        </is>
      </c>
      <c r="B1226" s="1" t="n">
        <v>43734</v>
      </c>
      <c r="C1226" s="1" t="n">
        <v>45710</v>
      </c>
      <c r="D1226" t="inlineStr">
        <is>
          <t>ÖSTERGÖTLANDS LÄN</t>
        </is>
      </c>
      <c r="E1226" t="inlineStr">
        <is>
          <t>FINSPÅNG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50450-2019</t>
        </is>
      </c>
      <c r="B1227" s="1" t="n">
        <v>43735</v>
      </c>
      <c r="C1227" s="1" t="n">
        <v>45710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50432-2019</t>
        </is>
      </c>
      <c r="B1228" s="1" t="n">
        <v>43735</v>
      </c>
      <c r="C1228" s="1" t="n">
        <v>45710</v>
      </c>
      <c r="D1228" t="inlineStr">
        <is>
          <t>ÖSTERGÖTLANDS LÄN</t>
        </is>
      </c>
      <c r="E1228" t="inlineStr">
        <is>
          <t>KINDA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50459-2019</t>
        </is>
      </c>
      <c r="B1229" s="1" t="n">
        <v>43735</v>
      </c>
      <c r="C1229" s="1" t="n">
        <v>45710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50455-2019</t>
        </is>
      </c>
      <c r="B1230" s="1" t="n">
        <v>43735</v>
      </c>
      <c r="C1230" s="1" t="n">
        <v>45710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50563-2019</t>
        </is>
      </c>
      <c r="B1231" s="1" t="n">
        <v>43735</v>
      </c>
      <c r="C1231" s="1" t="n">
        <v>45710</v>
      </c>
      <c r="D1231" t="inlineStr">
        <is>
          <t>ÖSTERGÖTLANDS LÄN</t>
        </is>
      </c>
      <c r="E1231" t="inlineStr">
        <is>
          <t>YDRE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50413-2019</t>
        </is>
      </c>
      <c r="B1232" s="1" t="n">
        <v>43735</v>
      </c>
      <c r="C1232" s="1" t="n">
        <v>45710</v>
      </c>
      <c r="D1232" t="inlineStr">
        <is>
          <t>ÖSTERGÖTLANDS LÄN</t>
        </is>
      </c>
      <c r="E1232" t="inlineStr">
        <is>
          <t>LINKÖPING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50621-2019</t>
        </is>
      </c>
      <c r="B1233" s="1" t="n">
        <v>43736</v>
      </c>
      <c r="C1233" s="1" t="n">
        <v>45710</v>
      </c>
      <c r="D1233" t="inlineStr">
        <is>
          <t>ÖSTERGÖTLANDS LÄN</t>
        </is>
      </c>
      <c r="E1233" t="inlineStr">
        <is>
          <t>FINSPÅNG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50620-2019</t>
        </is>
      </c>
      <c r="B1234" s="1" t="n">
        <v>43736</v>
      </c>
      <c r="C1234" s="1" t="n">
        <v>45710</v>
      </c>
      <c r="D1234" t="inlineStr">
        <is>
          <t>ÖSTERGÖTLANDS LÄN</t>
        </is>
      </c>
      <c r="E1234" t="inlineStr">
        <is>
          <t>FINSPÅNG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50617-2019</t>
        </is>
      </c>
      <c r="B1235" s="1" t="n">
        <v>43736</v>
      </c>
      <c r="C1235" s="1" t="n">
        <v>45710</v>
      </c>
      <c r="D1235" t="inlineStr">
        <is>
          <t>ÖSTERGÖTLANDS LÄN</t>
        </is>
      </c>
      <c r="E1235" t="inlineStr">
        <is>
          <t>FINSPÅNG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50791-2019</t>
        </is>
      </c>
      <c r="B1236" s="1" t="n">
        <v>43738</v>
      </c>
      <c r="C1236" s="1" t="n">
        <v>45710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50805-2019</t>
        </is>
      </c>
      <c r="B1237" s="1" t="n">
        <v>43738</v>
      </c>
      <c r="C1237" s="1" t="n">
        <v>45710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50812-2019</t>
        </is>
      </c>
      <c r="B1238" s="1" t="n">
        <v>43738</v>
      </c>
      <c r="C1238" s="1" t="n">
        <v>45710</v>
      </c>
      <c r="D1238" t="inlineStr">
        <is>
          <t>ÖSTERGÖTLANDS LÄN</t>
        </is>
      </c>
      <c r="E1238" t="inlineStr">
        <is>
          <t>YDRE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50959-2019</t>
        </is>
      </c>
      <c r="B1239" s="1" t="n">
        <v>43738</v>
      </c>
      <c r="C1239" s="1" t="n">
        <v>45710</v>
      </c>
      <c r="D1239" t="inlineStr">
        <is>
          <t>ÖSTERGÖTLANDS LÄN</t>
        </is>
      </c>
      <c r="E1239" t="inlineStr">
        <is>
          <t>MOTALA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51010-2019</t>
        </is>
      </c>
      <c r="B1240" s="1" t="n">
        <v>43738</v>
      </c>
      <c r="C1240" s="1" t="n">
        <v>45710</v>
      </c>
      <c r="D1240" t="inlineStr">
        <is>
          <t>ÖSTERGÖTLANDS LÄN</t>
        </is>
      </c>
      <c r="E1240" t="inlineStr">
        <is>
          <t>FINSPÅNG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50962-2019</t>
        </is>
      </c>
      <c r="B1241" s="1" t="n">
        <v>43738</v>
      </c>
      <c r="C1241" s="1" t="n">
        <v>45710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50901-2019</t>
        </is>
      </c>
      <c r="B1242" s="1" t="n">
        <v>43738</v>
      </c>
      <c r="C1242" s="1" t="n">
        <v>45710</v>
      </c>
      <c r="D1242" t="inlineStr">
        <is>
          <t>ÖSTERGÖTLANDS LÄN</t>
        </is>
      </c>
      <c r="E1242" t="inlineStr">
        <is>
          <t>LINKÖPING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50813-2019</t>
        </is>
      </c>
      <c r="B1243" s="1" t="n">
        <v>43738</v>
      </c>
      <c r="C1243" s="1" t="n">
        <v>45710</v>
      </c>
      <c r="D1243" t="inlineStr">
        <is>
          <t>ÖSTERGÖTLANDS LÄN</t>
        </is>
      </c>
      <c r="E1243" t="inlineStr">
        <is>
          <t>YDRE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50927-2019</t>
        </is>
      </c>
      <c r="B1244" s="1" t="n">
        <v>43738</v>
      </c>
      <c r="C1244" s="1" t="n">
        <v>45710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50686-2019</t>
        </is>
      </c>
      <c r="B1245" s="1" t="n">
        <v>43738</v>
      </c>
      <c r="C1245" s="1" t="n">
        <v>45710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51194-2019</t>
        </is>
      </c>
      <c r="B1246" s="1" t="n">
        <v>43739</v>
      </c>
      <c r="C1246" s="1" t="n">
        <v>45710</v>
      </c>
      <c r="D1246" t="inlineStr">
        <is>
          <t>ÖSTERGÖTLANDS LÄN</t>
        </is>
      </c>
      <c r="E1246" t="inlineStr">
        <is>
          <t>MOTALA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51438-2019</t>
        </is>
      </c>
      <c r="B1247" s="1" t="n">
        <v>43740</v>
      </c>
      <c r="C1247" s="1" t="n">
        <v>45710</v>
      </c>
      <c r="D1247" t="inlineStr">
        <is>
          <t>ÖSTERGÖTLANDS LÄN</t>
        </is>
      </c>
      <c r="E1247" t="inlineStr">
        <is>
          <t>KINDA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51924-2019</t>
        </is>
      </c>
      <c r="B1248" s="1" t="n">
        <v>43741</v>
      </c>
      <c r="C1248" s="1" t="n">
        <v>45710</v>
      </c>
      <c r="D1248" t="inlineStr">
        <is>
          <t>ÖSTERGÖTLANDS LÄN</t>
        </is>
      </c>
      <c r="E1248" t="inlineStr">
        <is>
          <t>NORRKÖPING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51881-2019</t>
        </is>
      </c>
      <c r="B1249" s="1" t="n">
        <v>43741</v>
      </c>
      <c r="C1249" s="1" t="n">
        <v>45710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52150-2019</t>
        </is>
      </c>
      <c r="B1250" s="1" t="n">
        <v>43742</v>
      </c>
      <c r="C1250" s="1" t="n">
        <v>45710</v>
      </c>
      <c r="D1250" t="inlineStr">
        <is>
          <t>ÖSTERGÖTLANDS LÄN</t>
        </is>
      </c>
      <c r="E1250" t="inlineStr">
        <is>
          <t>ÖDESHÖG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52010-2019</t>
        </is>
      </c>
      <c r="B1251" s="1" t="n">
        <v>43742</v>
      </c>
      <c r="C1251" s="1" t="n">
        <v>45710</v>
      </c>
      <c r="D1251" t="inlineStr">
        <is>
          <t>ÖSTERGÖTLANDS LÄN</t>
        </is>
      </c>
      <c r="E1251" t="inlineStr">
        <is>
          <t>KINDA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52468-2019</t>
        </is>
      </c>
      <c r="B1252" s="1" t="n">
        <v>43745</v>
      </c>
      <c r="C1252" s="1" t="n">
        <v>45710</v>
      </c>
      <c r="D1252" t="inlineStr">
        <is>
          <t>ÖSTERGÖTLANDS LÄN</t>
        </is>
      </c>
      <c r="E1252" t="inlineStr">
        <is>
          <t>NORRKÖPING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52520-2019</t>
        </is>
      </c>
      <c r="B1253" s="1" t="n">
        <v>43745</v>
      </c>
      <c r="C1253" s="1" t="n">
        <v>45710</v>
      </c>
      <c r="D1253" t="inlineStr">
        <is>
          <t>ÖSTERGÖTLANDS LÄN</t>
        </is>
      </c>
      <c r="E1253" t="inlineStr">
        <is>
          <t>SÖDERKÖPING</t>
        </is>
      </c>
      <c r="G1253" t="n">
        <v>30.5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54265-2019</t>
        </is>
      </c>
      <c r="B1254" s="1" t="n">
        <v>43745</v>
      </c>
      <c r="C1254" s="1" t="n">
        <v>45710</v>
      </c>
      <c r="D1254" t="inlineStr">
        <is>
          <t>ÖSTERGÖTLANDS LÄN</t>
        </is>
      </c>
      <c r="E1254" t="inlineStr">
        <is>
          <t>NORRKÖPING</t>
        </is>
      </c>
      <c r="G1254" t="n">
        <v>18.6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52297-2019</t>
        </is>
      </c>
      <c r="B1255" s="1" t="n">
        <v>43745</v>
      </c>
      <c r="C1255" s="1" t="n">
        <v>45710</v>
      </c>
      <c r="D1255" t="inlineStr">
        <is>
          <t>ÖSTERGÖTLANDS LÄN</t>
        </is>
      </c>
      <c r="E1255" t="inlineStr">
        <is>
          <t>MOTALA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52729-2019</t>
        </is>
      </c>
      <c r="B1256" s="1" t="n">
        <v>43746</v>
      </c>
      <c r="C1256" s="1" t="n">
        <v>45710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52786-2019</t>
        </is>
      </c>
      <c r="B1257" s="1" t="n">
        <v>43746</v>
      </c>
      <c r="C1257" s="1" t="n">
        <v>45710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9.300000000000001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52702-2019</t>
        </is>
      </c>
      <c r="B1258" s="1" t="n">
        <v>43746</v>
      </c>
      <c r="C1258" s="1" t="n">
        <v>45710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52686-2019</t>
        </is>
      </c>
      <c r="B1259" s="1" t="n">
        <v>43746</v>
      </c>
      <c r="C1259" s="1" t="n">
        <v>45710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statliga verk och myndigheter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52784-2019</t>
        </is>
      </c>
      <c r="B1260" s="1" t="n">
        <v>43746</v>
      </c>
      <c r="C1260" s="1" t="n">
        <v>45710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Övriga statliga verk och myndigheter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52781-2019</t>
        </is>
      </c>
      <c r="B1261" s="1" t="n">
        <v>43746</v>
      </c>
      <c r="C1261" s="1" t="n">
        <v>45710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Övriga statliga verk och myndigheter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53090-2019</t>
        </is>
      </c>
      <c r="B1262" s="1" t="n">
        <v>43747</v>
      </c>
      <c r="C1262" s="1" t="n">
        <v>45710</v>
      </c>
      <c r="D1262" t="inlineStr">
        <is>
          <t>ÖSTERGÖTLANDS LÄN</t>
        </is>
      </c>
      <c r="E1262" t="inlineStr">
        <is>
          <t>ÖDESHÖG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53101-2019</t>
        </is>
      </c>
      <c r="B1263" s="1" t="n">
        <v>43747</v>
      </c>
      <c r="C1263" s="1" t="n">
        <v>45710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53238-2019</t>
        </is>
      </c>
      <c r="B1264" s="1" t="n">
        <v>43748</v>
      </c>
      <c r="C1264" s="1" t="n">
        <v>45710</v>
      </c>
      <c r="D1264" t="inlineStr">
        <is>
          <t>ÖSTERGÖTLANDS LÄN</t>
        </is>
      </c>
      <c r="E1264" t="inlineStr">
        <is>
          <t>YDRE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54551-2019</t>
        </is>
      </c>
      <c r="B1265" s="1" t="n">
        <v>43748</v>
      </c>
      <c r="C1265" s="1" t="n">
        <v>45710</v>
      </c>
      <c r="D1265" t="inlineStr">
        <is>
          <t>ÖSTERGÖTLANDS LÄN</t>
        </is>
      </c>
      <c r="E1265" t="inlineStr">
        <is>
          <t>KINDA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54539-2019</t>
        </is>
      </c>
      <c r="B1266" s="1" t="n">
        <v>43748</v>
      </c>
      <c r="C1266" s="1" t="n">
        <v>45710</v>
      </c>
      <c r="D1266" t="inlineStr">
        <is>
          <t>ÖSTERGÖTLANDS LÄN</t>
        </is>
      </c>
      <c r="E1266" t="inlineStr">
        <is>
          <t>KINDA</t>
        </is>
      </c>
      <c r="G1266" t="n">
        <v>13.2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53523-2019</t>
        </is>
      </c>
      <c r="B1267" s="1" t="n">
        <v>43749</v>
      </c>
      <c r="C1267" s="1" t="n">
        <v>45710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Sveaskog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53524-2019</t>
        </is>
      </c>
      <c r="B1268" s="1" t="n">
        <v>43749</v>
      </c>
      <c r="C1268" s="1" t="n">
        <v>45710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53522-2019</t>
        </is>
      </c>
      <c r="B1269" s="1" t="n">
        <v>43749</v>
      </c>
      <c r="C1269" s="1" t="n">
        <v>45710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Sveaskog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53563-2019</t>
        </is>
      </c>
      <c r="B1270" s="1" t="n">
        <v>43749</v>
      </c>
      <c r="C1270" s="1" t="n">
        <v>45710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53539-2019</t>
        </is>
      </c>
      <c r="B1271" s="1" t="n">
        <v>43749</v>
      </c>
      <c r="C1271" s="1" t="n">
        <v>45710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54969-2019</t>
        </is>
      </c>
      <c r="B1272" s="1" t="n">
        <v>43749</v>
      </c>
      <c r="C1272" s="1" t="n">
        <v>45710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53675-2019</t>
        </is>
      </c>
      <c r="B1273" s="1" t="n">
        <v>43749</v>
      </c>
      <c r="C1273" s="1" t="n">
        <v>45710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53763-2019</t>
        </is>
      </c>
      <c r="B1274" s="1" t="n">
        <v>43750</v>
      </c>
      <c r="C1274" s="1" t="n">
        <v>45710</v>
      </c>
      <c r="D1274" t="inlineStr">
        <is>
          <t>ÖSTERGÖTLANDS LÄN</t>
        </is>
      </c>
      <c r="E1274" t="inlineStr">
        <is>
          <t>MOTALA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53869-2019</t>
        </is>
      </c>
      <c r="B1275" s="1" t="n">
        <v>43752</v>
      </c>
      <c r="C1275" s="1" t="n">
        <v>45710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Allmännings- och besparingsskogar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53871-2019</t>
        </is>
      </c>
      <c r="B1276" s="1" t="n">
        <v>43752</v>
      </c>
      <c r="C1276" s="1" t="n">
        <v>45710</v>
      </c>
      <c r="D1276" t="inlineStr">
        <is>
          <t>ÖSTERGÖTLANDS LÄN</t>
        </is>
      </c>
      <c r="E1276" t="inlineStr">
        <is>
          <t>NORRKÖPING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54110-2019</t>
        </is>
      </c>
      <c r="B1277" s="1" t="n">
        <v>43752</v>
      </c>
      <c r="C1277" s="1" t="n">
        <v>45710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54228-2019</t>
        </is>
      </c>
      <c r="B1278" s="1" t="n">
        <v>43753</v>
      </c>
      <c r="C1278" s="1" t="n">
        <v>45710</v>
      </c>
      <c r="D1278" t="inlineStr">
        <is>
          <t>ÖSTERGÖTLANDS LÄN</t>
        </is>
      </c>
      <c r="E1278" t="inlineStr">
        <is>
          <t>YDRE</t>
        </is>
      </c>
      <c r="F1278" t="inlineStr">
        <is>
          <t>Sveaskog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54287-2019</t>
        </is>
      </c>
      <c r="B1279" s="1" t="n">
        <v>43753</v>
      </c>
      <c r="C1279" s="1" t="n">
        <v>45710</v>
      </c>
      <c r="D1279" t="inlineStr">
        <is>
          <t>ÖSTERGÖTLANDS LÄN</t>
        </is>
      </c>
      <c r="E1279" t="inlineStr">
        <is>
          <t>NORRKÖPING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54268-2019</t>
        </is>
      </c>
      <c r="B1280" s="1" t="n">
        <v>43753</v>
      </c>
      <c r="C1280" s="1" t="n">
        <v>45710</v>
      </c>
      <c r="D1280" t="inlineStr">
        <is>
          <t>ÖSTERGÖTLANDS LÄN</t>
        </is>
      </c>
      <c r="E1280" t="inlineStr">
        <is>
          <t>LINKÖPING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54341-2019</t>
        </is>
      </c>
      <c r="B1281" s="1" t="n">
        <v>43753</v>
      </c>
      <c r="C1281" s="1" t="n">
        <v>45710</v>
      </c>
      <c r="D1281" t="inlineStr">
        <is>
          <t>ÖSTERGÖTLANDS LÄN</t>
        </is>
      </c>
      <c r="E1281" t="inlineStr">
        <is>
          <t>MOTALA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54217-2019</t>
        </is>
      </c>
      <c r="B1282" s="1" t="n">
        <v>43753</v>
      </c>
      <c r="C1282" s="1" t="n">
        <v>45710</v>
      </c>
      <c r="D1282" t="inlineStr">
        <is>
          <t>ÖSTERGÖTLANDS LÄN</t>
        </is>
      </c>
      <c r="E1282" t="inlineStr">
        <is>
          <t>MOTALA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54345-2019</t>
        </is>
      </c>
      <c r="B1283" s="1" t="n">
        <v>43753</v>
      </c>
      <c r="C1283" s="1" t="n">
        <v>45710</v>
      </c>
      <c r="D1283" t="inlineStr">
        <is>
          <t>ÖSTERGÖTLANDS LÄN</t>
        </is>
      </c>
      <c r="E1283" t="inlineStr">
        <is>
          <t>MOTALA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54482-2019</t>
        </is>
      </c>
      <c r="B1284" s="1" t="n">
        <v>43754</v>
      </c>
      <c r="C1284" s="1" t="n">
        <v>45710</v>
      </c>
      <c r="D1284" t="inlineStr">
        <is>
          <t>ÖSTERGÖTLANDS LÄN</t>
        </is>
      </c>
      <c r="E1284" t="inlineStr">
        <is>
          <t>MOTALA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54420-2019</t>
        </is>
      </c>
      <c r="B1285" s="1" t="n">
        <v>43754</v>
      </c>
      <c r="C1285" s="1" t="n">
        <v>45710</v>
      </c>
      <c r="D1285" t="inlineStr">
        <is>
          <t>ÖSTERGÖTLANDS LÄN</t>
        </is>
      </c>
      <c r="E1285" t="inlineStr">
        <is>
          <t>NORRKÖPING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55301-2019</t>
        </is>
      </c>
      <c r="B1286" s="1" t="n">
        <v>43754</v>
      </c>
      <c r="C1286" s="1" t="n">
        <v>45710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54751-2019</t>
        </is>
      </c>
      <c r="B1287" s="1" t="n">
        <v>43755</v>
      </c>
      <c r="C1287" s="1" t="n">
        <v>45710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Övriga statliga verk och myndigheter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54803-2019</t>
        </is>
      </c>
      <c r="B1288" s="1" t="n">
        <v>43755</v>
      </c>
      <c r="C1288" s="1" t="n">
        <v>45710</v>
      </c>
      <c r="D1288" t="inlineStr">
        <is>
          <t>ÖSTERGÖTLANDS LÄN</t>
        </is>
      </c>
      <c r="E1288" t="inlineStr">
        <is>
          <t>MOTALA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54724-2019</t>
        </is>
      </c>
      <c r="B1289" s="1" t="n">
        <v>43755</v>
      </c>
      <c r="C1289" s="1" t="n">
        <v>45710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Övriga statliga verk och myndigheter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54992-2019</t>
        </is>
      </c>
      <c r="B1290" s="1" t="n">
        <v>43755</v>
      </c>
      <c r="C1290" s="1" t="n">
        <v>45710</v>
      </c>
      <c r="D1290" t="inlineStr">
        <is>
          <t>ÖSTERGÖTLANDS LÄN</t>
        </is>
      </c>
      <c r="E1290" t="inlineStr">
        <is>
          <t>FINSPÅNG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54991-2019</t>
        </is>
      </c>
      <c r="B1291" s="1" t="n">
        <v>43755</v>
      </c>
      <c r="C1291" s="1" t="n">
        <v>45710</v>
      </c>
      <c r="D1291" t="inlineStr">
        <is>
          <t>ÖSTERGÖTLANDS LÄN</t>
        </is>
      </c>
      <c r="E1291" t="inlineStr">
        <is>
          <t>FINSPÅNG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54714-2019</t>
        </is>
      </c>
      <c r="B1292" s="1" t="n">
        <v>43755</v>
      </c>
      <c r="C1292" s="1" t="n">
        <v>45710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Övriga statliga verk och myndigheter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55086-2019</t>
        </is>
      </c>
      <c r="B1293" s="1" t="n">
        <v>43756</v>
      </c>
      <c r="C1293" s="1" t="n">
        <v>45710</v>
      </c>
      <c r="D1293" t="inlineStr">
        <is>
          <t>ÖSTERGÖTLANDS LÄN</t>
        </is>
      </c>
      <c r="E1293" t="inlineStr">
        <is>
          <t>NORRKÖPING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55338-2019</t>
        </is>
      </c>
      <c r="B1294" s="1" t="n">
        <v>43756</v>
      </c>
      <c r="C1294" s="1" t="n">
        <v>45710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55114-2019</t>
        </is>
      </c>
      <c r="B1295" s="1" t="n">
        <v>43756</v>
      </c>
      <c r="C1295" s="1" t="n">
        <v>45710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Allmännings- och besparingsskogar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55270-2019</t>
        </is>
      </c>
      <c r="B1296" s="1" t="n">
        <v>43756</v>
      </c>
      <c r="C1296" s="1" t="n">
        <v>45710</v>
      </c>
      <c r="D1296" t="inlineStr">
        <is>
          <t>ÖSTERGÖTLANDS LÄN</t>
        </is>
      </c>
      <c r="E1296" t="inlineStr">
        <is>
          <t>LINKÖPING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55294-2019</t>
        </is>
      </c>
      <c r="B1297" s="1" t="n">
        <v>43756</v>
      </c>
      <c r="C1297" s="1" t="n">
        <v>45710</v>
      </c>
      <c r="D1297" t="inlineStr">
        <is>
          <t>ÖSTERGÖTLANDS LÄN</t>
        </is>
      </c>
      <c r="E1297" t="inlineStr">
        <is>
          <t>KINDA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55339-2019</t>
        </is>
      </c>
      <c r="B1298" s="1" t="n">
        <v>43756</v>
      </c>
      <c r="C1298" s="1" t="n">
        <v>45710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55097-2019</t>
        </is>
      </c>
      <c r="B1299" s="1" t="n">
        <v>43756</v>
      </c>
      <c r="C1299" s="1" t="n">
        <v>45710</v>
      </c>
      <c r="D1299" t="inlineStr">
        <is>
          <t>ÖSTERGÖTLANDS LÄN</t>
        </is>
      </c>
      <c r="E1299" t="inlineStr">
        <is>
          <t>NORRKÖPING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55547-2019</t>
        </is>
      </c>
      <c r="B1300" s="1" t="n">
        <v>43757</v>
      </c>
      <c r="C1300" s="1" t="n">
        <v>45710</v>
      </c>
      <c r="D1300" t="inlineStr">
        <is>
          <t>ÖSTERGÖTLANDS LÄN</t>
        </is>
      </c>
      <c r="E1300" t="inlineStr">
        <is>
          <t>NORRKÖPING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55752-2019</t>
        </is>
      </c>
      <c r="B1301" s="1" t="n">
        <v>43759</v>
      </c>
      <c r="C1301" s="1" t="n">
        <v>45710</v>
      </c>
      <c r="D1301" t="inlineStr">
        <is>
          <t>ÖSTERGÖTLANDS LÄN</t>
        </is>
      </c>
      <c r="E1301" t="inlineStr">
        <is>
          <t>BOXHOLM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55825-2019</t>
        </is>
      </c>
      <c r="B1302" s="1" t="n">
        <v>43759</v>
      </c>
      <c r="C1302" s="1" t="n">
        <v>45710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Övriga Aktiebolag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55858-2019</t>
        </is>
      </c>
      <c r="B1303" s="1" t="n">
        <v>43759</v>
      </c>
      <c r="C1303" s="1" t="n">
        <v>45710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55985-2019</t>
        </is>
      </c>
      <c r="B1304" s="1" t="n">
        <v>43759</v>
      </c>
      <c r="C1304" s="1" t="n">
        <v>45710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55511-2019</t>
        </is>
      </c>
      <c r="B1305" s="1" t="n">
        <v>43759</v>
      </c>
      <c r="C1305" s="1" t="n">
        <v>45710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55657-2019</t>
        </is>
      </c>
      <c r="B1306" s="1" t="n">
        <v>43760</v>
      </c>
      <c r="C1306" s="1" t="n">
        <v>45710</v>
      </c>
      <c r="D1306" t="inlineStr">
        <is>
          <t>ÖSTERGÖTLANDS LÄN</t>
        </is>
      </c>
      <c r="E1306" t="inlineStr">
        <is>
          <t>FINSPÅNG</t>
        </is>
      </c>
      <c r="G1306" t="n">
        <v>14.8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55532-2019</t>
        </is>
      </c>
      <c r="B1307" s="1" t="n">
        <v>43760</v>
      </c>
      <c r="C1307" s="1" t="n">
        <v>45710</v>
      </c>
      <c r="D1307" t="inlineStr">
        <is>
          <t>ÖSTERGÖTLANDS LÄN</t>
        </is>
      </c>
      <c r="E1307" t="inlineStr">
        <is>
          <t>MOTALA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55550-2019</t>
        </is>
      </c>
      <c r="B1308" s="1" t="n">
        <v>43760</v>
      </c>
      <c r="C1308" s="1" t="n">
        <v>45710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55655-2019</t>
        </is>
      </c>
      <c r="B1309" s="1" t="n">
        <v>43760</v>
      </c>
      <c r="C1309" s="1" t="n">
        <v>45710</v>
      </c>
      <c r="D1309" t="inlineStr">
        <is>
          <t>ÖSTERGÖTLANDS LÄN</t>
        </is>
      </c>
      <c r="E1309" t="inlineStr">
        <is>
          <t>FINSPÅNG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56102-2019</t>
        </is>
      </c>
      <c r="B1310" s="1" t="n">
        <v>43760</v>
      </c>
      <c r="C1310" s="1" t="n">
        <v>45710</v>
      </c>
      <c r="D1310" t="inlineStr">
        <is>
          <t>ÖSTERGÖTLANDS LÄN</t>
        </is>
      </c>
      <c r="E1310" t="inlineStr">
        <is>
          <t>ÅTVIDABERG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55938-2019</t>
        </is>
      </c>
      <c r="B1311" s="1" t="n">
        <v>43760</v>
      </c>
      <c r="C1311" s="1" t="n">
        <v>45710</v>
      </c>
      <c r="D1311" t="inlineStr">
        <is>
          <t>ÖSTERGÖTLANDS LÄN</t>
        </is>
      </c>
      <c r="E1311" t="inlineStr">
        <is>
          <t>SÖDERKÖPING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55928-2019</t>
        </is>
      </c>
      <c r="B1312" s="1" t="n">
        <v>43761</v>
      </c>
      <c r="C1312" s="1" t="n">
        <v>45710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56089-2019</t>
        </is>
      </c>
      <c r="B1313" s="1" t="n">
        <v>43761</v>
      </c>
      <c r="C1313" s="1" t="n">
        <v>45710</v>
      </c>
      <c r="D1313" t="inlineStr">
        <is>
          <t>ÖSTERGÖTLANDS LÄN</t>
        </is>
      </c>
      <c r="E1313" t="inlineStr">
        <is>
          <t>YDRE</t>
        </is>
      </c>
      <c r="F1313" t="inlineStr">
        <is>
          <t>Övriga Aktiebolag</t>
        </is>
      </c>
      <c r="G1313" t="n">
        <v>7.7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55917-2019</t>
        </is>
      </c>
      <c r="B1314" s="1" t="n">
        <v>43761</v>
      </c>
      <c r="C1314" s="1" t="n">
        <v>45710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55835-2019</t>
        </is>
      </c>
      <c r="B1315" s="1" t="n">
        <v>43761</v>
      </c>
      <c r="C1315" s="1" t="n">
        <v>45710</v>
      </c>
      <c r="D1315" t="inlineStr">
        <is>
          <t>ÖSTERGÖTLANDS LÄN</t>
        </is>
      </c>
      <c r="E1315" t="inlineStr">
        <is>
          <t>MOTALA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55904-2019</t>
        </is>
      </c>
      <c r="B1316" s="1" t="n">
        <v>43761</v>
      </c>
      <c r="C1316" s="1" t="n">
        <v>45710</v>
      </c>
      <c r="D1316" t="inlineStr">
        <is>
          <t>ÖSTERGÖTLANDS LÄN</t>
        </is>
      </c>
      <c r="E1316" t="inlineStr">
        <is>
          <t>LINKÖPING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55923-2019</t>
        </is>
      </c>
      <c r="B1317" s="1" t="n">
        <v>43761</v>
      </c>
      <c r="C1317" s="1" t="n">
        <v>45710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56069-2019</t>
        </is>
      </c>
      <c r="B1318" s="1" t="n">
        <v>43761</v>
      </c>
      <c r="C1318" s="1" t="n">
        <v>45710</v>
      </c>
      <c r="D1318" t="inlineStr">
        <is>
          <t>ÖSTERGÖTLANDS LÄN</t>
        </is>
      </c>
      <c r="E1318" t="inlineStr">
        <is>
          <t>BOXHOLM</t>
        </is>
      </c>
      <c r="F1318" t="inlineStr">
        <is>
          <t>Övriga Aktiebolag</t>
        </is>
      </c>
      <c r="G1318" t="n">
        <v>14.3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56279-2019</t>
        </is>
      </c>
      <c r="B1319" s="1" t="n">
        <v>43762</v>
      </c>
      <c r="C1319" s="1" t="n">
        <v>45710</v>
      </c>
      <c r="D1319" t="inlineStr">
        <is>
          <t>ÖSTERGÖTLANDS LÄN</t>
        </is>
      </c>
      <c r="E1319" t="inlineStr">
        <is>
          <t>ÖDESHÖG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56384-2019</t>
        </is>
      </c>
      <c r="B1320" s="1" t="n">
        <v>43762</v>
      </c>
      <c r="C1320" s="1" t="n">
        <v>45710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56433-2019</t>
        </is>
      </c>
      <c r="B1321" s="1" t="n">
        <v>43762</v>
      </c>
      <c r="C1321" s="1" t="n">
        <v>45710</v>
      </c>
      <c r="D1321" t="inlineStr">
        <is>
          <t>ÖSTERGÖTLANDS LÄN</t>
        </is>
      </c>
      <c r="E1321" t="inlineStr">
        <is>
          <t>KINDA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56432-2019</t>
        </is>
      </c>
      <c r="B1322" s="1" t="n">
        <v>43762</v>
      </c>
      <c r="C1322" s="1" t="n">
        <v>45710</v>
      </c>
      <c r="D1322" t="inlineStr">
        <is>
          <t>ÖSTERGÖTLANDS LÄN</t>
        </is>
      </c>
      <c r="E1322" t="inlineStr">
        <is>
          <t>KINDA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56452-2019</t>
        </is>
      </c>
      <c r="B1323" s="1" t="n">
        <v>43762</v>
      </c>
      <c r="C1323" s="1" t="n">
        <v>45710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56750-2019</t>
        </is>
      </c>
      <c r="B1324" s="1" t="n">
        <v>43763</v>
      </c>
      <c r="C1324" s="1" t="n">
        <v>45710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Aktiebolag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56643-2019</t>
        </is>
      </c>
      <c r="B1325" s="1" t="n">
        <v>43763</v>
      </c>
      <c r="C1325" s="1" t="n">
        <v>45710</v>
      </c>
      <c r="D1325" t="inlineStr">
        <is>
          <t>ÖSTERGÖTLANDS LÄN</t>
        </is>
      </c>
      <c r="E1325" t="inlineStr">
        <is>
          <t>FINSPÅNG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56735-2019</t>
        </is>
      </c>
      <c r="B1326" s="1" t="n">
        <v>43763</v>
      </c>
      <c r="C1326" s="1" t="n">
        <v>45710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56929-2019</t>
        </is>
      </c>
      <c r="B1327" s="1" t="n">
        <v>43763</v>
      </c>
      <c r="C1327" s="1" t="n">
        <v>45710</v>
      </c>
      <c r="D1327" t="inlineStr">
        <is>
          <t>ÖSTERGÖTLANDS LÄN</t>
        </is>
      </c>
      <c r="E1327" t="inlineStr">
        <is>
          <t>MOTALA</t>
        </is>
      </c>
      <c r="G1327" t="n">
        <v>23.5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56778-2019</t>
        </is>
      </c>
      <c r="B1328" s="1" t="n">
        <v>43763</v>
      </c>
      <c r="C1328" s="1" t="n">
        <v>45710</v>
      </c>
      <c r="D1328" t="inlineStr">
        <is>
          <t>ÖSTERGÖTLANDS LÄN</t>
        </is>
      </c>
      <c r="E1328" t="inlineStr">
        <is>
          <t>LINKÖPING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56933-2019</t>
        </is>
      </c>
      <c r="B1329" s="1" t="n">
        <v>43763</v>
      </c>
      <c r="C1329" s="1" t="n">
        <v>45710</v>
      </c>
      <c r="D1329" t="inlineStr">
        <is>
          <t>ÖSTERGÖTLANDS LÄN</t>
        </is>
      </c>
      <c r="E1329" t="inlineStr">
        <is>
          <t>MJÖLBY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56848-2019</t>
        </is>
      </c>
      <c r="B1330" s="1" t="n">
        <v>43765</v>
      </c>
      <c r="C1330" s="1" t="n">
        <v>45710</v>
      </c>
      <c r="D1330" t="inlineStr">
        <is>
          <t>ÖSTERGÖTLANDS LÄN</t>
        </is>
      </c>
      <c r="E1330" t="inlineStr">
        <is>
          <t>KINDA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56891-2019</t>
        </is>
      </c>
      <c r="B1331" s="1" t="n">
        <v>43766</v>
      </c>
      <c r="C1331" s="1" t="n">
        <v>45710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Övriga Aktiebolag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56977-2019</t>
        </is>
      </c>
      <c r="B1332" s="1" t="n">
        <v>43766</v>
      </c>
      <c r="C1332" s="1" t="n">
        <v>45710</v>
      </c>
      <c r="D1332" t="inlineStr">
        <is>
          <t>ÖSTERGÖTLANDS LÄN</t>
        </is>
      </c>
      <c r="E1332" t="inlineStr">
        <is>
          <t>VALDEMARSVIK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57000-2019</t>
        </is>
      </c>
      <c r="B1333" s="1" t="n">
        <v>43766</v>
      </c>
      <c r="C1333" s="1" t="n">
        <v>45710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56995-2019</t>
        </is>
      </c>
      <c r="B1334" s="1" t="n">
        <v>43766</v>
      </c>
      <c r="C1334" s="1" t="n">
        <v>45710</v>
      </c>
      <c r="D1334" t="inlineStr">
        <is>
          <t>ÖSTERGÖTLANDS LÄN</t>
        </is>
      </c>
      <c r="E1334" t="inlineStr">
        <is>
          <t>NORRKÖPING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56968-2019</t>
        </is>
      </c>
      <c r="B1335" s="1" t="n">
        <v>43766</v>
      </c>
      <c r="C1335" s="1" t="n">
        <v>45710</v>
      </c>
      <c r="D1335" t="inlineStr">
        <is>
          <t>ÖSTERGÖTLANDS LÄN</t>
        </is>
      </c>
      <c r="E1335" t="inlineStr">
        <is>
          <t>VALDEMARSVIK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57021-2019</t>
        </is>
      </c>
      <c r="B1336" s="1" t="n">
        <v>43766</v>
      </c>
      <c r="C1336" s="1" t="n">
        <v>45710</v>
      </c>
      <c r="D1336" t="inlineStr">
        <is>
          <t>ÖSTERGÖTLANDS LÄN</t>
        </is>
      </c>
      <c r="E1336" t="inlineStr">
        <is>
          <t>MJÖLBY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57157-2019</t>
        </is>
      </c>
      <c r="B1337" s="1" t="n">
        <v>43766</v>
      </c>
      <c r="C1337" s="1" t="n">
        <v>45710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56881-2019</t>
        </is>
      </c>
      <c r="B1338" s="1" t="n">
        <v>43766</v>
      </c>
      <c r="C1338" s="1" t="n">
        <v>45710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Övriga Aktiebolag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57263-2019</t>
        </is>
      </c>
      <c r="B1339" s="1" t="n">
        <v>43767</v>
      </c>
      <c r="C1339" s="1" t="n">
        <v>45710</v>
      </c>
      <c r="D1339" t="inlineStr">
        <is>
          <t>ÖSTERGÖTLANDS LÄN</t>
        </is>
      </c>
      <c r="E1339" t="inlineStr">
        <is>
          <t>NORRKÖPING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54796-2019</t>
        </is>
      </c>
      <c r="B1340" s="1" t="n">
        <v>43767</v>
      </c>
      <c r="C1340" s="1" t="n">
        <v>45710</v>
      </c>
      <c r="D1340" t="inlineStr">
        <is>
          <t>ÖSTERGÖTLANDS LÄN</t>
        </is>
      </c>
      <c r="E1340" t="inlineStr">
        <is>
          <t>KINDA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57311-2019</t>
        </is>
      </c>
      <c r="B1341" s="1" t="n">
        <v>43767</v>
      </c>
      <c r="C1341" s="1" t="n">
        <v>45710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57371-2019</t>
        </is>
      </c>
      <c r="B1342" s="1" t="n">
        <v>43767</v>
      </c>
      <c r="C1342" s="1" t="n">
        <v>45710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57323-2019</t>
        </is>
      </c>
      <c r="B1343" s="1" t="n">
        <v>43767</v>
      </c>
      <c r="C1343" s="1" t="n">
        <v>45710</v>
      </c>
      <c r="D1343" t="inlineStr">
        <is>
          <t>ÖSTERGÖTLANDS LÄN</t>
        </is>
      </c>
      <c r="E1343" t="inlineStr">
        <is>
          <t>KINDA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57376-2019</t>
        </is>
      </c>
      <c r="B1344" s="1" t="n">
        <v>43767</v>
      </c>
      <c r="C1344" s="1" t="n">
        <v>45710</v>
      </c>
      <c r="D1344" t="inlineStr">
        <is>
          <t>ÖSTERGÖTLANDS LÄN</t>
        </is>
      </c>
      <c r="E1344" t="inlineStr">
        <is>
          <t>KINDA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57488-2019</t>
        </is>
      </c>
      <c r="B1345" s="1" t="n">
        <v>43767</v>
      </c>
      <c r="C1345" s="1" t="n">
        <v>45710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57498-2019</t>
        </is>
      </c>
      <c r="B1346" s="1" t="n">
        <v>43767</v>
      </c>
      <c r="C1346" s="1" t="n">
        <v>45710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57504-2019</t>
        </is>
      </c>
      <c r="B1347" s="1" t="n">
        <v>43767</v>
      </c>
      <c r="C1347" s="1" t="n">
        <v>45710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57485-2019</t>
        </is>
      </c>
      <c r="B1348" s="1" t="n">
        <v>43767</v>
      </c>
      <c r="C1348" s="1" t="n">
        <v>45710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57501-2019</t>
        </is>
      </c>
      <c r="B1349" s="1" t="n">
        <v>43767</v>
      </c>
      <c r="C1349" s="1" t="n">
        <v>45710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57508-2019</t>
        </is>
      </c>
      <c r="B1350" s="1" t="n">
        <v>43767</v>
      </c>
      <c r="C1350" s="1" t="n">
        <v>45710</v>
      </c>
      <c r="D1350" t="inlineStr">
        <is>
          <t>ÖSTERGÖTLANDS LÄN</t>
        </is>
      </c>
      <c r="E1350" t="inlineStr">
        <is>
          <t>SÖDERKÖPING</t>
        </is>
      </c>
      <c r="F1350" t="inlineStr">
        <is>
          <t>Allmännings- och besparingsskogar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57496-2019</t>
        </is>
      </c>
      <c r="B1351" s="1" t="n">
        <v>43767</v>
      </c>
      <c r="C1351" s="1" t="n">
        <v>45710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57502-2019</t>
        </is>
      </c>
      <c r="B1352" s="1" t="n">
        <v>43767</v>
      </c>
      <c r="C1352" s="1" t="n">
        <v>45710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57381-2019</t>
        </is>
      </c>
      <c r="B1353" s="1" t="n">
        <v>43767</v>
      </c>
      <c r="C1353" s="1" t="n">
        <v>45710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Aktiebolag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57428-2019</t>
        </is>
      </c>
      <c r="B1354" s="1" t="n">
        <v>43767</v>
      </c>
      <c r="C1354" s="1" t="n">
        <v>45710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57500-2019</t>
        </is>
      </c>
      <c r="B1355" s="1" t="n">
        <v>43767</v>
      </c>
      <c r="C1355" s="1" t="n">
        <v>45710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57345-2019</t>
        </is>
      </c>
      <c r="B1356" s="1" t="n">
        <v>43767</v>
      </c>
      <c r="C1356" s="1" t="n">
        <v>45710</v>
      </c>
      <c r="D1356" t="inlineStr">
        <is>
          <t>ÖSTERGÖTLANDS LÄN</t>
        </is>
      </c>
      <c r="E1356" t="inlineStr">
        <is>
          <t>LINKÖPING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57636-2019</t>
        </is>
      </c>
      <c r="B1357" s="1" t="n">
        <v>43768</v>
      </c>
      <c r="C1357" s="1" t="n">
        <v>45710</v>
      </c>
      <c r="D1357" t="inlineStr">
        <is>
          <t>ÖSTERGÖTLANDS LÄN</t>
        </is>
      </c>
      <c r="E1357" t="inlineStr">
        <is>
          <t>YDRE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57660-2019</t>
        </is>
      </c>
      <c r="B1358" s="1" t="n">
        <v>43768</v>
      </c>
      <c r="C1358" s="1" t="n">
        <v>45710</v>
      </c>
      <c r="D1358" t="inlineStr">
        <is>
          <t>ÖSTERGÖTLANDS LÄN</t>
        </is>
      </c>
      <c r="E1358" t="inlineStr">
        <is>
          <t>ÅTVIDABERG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57854-2019</t>
        </is>
      </c>
      <c r="B1359" s="1" t="n">
        <v>43768</v>
      </c>
      <c r="C1359" s="1" t="n">
        <v>45710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58634-2019</t>
        </is>
      </c>
      <c r="B1360" s="1" t="n">
        <v>43768</v>
      </c>
      <c r="C1360" s="1" t="n">
        <v>45710</v>
      </c>
      <c r="D1360" t="inlineStr">
        <is>
          <t>ÖSTERGÖTLANDS LÄN</t>
        </is>
      </c>
      <c r="E1360" t="inlineStr">
        <is>
          <t>ÅTVIDABERG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58077-2019</t>
        </is>
      </c>
      <c r="B1361" s="1" t="n">
        <v>43769</v>
      </c>
      <c r="C1361" s="1" t="n">
        <v>45710</v>
      </c>
      <c r="D1361" t="inlineStr">
        <is>
          <t>ÖSTERGÖTLANDS LÄN</t>
        </is>
      </c>
      <c r="E1361" t="inlineStr">
        <is>
          <t>YDRE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58229-2019</t>
        </is>
      </c>
      <c r="B1362" s="1" t="n">
        <v>43770</v>
      </c>
      <c r="C1362" s="1" t="n">
        <v>45710</v>
      </c>
      <c r="D1362" t="inlineStr">
        <is>
          <t>ÖSTERGÖTLANDS LÄN</t>
        </is>
      </c>
      <c r="E1362" t="inlineStr">
        <is>
          <t>MJÖLBY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58395-2019</t>
        </is>
      </c>
      <c r="B1363" s="1" t="n">
        <v>43772</v>
      </c>
      <c r="C1363" s="1" t="n">
        <v>45710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58533-2019</t>
        </is>
      </c>
      <c r="B1364" s="1" t="n">
        <v>43773</v>
      </c>
      <c r="C1364" s="1" t="n">
        <v>45710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Kyrkan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58564-2019</t>
        </is>
      </c>
      <c r="B1365" s="1" t="n">
        <v>43773</v>
      </c>
      <c r="C1365" s="1" t="n">
        <v>45710</v>
      </c>
      <c r="D1365" t="inlineStr">
        <is>
          <t>ÖSTERGÖTLANDS LÄN</t>
        </is>
      </c>
      <c r="E1365" t="inlineStr">
        <is>
          <t>KINDA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58487-2019</t>
        </is>
      </c>
      <c r="B1366" s="1" t="n">
        <v>43773</v>
      </c>
      <c r="C1366" s="1" t="n">
        <v>45710</v>
      </c>
      <c r="D1366" t="inlineStr">
        <is>
          <t>ÖSTERGÖTLANDS LÄN</t>
        </is>
      </c>
      <c r="E1366" t="inlineStr">
        <is>
          <t>MJÖLBY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58505-2019</t>
        </is>
      </c>
      <c r="B1367" s="1" t="n">
        <v>43773</v>
      </c>
      <c r="C1367" s="1" t="n">
        <v>45710</v>
      </c>
      <c r="D1367" t="inlineStr">
        <is>
          <t>ÖSTERGÖTLANDS LÄN</t>
        </is>
      </c>
      <c r="E1367" t="inlineStr">
        <is>
          <t>YDRE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58684-2019</t>
        </is>
      </c>
      <c r="B1368" s="1" t="n">
        <v>43773</v>
      </c>
      <c r="C1368" s="1" t="n">
        <v>45710</v>
      </c>
      <c r="D1368" t="inlineStr">
        <is>
          <t>ÖSTERGÖTLANDS LÄN</t>
        </is>
      </c>
      <c r="E1368" t="inlineStr">
        <is>
          <t>BOXHOLM</t>
        </is>
      </c>
      <c r="F1368" t="inlineStr">
        <is>
          <t>Övriga Aktiebolag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58687-2019</t>
        </is>
      </c>
      <c r="B1369" s="1" t="n">
        <v>43773</v>
      </c>
      <c r="C1369" s="1" t="n">
        <v>45710</v>
      </c>
      <c r="D1369" t="inlineStr">
        <is>
          <t>ÖSTERGÖTLANDS LÄN</t>
        </is>
      </c>
      <c r="E1369" t="inlineStr">
        <is>
          <t>YDRE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58694-2019</t>
        </is>
      </c>
      <c r="B1370" s="1" t="n">
        <v>43773</v>
      </c>
      <c r="C1370" s="1" t="n">
        <v>45710</v>
      </c>
      <c r="D1370" t="inlineStr">
        <is>
          <t>ÖSTERGÖTLANDS LÄN</t>
        </is>
      </c>
      <c r="E1370" t="inlineStr">
        <is>
          <t>YDRE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58672-2019</t>
        </is>
      </c>
      <c r="B1371" s="1" t="n">
        <v>43773</v>
      </c>
      <c r="C1371" s="1" t="n">
        <v>45710</v>
      </c>
      <c r="D1371" t="inlineStr">
        <is>
          <t>ÖSTERGÖTLANDS LÄN</t>
        </is>
      </c>
      <c r="E1371" t="inlineStr">
        <is>
          <t>YDRE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59518-2019</t>
        </is>
      </c>
      <c r="B1372" s="1" t="n">
        <v>43773</v>
      </c>
      <c r="C1372" s="1" t="n">
        <v>45710</v>
      </c>
      <c r="D1372" t="inlineStr">
        <is>
          <t>ÖSTERGÖTLANDS LÄN</t>
        </is>
      </c>
      <c r="E1372" t="inlineStr">
        <is>
          <t>KINDA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58752-2019</t>
        </is>
      </c>
      <c r="B1373" s="1" t="n">
        <v>43773</v>
      </c>
      <c r="C1373" s="1" t="n">
        <v>45710</v>
      </c>
      <c r="D1373" t="inlineStr">
        <is>
          <t>ÖSTERGÖTLANDS LÄN</t>
        </is>
      </c>
      <c r="E1373" t="inlineStr">
        <is>
          <t>BOXHOLM</t>
        </is>
      </c>
      <c r="G1373" t="n">
        <v>9.300000000000001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58839-2019</t>
        </is>
      </c>
      <c r="B1374" s="1" t="n">
        <v>43774</v>
      </c>
      <c r="C1374" s="1" t="n">
        <v>45710</v>
      </c>
      <c r="D1374" t="inlineStr">
        <is>
          <t>ÖSTERGÖTLANDS LÄN</t>
        </is>
      </c>
      <c r="E1374" t="inlineStr">
        <is>
          <t>MOTALA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58961-2019</t>
        </is>
      </c>
      <c r="B1375" s="1" t="n">
        <v>43774</v>
      </c>
      <c r="C1375" s="1" t="n">
        <v>45710</v>
      </c>
      <c r="D1375" t="inlineStr">
        <is>
          <t>ÖSTERGÖTLANDS LÄN</t>
        </is>
      </c>
      <c r="E1375" t="inlineStr">
        <is>
          <t>VALDEMARSVIK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58906-2019</t>
        </is>
      </c>
      <c r="B1376" s="1" t="n">
        <v>43774</v>
      </c>
      <c r="C1376" s="1" t="n">
        <v>45710</v>
      </c>
      <c r="D1376" t="inlineStr">
        <is>
          <t>ÖSTERGÖTLANDS LÄN</t>
        </is>
      </c>
      <c r="E1376" t="inlineStr">
        <is>
          <t>SÖDERKÖPING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59053-2019</t>
        </is>
      </c>
      <c r="B1377" s="1" t="n">
        <v>43774</v>
      </c>
      <c r="C1377" s="1" t="n">
        <v>45710</v>
      </c>
      <c r="D1377" t="inlineStr">
        <is>
          <t>ÖSTERGÖTLANDS LÄN</t>
        </is>
      </c>
      <c r="E1377" t="inlineStr">
        <is>
          <t>LINKÖPING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59242-2019</t>
        </is>
      </c>
      <c r="B1378" s="1" t="n">
        <v>43775</v>
      </c>
      <c r="C1378" s="1" t="n">
        <v>45710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59685-2019</t>
        </is>
      </c>
      <c r="B1379" s="1" t="n">
        <v>43776</v>
      </c>
      <c r="C1379" s="1" t="n">
        <v>45710</v>
      </c>
      <c r="D1379" t="inlineStr">
        <is>
          <t>ÖSTERGÖTLANDS LÄN</t>
        </is>
      </c>
      <c r="E1379" t="inlineStr">
        <is>
          <t>LINKÖPING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59583-2019</t>
        </is>
      </c>
      <c r="B1380" s="1" t="n">
        <v>43776</v>
      </c>
      <c r="C1380" s="1" t="n">
        <v>45710</v>
      </c>
      <c r="D1380" t="inlineStr">
        <is>
          <t>ÖSTERGÖTLANDS LÄN</t>
        </is>
      </c>
      <c r="E1380" t="inlineStr">
        <is>
          <t>MOTALA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59609-2019</t>
        </is>
      </c>
      <c r="B1381" s="1" t="n">
        <v>43776</v>
      </c>
      <c r="C1381" s="1" t="n">
        <v>45710</v>
      </c>
      <c r="D1381" t="inlineStr">
        <is>
          <t>ÖSTERGÖTLANDS LÄN</t>
        </is>
      </c>
      <c r="E1381" t="inlineStr">
        <is>
          <t>MOTALA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59720-2019</t>
        </is>
      </c>
      <c r="B1382" s="1" t="n">
        <v>43776</v>
      </c>
      <c r="C1382" s="1" t="n">
        <v>45710</v>
      </c>
      <c r="D1382" t="inlineStr">
        <is>
          <t>ÖSTERGÖTLANDS LÄN</t>
        </is>
      </c>
      <c r="E1382" t="inlineStr">
        <is>
          <t>NORRKÖPING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60355-2019</t>
        </is>
      </c>
      <c r="B1383" s="1" t="n">
        <v>43776</v>
      </c>
      <c r="C1383" s="1" t="n">
        <v>45710</v>
      </c>
      <c r="D1383" t="inlineStr">
        <is>
          <t>ÖSTERGÖTLANDS LÄN</t>
        </is>
      </c>
      <c r="E1383" t="inlineStr">
        <is>
          <t>LINKÖPING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59674-2019</t>
        </is>
      </c>
      <c r="B1384" s="1" t="n">
        <v>43776</v>
      </c>
      <c r="C1384" s="1" t="n">
        <v>45710</v>
      </c>
      <c r="D1384" t="inlineStr">
        <is>
          <t>ÖSTERGÖTLANDS LÄN</t>
        </is>
      </c>
      <c r="E1384" t="inlineStr">
        <is>
          <t>LINKÖPING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59884-2019</t>
        </is>
      </c>
      <c r="B1385" s="1" t="n">
        <v>43777</v>
      </c>
      <c r="C1385" s="1" t="n">
        <v>45710</v>
      </c>
      <c r="D1385" t="inlineStr">
        <is>
          <t>ÖSTERGÖTLANDS LÄN</t>
        </is>
      </c>
      <c r="E1385" t="inlineStr">
        <is>
          <t>SÖDERKÖPING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59939-2019</t>
        </is>
      </c>
      <c r="B1386" s="1" t="n">
        <v>43777</v>
      </c>
      <c r="C1386" s="1" t="n">
        <v>45710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60153-2019</t>
        </is>
      </c>
      <c r="B1387" s="1" t="n">
        <v>43779</v>
      </c>
      <c r="C1387" s="1" t="n">
        <v>45710</v>
      </c>
      <c r="D1387" t="inlineStr">
        <is>
          <t>ÖSTERGÖTLANDS LÄN</t>
        </is>
      </c>
      <c r="E1387" t="inlineStr">
        <is>
          <t>MOTALA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60354-2019</t>
        </is>
      </c>
      <c r="B1388" s="1" t="n">
        <v>43780</v>
      </c>
      <c r="C1388" s="1" t="n">
        <v>45710</v>
      </c>
      <c r="D1388" t="inlineStr">
        <is>
          <t>ÖSTERGÖTLANDS LÄN</t>
        </is>
      </c>
      <c r="E1388" t="inlineStr">
        <is>
          <t>MJÖLBY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60279-2019</t>
        </is>
      </c>
      <c r="B1389" s="1" t="n">
        <v>43780</v>
      </c>
      <c r="C1389" s="1" t="n">
        <v>45710</v>
      </c>
      <c r="D1389" t="inlineStr">
        <is>
          <t>ÖSTERGÖTLANDS LÄN</t>
        </is>
      </c>
      <c r="E1389" t="inlineStr">
        <is>
          <t>ÖDESHÖG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60383-2019</t>
        </is>
      </c>
      <c r="B1390" s="1" t="n">
        <v>43780</v>
      </c>
      <c r="C1390" s="1" t="n">
        <v>45710</v>
      </c>
      <c r="D1390" t="inlineStr">
        <is>
          <t>ÖSTERGÖTLANDS LÄN</t>
        </is>
      </c>
      <c r="E1390" t="inlineStr">
        <is>
          <t>LINKÖPING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60929-2019</t>
        </is>
      </c>
      <c r="B1391" s="1" t="n">
        <v>43780</v>
      </c>
      <c r="C1391" s="1" t="n">
        <v>45710</v>
      </c>
      <c r="D1391" t="inlineStr">
        <is>
          <t>ÖSTERGÖTLANDS LÄN</t>
        </is>
      </c>
      <c r="E1391" t="inlineStr">
        <is>
          <t>ÅTVIDABERG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60584-2019</t>
        </is>
      </c>
      <c r="B1392" s="1" t="n">
        <v>43781</v>
      </c>
      <c r="C1392" s="1" t="n">
        <v>45710</v>
      </c>
      <c r="D1392" t="inlineStr">
        <is>
          <t>ÖSTERGÖTLANDS LÄN</t>
        </is>
      </c>
      <c r="E1392" t="inlineStr">
        <is>
          <t>LINKÖPING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60603-2019</t>
        </is>
      </c>
      <c r="B1393" s="1" t="n">
        <v>43781</v>
      </c>
      <c r="C1393" s="1" t="n">
        <v>45710</v>
      </c>
      <c r="D1393" t="inlineStr">
        <is>
          <t>ÖSTERGÖTLANDS LÄN</t>
        </is>
      </c>
      <c r="E1393" t="inlineStr">
        <is>
          <t>KINDA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60610-2019</t>
        </is>
      </c>
      <c r="B1394" s="1" t="n">
        <v>43781</v>
      </c>
      <c r="C1394" s="1" t="n">
        <v>45710</v>
      </c>
      <c r="D1394" t="inlineStr">
        <is>
          <t>ÖSTERGÖTLANDS LÄN</t>
        </is>
      </c>
      <c r="E1394" t="inlineStr">
        <is>
          <t>NORRKÖPING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60791-2019</t>
        </is>
      </c>
      <c r="B1395" s="1" t="n">
        <v>43781</v>
      </c>
      <c r="C1395" s="1" t="n">
        <v>45710</v>
      </c>
      <c r="D1395" t="inlineStr">
        <is>
          <t>ÖSTERGÖTLANDS LÄN</t>
        </is>
      </c>
      <c r="E1395" t="inlineStr">
        <is>
          <t>MOTALA</t>
        </is>
      </c>
      <c r="G1395" t="n">
        <v>28.7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60699-2019</t>
        </is>
      </c>
      <c r="B1396" s="1" t="n">
        <v>43781</v>
      </c>
      <c r="C1396" s="1" t="n">
        <v>45710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statliga verk och myndigheter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60858-2019</t>
        </is>
      </c>
      <c r="B1397" s="1" t="n">
        <v>43781</v>
      </c>
      <c r="C1397" s="1" t="n">
        <v>45710</v>
      </c>
      <c r="D1397" t="inlineStr">
        <is>
          <t>ÖSTERGÖTLANDS LÄN</t>
        </is>
      </c>
      <c r="E1397" t="inlineStr">
        <is>
          <t>ÅTVIDABERG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61890-2019</t>
        </is>
      </c>
      <c r="B1398" s="1" t="n">
        <v>43781</v>
      </c>
      <c r="C1398" s="1" t="n">
        <v>45710</v>
      </c>
      <c r="D1398" t="inlineStr">
        <is>
          <t>ÖSTERGÖTLANDS LÄN</t>
        </is>
      </c>
      <c r="E1398" t="inlineStr">
        <is>
          <t>ÅTVIDABERG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60782-2019</t>
        </is>
      </c>
      <c r="B1399" s="1" t="n">
        <v>43781</v>
      </c>
      <c r="C1399" s="1" t="n">
        <v>45710</v>
      </c>
      <c r="D1399" t="inlineStr">
        <is>
          <t>ÖSTERGÖTLANDS LÄN</t>
        </is>
      </c>
      <c r="E1399" t="inlineStr">
        <is>
          <t>YDRE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60986-2019</t>
        </is>
      </c>
      <c r="B1400" s="1" t="n">
        <v>43782</v>
      </c>
      <c r="C1400" s="1" t="n">
        <v>45710</v>
      </c>
      <c r="D1400" t="inlineStr">
        <is>
          <t>ÖSTERGÖTLANDS LÄN</t>
        </is>
      </c>
      <c r="E1400" t="inlineStr">
        <is>
          <t>MOTALA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60984-2019</t>
        </is>
      </c>
      <c r="B1401" s="1" t="n">
        <v>43782</v>
      </c>
      <c r="C1401" s="1" t="n">
        <v>45710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62227-2019</t>
        </is>
      </c>
      <c r="B1402" s="1" t="n">
        <v>43782</v>
      </c>
      <c r="C1402" s="1" t="n">
        <v>45710</v>
      </c>
      <c r="D1402" t="inlineStr">
        <is>
          <t>ÖSTERGÖTLANDS LÄN</t>
        </is>
      </c>
      <c r="E1402" t="inlineStr">
        <is>
          <t>KINDA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60987-2019</t>
        </is>
      </c>
      <c r="B1403" s="1" t="n">
        <v>43782</v>
      </c>
      <c r="C1403" s="1" t="n">
        <v>45710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62217-2019</t>
        </is>
      </c>
      <c r="B1404" s="1" t="n">
        <v>43782</v>
      </c>
      <c r="C1404" s="1" t="n">
        <v>45710</v>
      </c>
      <c r="D1404" t="inlineStr">
        <is>
          <t>ÖSTERGÖTLANDS LÄN</t>
        </is>
      </c>
      <c r="E1404" t="inlineStr">
        <is>
          <t>KINDA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62383-2019</t>
        </is>
      </c>
      <c r="B1405" s="1" t="n">
        <v>43782</v>
      </c>
      <c r="C1405" s="1" t="n">
        <v>45710</v>
      </c>
      <c r="D1405" t="inlineStr">
        <is>
          <t>ÖSTERGÖTLANDS LÄN</t>
        </is>
      </c>
      <c r="E1405" t="inlineStr">
        <is>
          <t>MJÖLBY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61294-2019</t>
        </is>
      </c>
      <c r="B1406" s="1" t="n">
        <v>43783</v>
      </c>
      <c r="C1406" s="1" t="n">
        <v>45710</v>
      </c>
      <c r="D1406" t="inlineStr">
        <is>
          <t>ÖSTERGÖTLANDS LÄN</t>
        </is>
      </c>
      <c r="E1406" t="inlineStr">
        <is>
          <t>MOTALA</t>
        </is>
      </c>
      <c r="F1406" t="inlineStr">
        <is>
          <t>Sveaskog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61292-2019</t>
        </is>
      </c>
      <c r="B1407" s="1" t="n">
        <v>43783</v>
      </c>
      <c r="C1407" s="1" t="n">
        <v>45710</v>
      </c>
      <c r="D1407" t="inlineStr">
        <is>
          <t>ÖSTERGÖTLANDS LÄN</t>
        </is>
      </c>
      <c r="E1407" t="inlineStr">
        <is>
          <t>MJÖLBY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61406-2019</t>
        </is>
      </c>
      <c r="B1408" s="1" t="n">
        <v>43783</v>
      </c>
      <c r="C1408" s="1" t="n">
        <v>45710</v>
      </c>
      <c r="D1408" t="inlineStr">
        <is>
          <t>ÖSTERGÖTLANDS LÄN</t>
        </is>
      </c>
      <c r="E1408" t="inlineStr">
        <is>
          <t>ÖDESHÖG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61422-2019</t>
        </is>
      </c>
      <c r="B1409" s="1" t="n">
        <v>43783</v>
      </c>
      <c r="C1409" s="1" t="n">
        <v>45710</v>
      </c>
      <c r="D1409" t="inlineStr">
        <is>
          <t>ÖSTERGÖTLANDS LÄN</t>
        </is>
      </c>
      <c r="E1409" t="inlineStr">
        <is>
          <t>ÖDESHÖG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61497-2019</t>
        </is>
      </c>
      <c r="B1410" s="1" t="n">
        <v>43783</v>
      </c>
      <c r="C1410" s="1" t="n">
        <v>45710</v>
      </c>
      <c r="D1410" t="inlineStr">
        <is>
          <t>ÖSTERGÖTLANDS LÄN</t>
        </is>
      </c>
      <c r="E1410" t="inlineStr">
        <is>
          <t>KINDA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61308-2019</t>
        </is>
      </c>
      <c r="B1411" s="1" t="n">
        <v>43783</v>
      </c>
      <c r="C1411" s="1" t="n">
        <v>45710</v>
      </c>
      <c r="D1411" t="inlineStr">
        <is>
          <t>ÖSTERGÖTLANDS LÄN</t>
        </is>
      </c>
      <c r="E1411" t="inlineStr">
        <is>
          <t>MOTALA</t>
        </is>
      </c>
      <c r="F1411" t="inlineStr">
        <is>
          <t>Sveaskog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61654-2019</t>
        </is>
      </c>
      <c r="B1412" s="1" t="n">
        <v>43784</v>
      </c>
      <c r="C1412" s="1" t="n">
        <v>45710</v>
      </c>
      <c r="D1412" t="inlineStr">
        <is>
          <t>ÖSTERGÖTLANDS LÄN</t>
        </is>
      </c>
      <c r="E1412" t="inlineStr">
        <is>
          <t>VALDEMARSVIK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61855-2019</t>
        </is>
      </c>
      <c r="B1413" s="1" t="n">
        <v>43787</v>
      </c>
      <c r="C1413" s="1" t="n">
        <v>45710</v>
      </c>
      <c r="D1413" t="inlineStr">
        <is>
          <t>ÖSTERGÖTLANDS LÄN</t>
        </is>
      </c>
      <c r="E1413" t="inlineStr">
        <is>
          <t>FINSPÅNG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61900-2019</t>
        </is>
      </c>
      <c r="B1414" s="1" t="n">
        <v>43787</v>
      </c>
      <c r="C1414" s="1" t="n">
        <v>45710</v>
      </c>
      <c r="D1414" t="inlineStr">
        <is>
          <t>ÖSTERGÖTLANDS LÄN</t>
        </is>
      </c>
      <c r="E1414" t="inlineStr">
        <is>
          <t>KINDA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61983-2019</t>
        </is>
      </c>
      <c r="B1415" s="1" t="n">
        <v>43787</v>
      </c>
      <c r="C1415" s="1" t="n">
        <v>45710</v>
      </c>
      <c r="D1415" t="inlineStr">
        <is>
          <t>ÖSTERGÖTLANDS LÄN</t>
        </is>
      </c>
      <c r="E1415" t="inlineStr">
        <is>
          <t>LINKÖPING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61854-2019</t>
        </is>
      </c>
      <c r="B1416" s="1" t="n">
        <v>43787</v>
      </c>
      <c r="C1416" s="1" t="n">
        <v>45710</v>
      </c>
      <c r="D1416" t="inlineStr">
        <is>
          <t>ÖSTERGÖTLANDS LÄN</t>
        </is>
      </c>
      <c r="E1416" t="inlineStr">
        <is>
          <t>FINSPÅNG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61995-2019</t>
        </is>
      </c>
      <c r="B1417" s="1" t="n">
        <v>43787</v>
      </c>
      <c r="C1417" s="1" t="n">
        <v>45710</v>
      </c>
      <c r="D1417" t="inlineStr">
        <is>
          <t>ÖSTERGÖTLANDS LÄN</t>
        </is>
      </c>
      <c r="E1417" t="inlineStr">
        <is>
          <t>SÖDERKÖPING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62099-2019</t>
        </is>
      </c>
      <c r="B1418" s="1" t="n">
        <v>43787</v>
      </c>
      <c r="C1418" s="1" t="n">
        <v>45710</v>
      </c>
      <c r="D1418" t="inlineStr">
        <is>
          <t>ÖSTERGÖTLANDS LÄN</t>
        </is>
      </c>
      <c r="E1418" t="inlineStr">
        <is>
          <t>FINSPÅNG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61853-2019</t>
        </is>
      </c>
      <c r="B1419" s="1" t="n">
        <v>43787</v>
      </c>
      <c r="C1419" s="1" t="n">
        <v>45710</v>
      </c>
      <c r="D1419" t="inlineStr">
        <is>
          <t>ÖSTERGÖTLANDS LÄN</t>
        </is>
      </c>
      <c r="E1419" t="inlineStr">
        <is>
          <t>FINSPÅNG</t>
        </is>
      </c>
      <c r="G1419" t="n">
        <v>9.9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61856-2019</t>
        </is>
      </c>
      <c r="B1420" s="1" t="n">
        <v>43787</v>
      </c>
      <c r="C1420" s="1" t="n">
        <v>45710</v>
      </c>
      <c r="D1420" t="inlineStr">
        <is>
          <t>ÖSTERGÖTLANDS LÄN</t>
        </is>
      </c>
      <c r="E1420" t="inlineStr">
        <is>
          <t>FINSPÅNG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61913-2019</t>
        </is>
      </c>
      <c r="B1421" s="1" t="n">
        <v>43787</v>
      </c>
      <c r="C1421" s="1" t="n">
        <v>45710</v>
      </c>
      <c r="D1421" t="inlineStr">
        <is>
          <t>ÖSTERGÖTLANDS LÄN</t>
        </is>
      </c>
      <c r="E1421" t="inlineStr">
        <is>
          <t>NORRKÖPING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62414-2019</t>
        </is>
      </c>
      <c r="B1422" s="1" t="n">
        <v>43788</v>
      </c>
      <c r="C1422" s="1" t="n">
        <v>45710</v>
      </c>
      <c r="D1422" t="inlineStr">
        <is>
          <t>ÖSTERGÖTLANDS LÄN</t>
        </is>
      </c>
      <c r="E1422" t="inlineStr">
        <is>
          <t>YDRE</t>
        </is>
      </c>
      <c r="F1422" t="inlineStr">
        <is>
          <t>Sveaskog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62788-2019</t>
        </is>
      </c>
      <c r="B1423" s="1" t="n">
        <v>43790</v>
      </c>
      <c r="C1423" s="1" t="n">
        <v>45710</v>
      </c>
      <c r="D1423" t="inlineStr">
        <is>
          <t>ÖSTERGÖTLANDS LÄN</t>
        </is>
      </c>
      <c r="E1423" t="inlineStr">
        <is>
          <t>MJÖLBY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62813-2019</t>
        </is>
      </c>
      <c r="B1424" s="1" t="n">
        <v>43790</v>
      </c>
      <c r="C1424" s="1" t="n">
        <v>45710</v>
      </c>
      <c r="D1424" t="inlineStr">
        <is>
          <t>ÖSTERGÖTLANDS LÄN</t>
        </is>
      </c>
      <c r="E1424" t="inlineStr">
        <is>
          <t>MOTALA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63069-2019</t>
        </is>
      </c>
      <c r="B1425" s="1" t="n">
        <v>43791</v>
      </c>
      <c r="C1425" s="1" t="n">
        <v>45710</v>
      </c>
      <c r="D1425" t="inlineStr">
        <is>
          <t>ÖSTERGÖTLANDS LÄN</t>
        </is>
      </c>
      <c r="E1425" t="inlineStr">
        <is>
          <t>LINKÖPING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63055-2019</t>
        </is>
      </c>
      <c r="B1426" s="1" t="n">
        <v>43791</v>
      </c>
      <c r="C1426" s="1" t="n">
        <v>45710</v>
      </c>
      <c r="D1426" t="inlineStr">
        <is>
          <t>ÖSTERGÖTLANDS LÄN</t>
        </is>
      </c>
      <c r="E1426" t="inlineStr">
        <is>
          <t>MJÖLBY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63167-2019</t>
        </is>
      </c>
      <c r="B1427" s="1" t="n">
        <v>43791</v>
      </c>
      <c r="C1427" s="1" t="n">
        <v>45710</v>
      </c>
      <c r="D1427" t="inlineStr">
        <is>
          <t>ÖSTERGÖTLANDS LÄN</t>
        </is>
      </c>
      <c r="E1427" t="inlineStr">
        <is>
          <t>VALDEMARSVIK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63017-2019</t>
        </is>
      </c>
      <c r="B1428" s="1" t="n">
        <v>43791</v>
      </c>
      <c r="C1428" s="1" t="n">
        <v>45710</v>
      </c>
      <c r="D1428" t="inlineStr">
        <is>
          <t>ÖSTERGÖTLANDS LÄN</t>
        </is>
      </c>
      <c r="E1428" t="inlineStr">
        <is>
          <t>ÖDESHÖG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63039-2019</t>
        </is>
      </c>
      <c r="B1429" s="1" t="n">
        <v>43791</v>
      </c>
      <c r="C1429" s="1" t="n">
        <v>45710</v>
      </c>
      <c r="D1429" t="inlineStr">
        <is>
          <t>ÖSTERGÖTLANDS LÄN</t>
        </is>
      </c>
      <c r="E1429" t="inlineStr">
        <is>
          <t>YDRE</t>
        </is>
      </c>
      <c r="F1429" t="inlineStr">
        <is>
          <t>Kyrkan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63059-2019</t>
        </is>
      </c>
      <c r="B1430" s="1" t="n">
        <v>43791</v>
      </c>
      <c r="C1430" s="1" t="n">
        <v>45710</v>
      </c>
      <c r="D1430" t="inlineStr">
        <is>
          <t>ÖSTERGÖTLANDS LÄN</t>
        </is>
      </c>
      <c r="E1430" t="inlineStr">
        <is>
          <t>MOTALA</t>
        </is>
      </c>
      <c r="F1430" t="inlineStr">
        <is>
          <t>Kommuner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63238-2019</t>
        </is>
      </c>
      <c r="B1431" s="1" t="n">
        <v>43792</v>
      </c>
      <c r="C1431" s="1" t="n">
        <v>45710</v>
      </c>
      <c r="D1431" t="inlineStr">
        <is>
          <t>ÖSTERGÖTLANDS LÄN</t>
        </is>
      </c>
      <c r="E1431" t="inlineStr">
        <is>
          <t>FINSPÅNG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63237-2019</t>
        </is>
      </c>
      <c r="B1432" s="1" t="n">
        <v>43792</v>
      </c>
      <c r="C1432" s="1" t="n">
        <v>45710</v>
      </c>
      <c r="D1432" t="inlineStr">
        <is>
          <t>ÖSTERGÖTLANDS LÄN</t>
        </is>
      </c>
      <c r="E1432" t="inlineStr">
        <is>
          <t>FINSPÅNG</t>
        </is>
      </c>
      <c r="G1432" t="n">
        <v>10.2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63481-2019</t>
        </is>
      </c>
      <c r="B1433" s="1" t="n">
        <v>43794</v>
      </c>
      <c r="C1433" s="1" t="n">
        <v>45710</v>
      </c>
      <c r="D1433" t="inlineStr">
        <is>
          <t>ÖSTERGÖTLANDS LÄN</t>
        </is>
      </c>
      <c r="E1433" t="inlineStr">
        <is>
          <t>LINKÖPING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63479-2019</t>
        </is>
      </c>
      <c r="B1434" s="1" t="n">
        <v>43794</v>
      </c>
      <c r="C1434" s="1" t="n">
        <v>45710</v>
      </c>
      <c r="D1434" t="inlineStr">
        <is>
          <t>ÖSTERGÖTLANDS LÄN</t>
        </is>
      </c>
      <c r="E1434" t="inlineStr">
        <is>
          <t>LINKÖPING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63682-2019</t>
        </is>
      </c>
      <c r="B1435" s="1" t="n">
        <v>43795</v>
      </c>
      <c r="C1435" s="1" t="n">
        <v>45710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63738-2019</t>
        </is>
      </c>
      <c r="B1436" s="1" t="n">
        <v>43795</v>
      </c>
      <c r="C1436" s="1" t="n">
        <v>45710</v>
      </c>
      <c r="D1436" t="inlineStr">
        <is>
          <t>ÖSTERGÖTLANDS LÄN</t>
        </is>
      </c>
      <c r="E1436" t="inlineStr">
        <is>
          <t>MJÖLBY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63784-2019</t>
        </is>
      </c>
      <c r="B1437" s="1" t="n">
        <v>43795</v>
      </c>
      <c r="C1437" s="1" t="n">
        <v>45710</v>
      </c>
      <c r="D1437" t="inlineStr">
        <is>
          <t>ÖSTERGÖTLANDS LÄN</t>
        </is>
      </c>
      <c r="E1437" t="inlineStr">
        <is>
          <t>KINDA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63900-2019</t>
        </is>
      </c>
      <c r="B1438" s="1" t="n">
        <v>43795</v>
      </c>
      <c r="C1438" s="1" t="n">
        <v>45710</v>
      </c>
      <c r="D1438" t="inlineStr">
        <is>
          <t>ÖSTERGÖTLANDS LÄN</t>
        </is>
      </c>
      <c r="E1438" t="inlineStr">
        <is>
          <t>MOTALA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63830-2019</t>
        </is>
      </c>
      <c r="B1439" s="1" t="n">
        <v>43795</v>
      </c>
      <c r="C1439" s="1" t="n">
        <v>45710</v>
      </c>
      <c r="D1439" t="inlineStr">
        <is>
          <t>ÖSTERGÖTLANDS LÄN</t>
        </is>
      </c>
      <c r="E1439" t="inlineStr">
        <is>
          <t>SÖDERKÖPING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64830-2019</t>
        </is>
      </c>
      <c r="B1440" s="1" t="n">
        <v>43795</v>
      </c>
      <c r="C1440" s="1" t="n">
        <v>45710</v>
      </c>
      <c r="D1440" t="inlineStr">
        <is>
          <t>ÖSTERGÖTLANDS LÄN</t>
        </is>
      </c>
      <c r="E1440" t="inlineStr">
        <is>
          <t>KINDA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63871-2019</t>
        </is>
      </c>
      <c r="B1441" s="1" t="n">
        <v>43796</v>
      </c>
      <c r="C1441" s="1" t="n">
        <v>45710</v>
      </c>
      <c r="D1441" t="inlineStr">
        <is>
          <t>ÖSTERGÖTLANDS LÄN</t>
        </is>
      </c>
      <c r="E1441" t="inlineStr">
        <is>
          <t>KINDA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63862-2019</t>
        </is>
      </c>
      <c r="B1442" s="1" t="n">
        <v>43796</v>
      </c>
      <c r="C1442" s="1" t="n">
        <v>45710</v>
      </c>
      <c r="D1442" t="inlineStr">
        <is>
          <t>ÖSTERGÖTLANDS LÄN</t>
        </is>
      </c>
      <c r="E1442" t="inlineStr">
        <is>
          <t>KINDA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63929-2019</t>
        </is>
      </c>
      <c r="B1443" s="1" t="n">
        <v>43796</v>
      </c>
      <c r="C1443" s="1" t="n">
        <v>45710</v>
      </c>
      <c r="D1443" t="inlineStr">
        <is>
          <t>ÖSTERGÖTLANDS LÄN</t>
        </is>
      </c>
      <c r="E1443" t="inlineStr">
        <is>
          <t>MJÖLBY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63984-2019</t>
        </is>
      </c>
      <c r="B1444" s="1" t="n">
        <v>43796</v>
      </c>
      <c r="C1444" s="1" t="n">
        <v>45710</v>
      </c>
      <c r="D1444" t="inlineStr">
        <is>
          <t>ÖSTERGÖTLANDS LÄN</t>
        </is>
      </c>
      <c r="E1444" t="inlineStr">
        <is>
          <t>NORRKÖPING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63931-2019</t>
        </is>
      </c>
      <c r="B1445" s="1" t="n">
        <v>43796</v>
      </c>
      <c r="C1445" s="1" t="n">
        <v>45710</v>
      </c>
      <c r="D1445" t="inlineStr">
        <is>
          <t>ÖSTERGÖTLANDS LÄN</t>
        </is>
      </c>
      <c r="E1445" t="inlineStr">
        <is>
          <t>MJÖLBY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63864-2019</t>
        </is>
      </c>
      <c r="B1446" s="1" t="n">
        <v>43796</v>
      </c>
      <c r="C1446" s="1" t="n">
        <v>45710</v>
      </c>
      <c r="D1446" t="inlineStr">
        <is>
          <t>ÖSTERGÖTLANDS LÄN</t>
        </is>
      </c>
      <c r="E1446" t="inlineStr">
        <is>
          <t>KINDA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65160-2019</t>
        </is>
      </c>
      <c r="B1447" s="1" t="n">
        <v>43796</v>
      </c>
      <c r="C1447" s="1" t="n">
        <v>45710</v>
      </c>
      <c r="D1447" t="inlineStr">
        <is>
          <t>ÖSTERGÖTLANDS LÄN</t>
        </is>
      </c>
      <c r="E1447" t="inlineStr">
        <is>
          <t>FINSPÅNG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65134-2019</t>
        </is>
      </c>
      <c r="B1448" s="1" t="n">
        <v>43796</v>
      </c>
      <c r="C1448" s="1" t="n">
        <v>45710</v>
      </c>
      <c r="D1448" t="inlineStr">
        <is>
          <t>ÖSTERGÖTLANDS LÄN</t>
        </is>
      </c>
      <c r="E1448" t="inlineStr">
        <is>
          <t>YDRE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64234-2019</t>
        </is>
      </c>
      <c r="B1449" s="1" t="n">
        <v>43797</v>
      </c>
      <c r="C1449" s="1" t="n">
        <v>45710</v>
      </c>
      <c r="D1449" t="inlineStr">
        <is>
          <t>ÖSTERGÖTLANDS LÄN</t>
        </is>
      </c>
      <c r="E1449" t="inlineStr">
        <is>
          <t>SÖDERKÖPING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64248-2019</t>
        </is>
      </c>
      <c r="B1450" s="1" t="n">
        <v>43797</v>
      </c>
      <c r="C1450" s="1" t="n">
        <v>45710</v>
      </c>
      <c r="D1450" t="inlineStr">
        <is>
          <t>ÖSTERGÖTLANDS LÄN</t>
        </is>
      </c>
      <c r="E1450" t="inlineStr">
        <is>
          <t>SÖDERKÖPING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64447-2019</t>
        </is>
      </c>
      <c r="B1451" s="1" t="n">
        <v>43797</v>
      </c>
      <c r="C1451" s="1" t="n">
        <v>45710</v>
      </c>
      <c r="D1451" t="inlineStr">
        <is>
          <t>ÖSTERGÖTLANDS LÄN</t>
        </is>
      </c>
      <c r="E1451" t="inlineStr">
        <is>
          <t>ÖDESHÖG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64360-2019</t>
        </is>
      </c>
      <c r="B1452" s="1" t="n">
        <v>43797</v>
      </c>
      <c r="C1452" s="1" t="n">
        <v>45710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Kommuner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64674-2019</t>
        </is>
      </c>
      <c r="B1453" s="1" t="n">
        <v>43798</v>
      </c>
      <c r="C1453" s="1" t="n">
        <v>45710</v>
      </c>
      <c r="D1453" t="inlineStr">
        <is>
          <t>ÖSTERGÖTLANDS LÄN</t>
        </is>
      </c>
      <c r="E1453" t="inlineStr">
        <is>
          <t>MOTALA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64508-2019</t>
        </is>
      </c>
      <c r="B1454" s="1" t="n">
        <v>43798</v>
      </c>
      <c r="C1454" s="1" t="n">
        <v>45710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Sveaskog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64589-2019</t>
        </is>
      </c>
      <c r="B1455" s="1" t="n">
        <v>43798</v>
      </c>
      <c r="C1455" s="1" t="n">
        <v>45710</v>
      </c>
      <c r="D1455" t="inlineStr">
        <is>
          <t>ÖSTERGÖTLANDS LÄN</t>
        </is>
      </c>
      <c r="E1455" t="inlineStr">
        <is>
          <t>MOTALA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64668-2019</t>
        </is>
      </c>
      <c r="B1456" s="1" t="n">
        <v>43798</v>
      </c>
      <c r="C1456" s="1" t="n">
        <v>45710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Övriga Aktiebolag</t>
        </is>
      </c>
      <c r="G1456" t="n">
        <v>32.8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64658-2019</t>
        </is>
      </c>
      <c r="B1457" s="1" t="n">
        <v>43798</v>
      </c>
      <c r="C1457" s="1" t="n">
        <v>45710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Övriga Aktiebolag</t>
        </is>
      </c>
      <c r="G1457" t="n">
        <v>35.6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64564-2019</t>
        </is>
      </c>
      <c r="B1458" s="1" t="n">
        <v>43798</v>
      </c>
      <c r="C1458" s="1" t="n">
        <v>45710</v>
      </c>
      <c r="D1458" t="inlineStr">
        <is>
          <t>ÖSTERGÖTLANDS LÄN</t>
        </is>
      </c>
      <c r="E1458" t="inlineStr">
        <is>
          <t>MOTALA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64731-2019</t>
        </is>
      </c>
      <c r="B1459" s="1" t="n">
        <v>43800</v>
      </c>
      <c r="C1459" s="1" t="n">
        <v>45710</v>
      </c>
      <c r="D1459" t="inlineStr">
        <is>
          <t>ÖSTERGÖTLANDS LÄN</t>
        </is>
      </c>
      <c r="E1459" t="inlineStr">
        <is>
          <t>NORRKÖPING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64734-2019</t>
        </is>
      </c>
      <c r="B1460" s="1" t="n">
        <v>43800</v>
      </c>
      <c r="C1460" s="1" t="n">
        <v>45710</v>
      </c>
      <c r="D1460" t="inlineStr">
        <is>
          <t>ÖSTERGÖTLANDS LÄN</t>
        </is>
      </c>
      <c r="E1460" t="inlineStr">
        <is>
          <t>NORRKÖPING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64815-2019</t>
        </is>
      </c>
      <c r="B1461" s="1" t="n">
        <v>43801</v>
      </c>
      <c r="C1461" s="1" t="n">
        <v>45710</v>
      </c>
      <c r="D1461" t="inlineStr">
        <is>
          <t>ÖSTERGÖTLANDS LÄN</t>
        </is>
      </c>
      <c r="E1461" t="inlineStr">
        <is>
          <t>NORRKÖPING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65015-2019</t>
        </is>
      </c>
      <c r="B1462" s="1" t="n">
        <v>43801</v>
      </c>
      <c r="C1462" s="1" t="n">
        <v>45710</v>
      </c>
      <c r="D1462" t="inlineStr">
        <is>
          <t>ÖSTERGÖTLANDS LÄN</t>
        </is>
      </c>
      <c r="E1462" t="inlineStr">
        <is>
          <t>LINKÖPING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65016-2019</t>
        </is>
      </c>
      <c r="B1463" s="1" t="n">
        <v>43801</v>
      </c>
      <c r="C1463" s="1" t="n">
        <v>45710</v>
      </c>
      <c r="D1463" t="inlineStr">
        <is>
          <t>ÖSTERGÖTLANDS LÄN</t>
        </is>
      </c>
      <c r="E1463" t="inlineStr">
        <is>
          <t>LINKÖPING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65214-2019</t>
        </is>
      </c>
      <c r="B1464" s="1" t="n">
        <v>43802</v>
      </c>
      <c r="C1464" s="1" t="n">
        <v>45710</v>
      </c>
      <c r="D1464" t="inlineStr">
        <is>
          <t>ÖSTERGÖTLANDS LÄN</t>
        </is>
      </c>
      <c r="E1464" t="inlineStr">
        <is>
          <t>LINKÖPING</t>
        </is>
      </c>
      <c r="F1464" t="inlineStr">
        <is>
          <t>Övriga statliga verk och myndigheter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65276-2019</t>
        </is>
      </c>
      <c r="B1465" s="1" t="n">
        <v>43802</v>
      </c>
      <c r="C1465" s="1" t="n">
        <v>45710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Allmännings- och besparingsskogar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65260-2019</t>
        </is>
      </c>
      <c r="B1466" s="1" t="n">
        <v>43802</v>
      </c>
      <c r="C1466" s="1" t="n">
        <v>45710</v>
      </c>
      <c r="D1466" t="inlineStr">
        <is>
          <t>ÖSTERGÖTLANDS LÄN</t>
        </is>
      </c>
      <c r="E1466" t="inlineStr">
        <is>
          <t>MOTALA</t>
        </is>
      </c>
      <c r="F1466" t="inlineStr">
        <is>
          <t>Allmännings- och besparingsskogar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65254-2019</t>
        </is>
      </c>
      <c r="B1467" s="1" t="n">
        <v>43802</v>
      </c>
      <c r="C1467" s="1" t="n">
        <v>45710</v>
      </c>
      <c r="D1467" t="inlineStr">
        <is>
          <t>ÖSTERGÖTLANDS LÄN</t>
        </is>
      </c>
      <c r="E1467" t="inlineStr">
        <is>
          <t>FINSPÅNG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65282-2019</t>
        </is>
      </c>
      <c r="B1468" s="1" t="n">
        <v>43802</v>
      </c>
      <c r="C1468" s="1" t="n">
        <v>45710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Allmännings- och besparingsskogar</t>
        </is>
      </c>
      <c r="G1468" t="n">
        <v>11.9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65210-2019</t>
        </is>
      </c>
      <c r="B1469" s="1" t="n">
        <v>43802</v>
      </c>
      <c r="C1469" s="1" t="n">
        <v>45710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Övriga statliga verk och myndigheter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65287-2019</t>
        </is>
      </c>
      <c r="B1470" s="1" t="n">
        <v>43802</v>
      </c>
      <c r="C1470" s="1" t="n">
        <v>45710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Allmännings- och besparingsskogar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65406-2019</t>
        </is>
      </c>
      <c r="B1471" s="1" t="n">
        <v>43803</v>
      </c>
      <c r="C1471" s="1" t="n">
        <v>45710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65417-2019</t>
        </is>
      </c>
      <c r="B1472" s="1" t="n">
        <v>43803</v>
      </c>
      <c r="C1472" s="1" t="n">
        <v>45710</v>
      </c>
      <c r="D1472" t="inlineStr">
        <is>
          <t>ÖSTERGÖTLANDS LÄN</t>
        </is>
      </c>
      <c r="E1472" t="inlineStr">
        <is>
          <t>BOXHOLM</t>
        </is>
      </c>
      <c r="F1472" t="inlineStr">
        <is>
          <t>Allmännings- och besparingsskogar</t>
        </is>
      </c>
      <c r="G1472" t="n">
        <v>16.3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65535-2019</t>
        </is>
      </c>
      <c r="B1473" s="1" t="n">
        <v>43803</v>
      </c>
      <c r="C1473" s="1" t="n">
        <v>45710</v>
      </c>
      <c r="D1473" t="inlineStr">
        <is>
          <t>ÖSTERGÖTLANDS LÄN</t>
        </is>
      </c>
      <c r="E1473" t="inlineStr">
        <is>
          <t>LINKÖPING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65538-2019</t>
        </is>
      </c>
      <c r="B1474" s="1" t="n">
        <v>43803</v>
      </c>
      <c r="C1474" s="1" t="n">
        <v>45710</v>
      </c>
      <c r="D1474" t="inlineStr">
        <is>
          <t>ÖSTERGÖTLANDS LÄN</t>
        </is>
      </c>
      <c r="E1474" t="inlineStr">
        <is>
          <t>SÖDERKÖPING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65694-2019</t>
        </is>
      </c>
      <c r="B1475" s="1" t="n">
        <v>43804</v>
      </c>
      <c r="C1475" s="1" t="n">
        <v>45710</v>
      </c>
      <c r="D1475" t="inlineStr">
        <is>
          <t>ÖSTERGÖTLANDS LÄN</t>
        </is>
      </c>
      <c r="E1475" t="inlineStr">
        <is>
          <t>FINSPÅNG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65740-2019</t>
        </is>
      </c>
      <c r="B1476" s="1" t="n">
        <v>43804</v>
      </c>
      <c r="C1476" s="1" t="n">
        <v>45710</v>
      </c>
      <c r="D1476" t="inlineStr">
        <is>
          <t>ÖSTERGÖTLANDS LÄN</t>
        </is>
      </c>
      <c r="E1476" t="inlineStr">
        <is>
          <t>FINSPÅNG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65656-2019</t>
        </is>
      </c>
      <c r="B1477" s="1" t="n">
        <v>43804</v>
      </c>
      <c r="C1477" s="1" t="n">
        <v>45710</v>
      </c>
      <c r="D1477" t="inlineStr">
        <is>
          <t>ÖSTERGÖTLANDS LÄN</t>
        </is>
      </c>
      <c r="E1477" t="inlineStr">
        <is>
          <t>MJÖLBY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65874-2019</t>
        </is>
      </c>
      <c r="B1478" s="1" t="n">
        <v>43805</v>
      </c>
      <c r="C1478" s="1" t="n">
        <v>45710</v>
      </c>
      <c r="D1478" t="inlineStr">
        <is>
          <t>ÖSTERGÖTLANDS LÄN</t>
        </is>
      </c>
      <c r="E1478" t="inlineStr">
        <is>
          <t>YDRE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65891-2019</t>
        </is>
      </c>
      <c r="B1479" s="1" t="n">
        <v>43805</v>
      </c>
      <c r="C1479" s="1" t="n">
        <v>45710</v>
      </c>
      <c r="D1479" t="inlineStr">
        <is>
          <t>ÖSTERGÖTLANDS LÄN</t>
        </is>
      </c>
      <c r="E1479" t="inlineStr">
        <is>
          <t>MOTALA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66006-2019</t>
        </is>
      </c>
      <c r="B1480" s="1" t="n">
        <v>43805</v>
      </c>
      <c r="C1480" s="1" t="n">
        <v>45710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66996-2019</t>
        </is>
      </c>
      <c r="B1481" s="1" t="n">
        <v>43805</v>
      </c>
      <c r="C1481" s="1" t="n">
        <v>45710</v>
      </c>
      <c r="D1481" t="inlineStr">
        <is>
          <t>ÖSTERGÖTLANDS LÄN</t>
        </is>
      </c>
      <c r="E1481" t="inlineStr">
        <is>
          <t>NORRKÖPING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66079-2019</t>
        </is>
      </c>
      <c r="B1482" s="1" t="n">
        <v>43807</v>
      </c>
      <c r="C1482" s="1" t="n">
        <v>45710</v>
      </c>
      <c r="D1482" t="inlineStr">
        <is>
          <t>ÖSTERGÖTLANDS LÄN</t>
        </is>
      </c>
      <c r="E1482" t="inlineStr">
        <is>
          <t>ÅTVIDABERG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66077-2019</t>
        </is>
      </c>
      <c r="B1483" s="1" t="n">
        <v>43807</v>
      </c>
      <c r="C1483" s="1" t="n">
        <v>45710</v>
      </c>
      <c r="D1483" t="inlineStr">
        <is>
          <t>ÖSTERGÖTLANDS LÄN</t>
        </is>
      </c>
      <c r="E1483" t="inlineStr">
        <is>
          <t>SÖDERKÖPING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66176-2019</t>
        </is>
      </c>
      <c r="B1484" s="1" t="n">
        <v>43808</v>
      </c>
      <c r="C1484" s="1" t="n">
        <v>45710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66217-2019</t>
        </is>
      </c>
      <c r="B1485" s="1" t="n">
        <v>43808</v>
      </c>
      <c r="C1485" s="1" t="n">
        <v>45710</v>
      </c>
      <c r="D1485" t="inlineStr">
        <is>
          <t>ÖSTERGÖTLANDS LÄN</t>
        </is>
      </c>
      <c r="E1485" t="inlineStr">
        <is>
          <t>MOTALA</t>
        </is>
      </c>
      <c r="F1485" t="inlineStr">
        <is>
          <t>Holmen skog AB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66295-2019</t>
        </is>
      </c>
      <c r="B1486" s="1" t="n">
        <v>43808</v>
      </c>
      <c r="C1486" s="1" t="n">
        <v>45710</v>
      </c>
      <c r="D1486" t="inlineStr">
        <is>
          <t>ÖSTERGÖTLANDS LÄN</t>
        </is>
      </c>
      <c r="E1486" t="inlineStr">
        <is>
          <t>LINKÖPING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66364-2019</t>
        </is>
      </c>
      <c r="B1487" s="1" t="n">
        <v>43808</v>
      </c>
      <c r="C1487" s="1" t="n">
        <v>45710</v>
      </c>
      <c r="D1487" t="inlineStr">
        <is>
          <t>ÖSTERGÖTLANDS LÄN</t>
        </is>
      </c>
      <c r="E1487" t="inlineStr">
        <is>
          <t>FINSPÅNG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66160-2019</t>
        </is>
      </c>
      <c r="B1488" s="1" t="n">
        <v>43808</v>
      </c>
      <c r="C1488" s="1" t="n">
        <v>45710</v>
      </c>
      <c r="D1488" t="inlineStr">
        <is>
          <t>ÖSTERGÖTLANDS LÄN</t>
        </is>
      </c>
      <c r="E1488" t="inlineStr">
        <is>
          <t>YDRE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66367-2019</t>
        </is>
      </c>
      <c r="B1489" s="1" t="n">
        <v>43808</v>
      </c>
      <c r="C1489" s="1" t="n">
        <v>45710</v>
      </c>
      <c r="D1489" t="inlineStr">
        <is>
          <t>ÖSTERGÖTLANDS LÄN</t>
        </is>
      </c>
      <c r="E1489" t="inlineStr">
        <is>
          <t>FINSPÅNG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66245-2019</t>
        </is>
      </c>
      <c r="B1490" s="1" t="n">
        <v>43808</v>
      </c>
      <c r="C1490" s="1" t="n">
        <v>45710</v>
      </c>
      <c r="D1490" t="inlineStr">
        <is>
          <t>ÖSTERGÖTLANDS LÄN</t>
        </is>
      </c>
      <c r="E1490" t="inlineStr">
        <is>
          <t>NORRKÖPING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66671-2019</t>
        </is>
      </c>
      <c r="B1491" s="1" t="n">
        <v>43809</v>
      </c>
      <c r="C1491" s="1" t="n">
        <v>45710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Övriga Aktiebolag</t>
        </is>
      </c>
      <c r="G1491" t="n">
        <v>14.8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68428-2019</t>
        </is>
      </c>
      <c r="B1492" s="1" t="n">
        <v>43809</v>
      </c>
      <c r="C1492" s="1" t="n">
        <v>45710</v>
      </c>
      <c r="D1492" t="inlineStr">
        <is>
          <t>ÖSTERGÖTLANDS LÄN</t>
        </is>
      </c>
      <c r="E1492" t="inlineStr">
        <is>
          <t>NORRKÖPING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66448-2019</t>
        </is>
      </c>
      <c r="B1493" s="1" t="n">
        <v>43809</v>
      </c>
      <c r="C1493" s="1" t="n">
        <v>45710</v>
      </c>
      <c r="D1493" t="inlineStr">
        <is>
          <t>ÖSTERGÖTLANDS LÄN</t>
        </is>
      </c>
      <c r="E1493" t="inlineStr">
        <is>
          <t>KINDA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66717-2019</t>
        </is>
      </c>
      <c r="B1494" s="1" t="n">
        <v>43810</v>
      </c>
      <c r="C1494" s="1" t="n">
        <v>45710</v>
      </c>
      <c r="D1494" t="inlineStr">
        <is>
          <t>ÖSTERGÖTLANDS LÄN</t>
        </is>
      </c>
      <c r="E1494" t="inlineStr">
        <is>
          <t>FINSPÅNG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66848-2019</t>
        </is>
      </c>
      <c r="B1495" s="1" t="n">
        <v>43810</v>
      </c>
      <c r="C1495" s="1" t="n">
        <v>45710</v>
      </c>
      <c r="D1495" t="inlineStr">
        <is>
          <t>ÖSTERGÖTLANDS LÄN</t>
        </is>
      </c>
      <c r="E1495" t="inlineStr">
        <is>
          <t>VALDEMARSVIK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66958-2019</t>
        </is>
      </c>
      <c r="B1496" s="1" t="n">
        <v>43810</v>
      </c>
      <c r="C1496" s="1" t="n">
        <v>45710</v>
      </c>
      <c r="D1496" t="inlineStr">
        <is>
          <t>ÖSTERGÖTLANDS LÄN</t>
        </is>
      </c>
      <c r="E1496" t="inlineStr">
        <is>
          <t>LINKÖPING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66925-2019</t>
        </is>
      </c>
      <c r="B1497" s="1" t="n">
        <v>43810</v>
      </c>
      <c r="C1497" s="1" t="n">
        <v>45710</v>
      </c>
      <c r="D1497" t="inlineStr">
        <is>
          <t>ÖSTERGÖTLANDS LÄN</t>
        </is>
      </c>
      <c r="E1497" t="inlineStr">
        <is>
          <t>LINKÖPING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66957-2019</t>
        </is>
      </c>
      <c r="B1498" s="1" t="n">
        <v>43810</v>
      </c>
      <c r="C1498" s="1" t="n">
        <v>45710</v>
      </c>
      <c r="D1498" t="inlineStr">
        <is>
          <t>ÖSTERGÖTLANDS LÄN</t>
        </is>
      </c>
      <c r="E1498" t="inlineStr">
        <is>
          <t>LINKÖPING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67090-2019</t>
        </is>
      </c>
      <c r="B1499" s="1" t="n">
        <v>43811</v>
      </c>
      <c r="C1499" s="1" t="n">
        <v>45710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67077-2019</t>
        </is>
      </c>
      <c r="B1500" s="1" t="n">
        <v>43811</v>
      </c>
      <c r="C1500" s="1" t="n">
        <v>45710</v>
      </c>
      <c r="D1500" t="inlineStr">
        <is>
          <t>ÖSTERGÖTLANDS LÄN</t>
        </is>
      </c>
      <c r="E1500" t="inlineStr">
        <is>
          <t>ÅTVIDABERG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67157-2019</t>
        </is>
      </c>
      <c r="B1501" s="1" t="n">
        <v>43811</v>
      </c>
      <c r="C1501" s="1" t="n">
        <v>45710</v>
      </c>
      <c r="D1501" t="inlineStr">
        <is>
          <t>ÖSTERGÖTLANDS LÄN</t>
        </is>
      </c>
      <c r="E1501" t="inlineStr">
        <is>
          <t>MOTALA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67959-2019</t>
        </is>
      </c>
      <c r="B1502" s="1" t="n">
        <v>43811</v>
      </c>
      <c r="C1502" s="1" t="n">
        <v>45710</v>
      </c>
      <c r="D1502" t="inlineStr">
        <is>
          <t>ÖSTERGÖTLANDS LÄN</t>
        </is>
      </c>
      <c r="E1502" t="inlineStr">
        <is>
          <t>KINDA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67206-2019</t>
        </is>
      </c>
      <c r="B1503" s="1" t="n">
        <v>43811</v>
      </c>
      <c r="C1503" s="1" t="n">
        <v>45710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67001-2019</t>
        </is>
      </c>
      <c r="B1504" s="1" t="n">
        <v>43811</v>
      </c>
      <c r="C1504" s="1" t="n">
        <v>45710</v>
      </c>
      <c r="D1504" t="inlineStr">
        <is>
          <t>ÖSTERGÖTLANDS LÄN</t>
        </is>
      </c>
      <c r="E1504" t="inlineStr">
        <is>
          <t>YDRE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67383-2019</t>
        </is>
      </c>
      <c r="B1505" s="1" t="n">
        <v>43812</v>
      </c>
      <c r="C1505" s="1" t="n">
        <v>45710</v>
      </c>
      <c r="D1505" t="inlineStr">
        <is>
          <t>ÖSTERGÖTLANDS LÄN</t>
        </is>
      </c>
      <c r="E1505" t="inlineStr">
        <is>
          <t>FINSPÅNG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67446-2019</t>
        </is>
      </c>
      <c r="B1506" s="1" t="n">
        <v>43812</v>
      </c>
      <c r="C1506" s="1" t="n">
        <v>45710</v>
      </c>
      <c r="D1506" t="inlineStr">
        <is>
          <t>ÖSTERGÖTLANDS LÄN</t>
        </is>
      </c>
      <c r="E1506" t="inlineStr">
        <is>
          <t>YDRE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67444-2019</t>
        </is>
      </c>
      <c r="B1507" s="1" t="n">
        <v>43812</v>
      </c>
      <c r="C1507" s="1" t="n">
        <v>45710</v>
      </c>
      <c r="D1507" t="inlineStr">
        <is>
          <t>ÖSTERGÖTLANDS LÄN</t>
        </is>
      </c>
      <c r="E1507" t="inlineStr">
        <is>
          <t>MOTALA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67452-2019</t>
        </is>
      </c>
      <c r="B1508" s="1" t="n">
        <v>43812</v>
      </c>
      <c r="C1508" s="1" t="n">
        <v>45710</v>
      </c>
      <c r="D1508" t="inlineStr">
        <is>
          <t>ÖSTERGÖTLANDS LÄN</t>
        </is>
      </c>
      <c r="E1508" t="inlineStr">
        <is>
          <t>NORRKÖPING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67451-2019</t>
        </is>
      </c>
      <c r="B1509" s="1" t="n">
        <v>43812</v>
      </c>
      <c r="C1509" s="1" t="n">
        <v>45710</v>
      </c>
      <c r="D1509" t="inlineStr">
        <is>
          <t>ÖSTERGÖTLANDS LÄN</t>
        </is>
      </c>
      <c r="E1509" t="inlineStr">
        <is>
          <t>NORRKÖPING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67473-2019</t>
        </is>
      </c>
      <c r="B1510" s="1" t="n">
        <v>43814</v>
      </c>
      <c r="C1510" s="1" t="n">
        <v>45710</v>
      </c>
      <c r="D1510" t="inlineStr">
        <is>
          <t>ÖSTERGÖTLANDS LÄN</t>
        </is>
      </c>
      <c r="E1510" t="inlineStr">
        <is>
          <t>BOXHOLM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67478-2019</t>
        </is>
      </c>
      <c r="B1511" s="1" t="n">
        <v>43814</v>
      </c>
      <c r="C1511" s="1" t="n">
        <v>45710</v>
      </c>
      <c r="D1511" t="inlineStr">
        <is>
          <t>ÖSTERGÖTLANDS LÄN</t>
        </is>
      </c>
      <c r="E1511" t="inlineStr">
        <is>
          <t>VALDEMARSVIK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67621-2019</t>
        </is>
      </c>
      <c r="B1512" s="1" t="n">
        <v>43815</v>
      </c>
      <c r="C1512" s="1" t="n">
        <v>45710</v>
      </c>
      <c r="D1512" t="inlineStr">
        <is>
          <t>ÖSTERGÖTLANDS LÄN</t>
        </is>
      </c>
      <c r="E1512" t="inlineStr">
        <is>
          <t>MJÖLBY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67792-2019</t>
        </is>
      </c>
      <c r="B1513" s="1" t="n">
        <v>43815</v>
      </c>
      <c r="C1513" s="1" t="n">
        <v>45710</v>
      </c>
      <c r="D1513" t="inlineStr">
        <is>
          <t>ÖSTERGÖTLANDS LÄN</t>
        </is>
      </c>
      <c r="E1513" t="inlineStr">
        <is>
          <t>ÅTVIDABERG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67778-2019</t>
        </is>
      </c>
      <c r="B1514" s="1" t="n">
        <v>43815</v>
      </c>
      <c r="C1514" s="1" t="n">
        <v>45710</v>
      </c>
      <c r="D1514" t="inlineStr">
        <is>
          <t>ÖSTERGÖTLANDS LÄN</t>
        </is>
      </c>
      <c r="E1514" t="inlineStr">
        <is>
          <t>VALDEMARSVIK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67498-2019</t>
        </is>
      </c>
      <c r="B1515" s="1" t="n">
        <v>43815</v>
      </c>
      <c r="C1515" s="1" t="n">
        <v>45710</v>
      </c>
      <c r="D1515" t="inlineStr">
        <is>
          <t>ÖSTERGÖTLANDS LÄN</t>
        </is>
      </c>
      <c r="E1515" t="inlineStr">
        <is>
          <t>FINSPÅNG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67969-2019</t>
        </is>
      </c>
      <c r="B1516" s="1" t="n">
        <v>43816</v>
      </c>
      <c r="C1516" s="1" t="n">
        <v>45710</v>
      </c>
      <c r="D1516" t="inlineStr">
        <is>
          <t>ÖSTERGÖTLANDS LÄN</t>
        </is>
      </c>
      <c r="E1516" t="inlineStr">
        <is>
          <t>LINKÖPING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68031-2019</t>
        </is>
      </c>
      <c r="B1517" s="1" t="n">
        <v>43816</v>
      </c>
      <c r="C1517" s="1" t="n">
        <v>45710</v>
      </c>
      <c r="D1517" t="inlineStr">
        <is>
          <t>ÖSTERGÖTLANDS LÄN</t>
        </is>
      </c>
      <c r="E1517" t="inlineStr">
        <is>
          <t>ÅTVIDABERG</t>
        </is>
      </c>
      <c r="F1517" t="inlineStr">
        <is>
          <t>Övriga Aktiebolag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68045-2019</t>
        </is>
      </c>
      <c r="B1518" s="1" t="n">
        <v>43816</v>
      </c>
      <c r="C1518" s="1" t="n">
        <v>45710</v>
      </c>
      <c r="D1518" t="inlineStr">
        <is>
          <t>ÖSTERGÖTLANDS LÄN</t>
        </is>
      </c>
      <c r="E1518" t="inlineStr">
        <is>
          <t>ÅTVIDABERG</t>
        </is>
      </c>
      <c r="F1518" t="inlineStr">
        <is>
          <t>Övriga Aktiebolag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68058-2019</t>
        </is>
      </c>
      <c r="B1519" s="1" t="n">
        <v>43816</v>
      </c>
      <c r="C1519" s="1" t="n">
        <v>45710</v>
      </c>
      <c r="D1519" t="inlineStr">
        <is>
          <t>ÖSTERGÖTLANDS LÄN</t>
        </is>
      </c>
      <c r="E1519" t="inlineStr">
        <is>
          <t>MOTALA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68057-2019</t>
        </is>
      </c>
      <c r="B1520" s="1" t="n">
        <v>43816</v>
      </c>
      <c r="C1520" s="1" t="n">
        <v>45710</v>
      </c>
      <c r="D1520" t="inlineStr">
        <is>
          <t>ÖSTERGÖTLANDS LÄN</t>
        </is>
      </c>
      <c r="E1520" t="inlineStr">
        <is>
          <t>MOTALA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741-2020</t>
        </is>
      </c>
      <c r="B1521" s="1" t="n">
        <v>43817</v>
      </c>
      <c r="C1521" s="1" t="n">
        <v>45710</v>
      </c>
      <c r="D1521" t="inlineStr">
        <is>
          <t>ÖSTERGÖTLANDS LÄN</t>
        </is>
      </c>
      <c r="E1521" t="inlineStr">
        <is>
          <t>VALDEMARSVIK</t>
        </is>
      </c>
      <c r="G1521" t="n">
        <v>10.7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68274-2019</t>
        </is>
      </c>
      <c r="B1522" s="1" t="n">
        <v>43817</v>
      </c>
      <c r="C1522" s="1" t="n">
        <v>45710</v>
      </c>
      <c r="D1522" t="inlineStr">
        <is>
          <t>ÖSTERGÖTLANDS LÄN</t>
        </is>
      </c>
      <c r="E1522" t="inlineStr">
        <is>
          <t>LINKÖPING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68241-2019</t>
        </is>
      </c>
      <c r="B1523" s="1" t="n">
        <v>43817</v>
      </c>
      <c r="C1523" s="1" t="n">
        <v>45710</v>
      </c>
      <c r="D1523" t="inlineStr">
        <is>
          <t>ÖSTERGÖTLANDS LÄN</t>
        </is>
      </c>
      <c r="E1523" t="inlineStr">
        <is>
          <t>ÅTVIDABERG</t>
        </is>
      </c>
      <c r="F1523" t="inlineStr">
        <is>
          <t>Övriga Aktiebolag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731-2020</t>
        </is>
      </c>
      <c r="B1524" s="1" t="n">
        <v>43817</v>
      </c>
      <c r="C1524" s="1" t="n">
        <v>45710</v>
      </c>
      <c r="D1524" t="inlineStr">
        <is>
          <t>ÖSTERGÖTLANDS LÄN</t>
        </is>
      </c>
      <c r="E1524" t="inlineStr">
        <is>
          <t>VALDEMARSVIK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68465-2019</t>
        </is>
      </c>
      <c r="B1525" s="1" t="n">
        <v>43818</v>
      </c>
      <c r="C1525" s="1" t="n">
        <v>45710</v>
      </c>
      <c r="D1525" t="inlineStr">
        <is>
          <t>ÖSTERGÖTLANDS LÄN</t>
        </is>
      </c>
      <c r="E1525" t="inlineStr">
        <is>
          <t>NORRKÖPING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68388-2019</t>
        </is>
      </c>
      <c r="B1526" s="1" t="n">
        <v>43818</v>
      </c>
      <c r="C1526" s="1" t="n">
        <v>45710</v>
      </c>
      <c r="D1526" t="inlineStr">
        <is>
          <t>ÖSTERGÖTLANDS LÄN</t>
        </is>
      </c>
      <c r="E1526" t="inlineStr">
        <is>
          <t>LINKÖPING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68453-2019</t>
        </is>
      </c>
      <c r="B1527" s="1" t="n">
        <v>43818</v>
      </c>
      <c r="C1527" s="1" t="n">
        <v>45710</v>
      </c>
      <c r="D1527" t="inlineStr">
        <is>
          <t>ÖSTERGÖTLANDS LÄN</t>
        </is>
      </c>
      <c r="E1527" t="inlineStr">
        <is>
          <t>FINSPÅNG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68395-2019</t>
        </is>
      </c>
      <c r="B1528" s="1" t="n">
        <v>43818</v>
      </c>
      <c r="C1528" s="1" t="n">
        <v>45710</v>
      </c>
      <c r="D1528" t="inlineStr">
        <is>
          <t>ÖSTERGÖTLANDS LÄN</t>
        </is>
      </c>
      <c r="E1528" t="inlineStr">
        <is>
          <t>VALDEMARSVIK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68885-2019</t>
        </is>
      </c>
      <c r="B1529" s="1" t="n">
        <v>43821</v>
      </c>
      <c r="C1529" s="1" t="n">
        <v>45710</v>
      </c>
      <c r="D1529" t="inlineStr">
        <is>
          <t>ÖSTERGÖTLANDS LÄN</t>
        </is>
      </c>
      <c r="E1529" t="inlineStr">
        <is>
          <t>VALDEMARSVIK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68886-2019</t>
        </is>
      </c>
      <c r="B1530" s="1" t="n">
        <v>43821</v>
      </c>
      <c r="C1530" s="1" t="n">
        <v>45710</v>
      </c>
      <c r="D1530" t="inlineStr">
        <is>
          <t>ÖSTERGÖTLANDS LÄN</t>
        </is>
      </c>
      <c r="E1530" t="inlineStr">
        <is>
          <t>VALDEMARSVIK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68992-2019</t>
        </is>
      </c>
      <c r="B1531" s="1" t="n">
        <v>43822</v>
      </c>
      <c r="C1531" s="1" t="n">
        <v>45710</v>
      </c>
      <c r="D1531" t="inlineStr">
        <is>
          <t>ÖSTERGÖTLANDS LÄN</t>
        </is>
      </c>
      <c r="E1531" t="inlineStr">
        <is>
          <t>FINSPÅNG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68963-2019</t>
        </is>
      </c>
      <c r="B1532" s="1" t="n">
        <v>43822</v>
      </c>
      <c r="C1532" s="1" t="n">
        <v>45710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68926-2019</t>
        </is>
      </c>
      <c r="B1533" s="1" t="n">
        <v>43822</v>
      </c>
      <c r="C1533" s="1" t="n">
        <v>45710</v>
      </c>
      <c r="D1533" t="inlineStr">
        <is>
          <t>ÖSTERGÖTLANDS LÄN</t>
        </is>
      </c>
      <c r="E1533" t="inlineStr">
        <is>
          <t>ÖDESHÖG</t>
        </is>
      </c>
      <c r="G1533" t="n">
        <v>10.3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68983-2019</t>
        </is>
      </c>
      <c r="B1534" s="1" t="n">
        <v>43825</v>
      </c>
      <c r="C1534" s="1" t="n">
        <v>45710</v>
      </c>
      <c r="D1534" t="inlineStr">
        <is>
          <t>ÖSTERGÖTLANDS LÄN</t>
        </is>
      </c>
      <c r="E1534" t="inlineStr">
        <is>
          <t>LINKÖPING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68987-2019</t>
        </is>
      </c>
      <c r="B1535" s="1" t="n">
        <v>43825</v>
      </c>
      <c r="C1535" s="1" t="n">
        <v>45710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69045-2019</t>
        </is>
      </c>
      <c r="B1536" s="1" t="n">
        <v>43826</v>
      </c>
      <c r="C1536" s="1" t="n">
        <v>45710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Övriga Aktiebolag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69105-2019</t>
        </is>
      </c>
      <c r="B1537" s="1" t="n">
        <v>43826</v>
      </c>
      <c r="C1537" s="1" t="n">
        <v>45710</v>
      </c>
      <c r="D1537" t="inlineStr">
        <is>
          <t>ÖSTERGÖTLANDS LÄN</t>
        </is>
      </c>
      <c r="E1537" t="inlineStr">
        <is>
          <t>NORRKÖPING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69112-2019</t>
        </is>
      </c>
      <c r="B1538" s="1" t="n">
        <v>43826</v>
      </c>
      <c r="C1538" s="1" t="n">
        <v>45710</v>
      </c>
      <c r="D1538" t="inlineStr">
        <is>
          <t>ÖSTERGÖTLANDS LÄN</t>
        </is>
      </c>
      <c r="E1538" t="inlineStr">
        <is>
          <t>ÖDESHÖG</t>
        </is>
      </c>
      <c r="G1538" t="n">
        <v>21.6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69103-2019</t>
        </is>
      </c>
      <c r="B1539" s="1" t="n">
        <v>43826</v>
      </c>
      <c r="C1539" s="1" t="n">
        <v>45710</v>
      </c>
      <c r="D1539" t="inlineStr">
        <is>
          <t>ÖSTERGÖTLANDS LÄN</t>
        </is>
      </c>
      <c r="E1539" t="inlineStr">
        <is>
          <t>NORRKÖPING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69084-2019</t>
        </is>
      </c>
      <c r="B1540" s="1" t="n">
        <v>43828</v>
      </c>
      <c r="C1540" s="1" t="n">
        <v>45710</v>
      </c>
      <c r="D1540" t="inlineStr">
        <is>
          <t>ÖSTERGÖTLANDS LÄN</t>
        </is>
      </c>
      <c r="E1540" t="inlineStr">
        <is>
          <t>MOTALA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69155-2019</t>
        </is>
      </c>
      <c r="B1541" s="1" t="n">
        <v>43829</v>
      </c>
      <c r="C1541" s="1" t="n">
        <v>45710</v>
      </c>
      <c r="D1541" t="inlineStr">
        <is>
          <t>ÖSTERGÖTLANDS LÄN</t>
        </is>
      </c>
      <c r="E1541" t="inlineStr">
        <is>
          <t>ÅTVIDABERG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51-2020</t>
        </is>
      </c>
      <c r="B1542" s="1" t="n">
        <v>43832</v>
      </c>
      <c r="C1542" s="1" t="n">
        <v>45710</v>
      </c>
      <c r="D1542" t="inlineStr">
        <is>
          <t>ÖSTERGÖTLANDS LÄN</t>
        </is>
      </c>
      <c r="E1542" t="inlineStr">
        <is>
          <t>SÖDERKÖPING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32-2020</t>
        </is>
      </c>
      <c r="B1543" s="1" t="n">
        <v>43832</v>
      </c>
      <c r="C1543" s="1" t="n">
        <v>45710</v>
      </c>
      <c r="D1543" t="inlineStr">
        <is>
          <t>ÖSTERGÖTLANDS LÄN</t>
        </is>
      </c>
      <c r="E1543" t="inlineStr">
        <is>
          <t>SÖDERKÖPING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58-2020</t>
        </is>
      </c>
      <c r="B1544" s="1" t="n">
        <v>43832</v>
      </c>
      <c r="C1544" s="1" t="n">
        <v>45710</v>
      </c>
      <c r="D1544" t="inlineStr">
        <is>
          <t>ÖSTERGÖTLANDS LÄN</t>
        </is>
      </c>
      <c r="E1544" t="inlineStr">
        <is>
          <t>MOTALA</t>
        </is>
      </c>
      <c r="G1544" t="n">
        <v>14.4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169-2020</t>
        </is>
      </c>
      <c r="B1545" s="1" t="n">
        <v>43833</v>
      </c>
      <c r="C1545" s="1" t="n">
        <v>45710</v>
      </c>
      <c r="D1545" t="inlineStr">
        <is>
          <t>ÖSTERGÖTLANDS LÄN</t>
        </is>
      </c>
      <c r="E1545" t="inlineStr">
        <is>
          <t>LINKÖPING</t>
        </is>
      </c>
      <c r="F1545" t="inlineStr">
        <is>
          <t>Övriga Aktiebolag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192-2020</t>
        </is>
      </c>
      <c r="B1546" s="1" t="n">
        <v>43833</v>
      </c>
      <c r="C1546" s="1" t="n">
        <v>45710</v>
      </c>
      <c r="D1546" t="inlineStr">
        <is>
          <t>ÖSTERGÖTLANDS LÄN</t>
        </is>
      </c>
      <c r="E1546" t="inlineStr">
        <is>
          <t>BOXHOLM</t>
        </is>
      </c>
      <c r="F1546" t="inlineStr">
        <is>
          <t>Övriga Aktiebolag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501-2020</t>
        </is>
      </c>
      <c r="B1547" s="1" t="n">
        <v>43837</v>
      </c>
      <c r="C1547" s="1" t="n">
        <v>45710</v>
      </c>
      <c r="D1547" t="inlineStr">
        <is>
          <t>ÖSTERGÖTLANDS LÄN</t>
        </is>
      </c>
      <c r="E1547" t="inlineStr">
        <is>
          <t>YDRE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590-2020</t>
        </is>
      </c>
      <c r="B1548" s="1" t="n">
        <v>43837</v>
      </c>
      <c r="C1548" s="1" t="n">
        <v>45710</v>
      </c>
      <c r="D1548" t="inlineStr">
        <is>
          <t>ÖSTERGÖTLANDS LÄN</t>
        </is>
      </c>
      <c r="E1548" t="inlineStr">
        <is>
          <t>YDRE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584-2020</t>
        </is>
      </c>
      <c r="B1549" s="1" t="n">
        <v>43838</v>
      </c>
      <c r="C1549" s="1" t="n">
        <v>45710</v>
      </c>
      <c r="D1549" t="inlineStr">
        <is>
          <t>ÖSTERGÖTLANDS LÄN</t>
        </is>
      </c>
      <c r="E1549" t="inlineStr">
        <is>
          <t>ÅTVIDABERG</t>
        </is>
      </c>
      <c r="F1549" t="inlineStr">
        <is>
          <t>Övriga Aktiebolag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1985-2020</t>
        </is>
      </c>
      <c r="B1550" s="1" t="n">
        <v>43838</v>
      </c>
      <c r="C1550" s="1" t="n">
        <v>45710</v>
      </c>
      <c r="D1550" t="inlineStr">
        <is>
          <t>ÖSTERGÖTLANDS LÄN</t>
        </is>
      </c>
      <c r="E1550" t="inlineStr">
        <is>
          <t>MJÖLBY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1045-2020</t>
        </is>
      </c>
      <c r="B1551" s="1" t="n">
        <v>43839</v>
      </c>
      <c r="C1551" s="1" t="n">
        <v>45710</v>
      </c>
      <c r="D1551" t="inlineStr">
        <is>
          <t>ÖSTERGÖTLANDS LÄN</t>
        </is>
      </c>
      <c r="E1551" t="inlineStr">
        <is>
          <t>YDRE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998-2020</t>
        </is>
      </c>
      <c r="B1552" s="1" t="n">
        <v>43839</v>
      </c>
      <c r="C1552" s="1" t="n">
        <v>45710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Övriga Aktiebolag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971-2020</t>
        </is>
      </c>
      <c r="B1553" s="1" t="n">
        <v>43839</v>
      </c>
      <c r="C1553" s="1" t="n">
        <v>45710</v>
      </c>
      <c r="D1553" t="inlineStr">
        <is>
          <t>ÖSTERGÖTLANDS LÄN</t>
        </is>
      </c>
      <c r="E1553" t="inlineStr">
        <is>
          <t>LINKÖPING</t>
        </is>
      </c>
      <c r="F1553" t="inlineStr">
        <is>
          <t>Övriga Aktiebolag</t>
        </is>
      </c>
      <c r="G1553" t="n">
        <v>7.9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1183-2020</t>
        </is>
      </c>
      <c r="B1554" s="1" t="n">
        <v>43840</v>
      </c>
      <c r="C1554" s="1" t="n">
        <v>45710</v>
      </c>
      <c r="D1554" t="inlineStr">
        <is>
          <t>ÖSTERGÖTLANDS LÄN</t>
        </is>
      </c>
      <c r="E1554" t="inlineStr">
        <is>
          <t>FINSPÅNG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1165-2020</t>
        </is>
      </c>
      <c r="B1555" s="1" t="n">
        <v>43840</v>
      </c>
      <c r="C1555" s="1" t="n">
        <v>45710</v>
      </c>
      <c r="D1555" t="inlineStr">
        <is>
          <t>ÖSTERGÖTLANDS LÄN</t>
        </is>
      </c>
      <c r="E1555" t="inlineStr">
        <is>
          <t>KINDA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1499-2020</t>
        </is>
      </c>
      <c r="B1556" s="1" t="n">
        <v>43843</v>
      </c>
      <c r="C1556" s="1" t="n">
        <v>45710</v>
      </c>
      <c r="D1556" t="inlineStr">
        <is>
          <t>ÖSTERGÖTLANDS LÄN</t>
        </is>
      </c>
      <c r="E1556" t="inlineStr">
        <is>
          <t>ÖDESHÖG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1398-2020</t>
        </is>
      </c>
      <c r="B1557" s="1" t="n">
        <v>43843</v>
      </c>
      <c r="C1557" s="1" t="n">
        <v>45710</v>
      </c>
      <c r="D1557" t="inlineStr">
        <is>
          <t>ÖSTERGÖTLANDS LÄN</t>
        </is>
      </c>
      <c r="E1557" t="inlineStr">
        <is>
          <t>KINDA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1399-2020</t>
        </is>
      </c>
      <c r="B1558" s="1" t="n">
        <v>43843</v>
      </c>
      <c r="C1558" s="1" t="n">
        <v>45710</v>
      </c>
      <c r="D1558" t="inlineStr">
        <is>
          <t>ÖSTERGÖTLANDS LÄN</t>
        </is>
      </c>
      <c r="E1558" t="inlineStr">
        <is>
          <t>KINDA</t>
        </is>
      </c>
      <c r="G1558" t="n">
        <v>14.7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1735-2020</t>
        </is>
      </c>
      <c r="B1559" s="1" t="n">
        <v>43844</v>
      </c>
      <c r="C1559" s="1" t="n">
        <v>45710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1827-2020</t>
        </is>
      </c>
      <c r="B1560" s="1" t="n">
        <v>43844</v>
      </c>
      <c r="C1560" s="1" t="n">
        <v>45710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1848-2020</t>
        </is>
      </c>
      <c r="B1561" s="1" t="n">
        <v>43844</v>
      </c>
      <c r="C1561" s="1" t="n">
        <v>45710</v>
      </c>
      <c r="D1561" t="inlineStr">
        <is>
          <t>ÖSTERGÖTLANDS LÄN</t>
        </is>
      </c>
      <c r="E1561" t="inlineStr">
        <is>
          <t>FINSPÅNG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3375-2020</t>
        </is>
      </c>
      <c r="B1562" s="1" t="n">
        <v>43844</v>
      </c>
      <c r="C1562" s="1" t="n">
        <v>45710</v>
      </c>
      <c r="D1562" t="inlineStr">
        <is>
          <t>ÖSTERGÖTLANDS LÄN</t>
        </is>
      </c>
      <c r="E1562" t="inlineStr">
        <is>
          <t>LINKÖPING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3413-2020</t>
        </is>
      </c>
      <c r="B1563" s="1" t="n">
        <v>43844</v>
      </c>
      <c r="C1563" s="1" t="n">
        <v>45710</v>
      </c>
      <c r="D1563" t="inlineStr">
        <is>
          <t>ÖSTERGÖTLANDS LÄN</t>
        </is>
      </c>
      <c r="E1563" t="inlineStr">
        <is>
          <t>MOTALA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1925-2020</t>
        </is>
      </c>
      <c r="B1564" s="1" t="n">
        <v>43845</v>
      </c>
      <c r="C1564" s="1" t="n">
        <v>45710</v>
      </c>
      <c r="D1564" t="inlineStr">
        <is>
          <t>ÖSTERGÖTLANDS LÄN</t>
        </is>
      </c>
      <c r="E1564" t="inlineStr">
        <is>
          <t>VALDEMARSVIK</t>
        </is>
      </c>
      <c r="G1564" t="n">
        <v>22.8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2351-2020</t>
        </is>
      </c>
      <c r="B1565" s="1" t="n">
        <v>43846</v>
      </c>
      <c r="C1565" s="1" t="n">
        <v>45710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22.2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2111-2020</t>
        </is>
      </c>
      <c r="B1566" s="1" t="n">
        <v>43846</v>
      </c>
      <c r="C1566" s="1" t="n">
        <v>45710</v>
      </c>
      <c r="D1566" t="inlineStr">
        <is>
          <t>ÖSTERGÖTLANDS LÄN</t>
        </is>
      </c>
      <c r="E1566" t="inlineStr">
        <is>
          <t>SÖDERKÖPING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2349-2020</t>
        </is>
      </c>
      <c r="B1567" s="1" t="n">
        <v>43846</v>
      </c>
      <c r="C1567" s="1" t="n">
        <v>45710</v>
      </c>
      <c r="D1567" t="inlineStr">
        <is>
          <t>ÖSTERGÖTLANDS LÄN</t>
        </is>
      </c>
      <c r="E1567" t="inlineStr">
        <is>
          <t>FINSPÅNG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2354-2020</t>
        </is>
      </c>
      <c r="B1568" s="1" t="n">
        <v>43846</v>
      </c>
      <c r="C1568" s="1" t="n">
        <v>45710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7.6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2444-2020</t>
        </is>
      </c>
      <c r="B1569" s="1" t="n">
        <v>43847</v>
      </c>
      <c r="C1569" s="1" t="n">
        <v>45710</v>
      </c>
      <c r="D1569" t="inlineStr">
        <is>
          <t>ÖSTERGÖTLANDS LÄN</t>
        </is>
      </c>
      <c r="E1569" t="inlineStr">
        <is>
          <t>LINKÖPING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2471-2020</t>
        </is>
      </c>
      <c r="B1570" s="1" t="n">
        <v>43847</v>
      </c>
      <c r="C1570" s="1" t="n">
        <v>45710</v>
      </c>
      <c r="D1570" t="inlineStr">
        <is>
          <t>ÖSTERGÖTLANDS LÄN</t>
        </is>
      </c>
      <c r="E1570" t="inlineStr">
        <is>
          <t>LINKÖPING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2406-2020</t>
        </is>
      </c>
      <c r="B1571" s="1" t="n">
        <v>43847</v>
      </c>
      <c r="C1571" s="1" t="n">
        <v>45710</v>
      </c>
      <c r="D1571" t="inlineStr">
        <is>
          <t>ÖSTERGÖTLANDS LÄN</t>
        </is>
      </c>
      <c r="E1571" t="inlineStr">
        <is>
          <t>ÅTVIDABERG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2826-2020</t>
        </is>
      </c>
      <c r="B1572" s="1" t="n">
        <v>43850</v>
      </c>
      <c r="C1572" s="1" t="n">
        <v>45710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2941-2020</t>
        </is>
      </c>
      <c r="B1573" s="1" t="n">
        <v>43850</v>
      </c>
      <c r="C1573" s="1" t="n">
        <v>45710</v>
      </c>
      <c r="D1573" t="inlineStr">
        <is>
          <t>ÖSTERGÖTLANDS LÄN</t>
        </is>
      </c>
      <c r="E1573" t="inlineStr">
        <is>
          <t>YDRE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2824-2020</t>
        </is>
      </c>
      <c r="B1574" s="1" t="n">
        <v>43850</v>
      </c>
      <c r="C1574" s="1" t="n">
        <v>45710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2990-2020</t>
        </is>
      </c>
      <c r="B1575" s="1" t="n">
        <v>43850</v>
      </c>
      <c r="C1575" s="1" t="n">
        <v>45710</v>
      </c>
      <c r="D1575" t="inlineStr">
        <is>
          <t>ÖSTERGÖTLANDS LÄN</t>
        </is>
      </c>
      <c r="E1575" t="inlineStr">
        <is>
          <t>KINDA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3077-2020</t>
        </is>
      </c>
      <c r="B1576" s="1" t="n">
        <v>43851</v>
      </c>
      <c r="C1576" s="1" t="n">
        <v>45710</v>
      </c>
      <c r="D1576" t="inlineStr">
        <is>
          <t>ÖSTERGÖTLANDS LÄN</t>
        </is>
      </c>
      <c r="E1576" t="inlineStr">
        <is>
          <t>YDRE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3134-2020</t>
        </is>
      </c>
      <c r="B1577" s="1" t="n">
        <v>43851</v>
      </c>
      <c r="C1577" s="1" t="n">
        <v>45710</v>
      </c>
      <c r="D1577" t="inlineStr">
        <is>
          <t>ÖSTERGÖTLANDS LÄN</t>
        </is>
      </c>
      <c r="E1577" t="inlineStr">
        <is>
          <t>FINSPÅNG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3192-2020</t>
        </is>
      </c>
      <c r="B1578" s="1" t="n">
        <v>43851</v>
      </c>
      <c r="C1578" s="1" t="n">
        <v>45710</v>
      </c>
      <c r="D1578" t="inlineStr">
        <is>
          <t>ÖSTERGÖTLANDS LÄN</t>
        </is>
      </c>
      <c r="E1578" t="inlineStr">
        <is>
          <t>VADSTENA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3201-2020</t>
        </is>
      </c>
      <c r="B1579" s="1" t="n">
        <v>43851</v>
      </c>
      <c r="C1579" s="1" t="n">
        <v>45710</v>
      </c>
      <c r="D1579" t="inlineStr">
        <is>
          <t>ÖSTERGÖTLANDS LÄN</t>
        </is>
      </c>
      <c r="E1579" t="inlineStr">
        <is>
          <t>LINKÖPING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4513-2020</t>
        </is>
      </c>
      <c r="B1580" s="1" t="n">
        <v>43851</v>
      </c>
      <c r="C1580" s="1" t="n">
        <v>45710</v>
      </c>
      <c r="D1580" t="inlineStr">
        <is>
          <t>ÖSTERGÖTLANDS LÄN</t>
        </is>
      </c>
      <c r="E1580" t="inlineStr">
        <is>
          <t>YDRE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3408-2020</t>
        </is>
      </c>
      <c r="B1581" s="1" t="n">
        <v>43852</v>
      </c>
      <c r="C1581" s="1" t="n">
        <v>45710</v>
      </c>
      <c r="D1581" t="inlineStr">
        <is>
          <t>ÖSTERGÖTLANDS LÄN</t>
        </is>
      </c>
      <c r="E1581" t="inlineStr">
        <is>
          <t>BOXHOLM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3416-2020</t>
        </is>
      </c>
      <c r="B1582" s="1" t="n">
        <v>43852</v>
      </c>
      <c r="C1582" s="1" t="n">
        <v>45710</v>
      </c>
      <c r="D1582" t="inlineStr">
        <is>
          <t>ÖSTERGÖTLANDS LÄN</t>
        </is>
      </c>
      <c r="E1582" t="inlineStr">
        <is>
          <t>KINDA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3372-2020</t>
        </is>
      </c>
      <c r="B1583" s="1" t="n">
        <v>43852</v>
      </c>
      <c r="C1583" s="1" t="n">
        <v>45710</v>
      </c>
      <c r="D1583" t="inlineStr">
        <is>
          <t>ÖSTERGÖTLANDS LÄN</t>
        </is>
      </c>
      <c r="E1583" t="inlineStr">
        <is>
          <t>FINSPÅNG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3435-2020</t>
        </is>
      </c>
      <c r="B1584" s="1" t="n">
        <v>43852</v>
      </c>
      <c r="C1584" s="1" t="n">
        <v>45710</v>
      </c>
      <c r="D1584" t="inlineStr">
        <is>
          <t>ÖSTERGÖTLANDS LÄN</t>
        </is>
      </c>
      <c r="E1584" t="inlineStr">
        <is>
          <t>VALDEMARSVIK</t>
        </is>
      </c>
      <c r="G1584" t="n">
        <v>6.4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3613-2020</t>
        </is>
      </c>
      <c r="B1585" s="1" t="n">
        <v>43853</v>
      </c>
      <c r="C1585" s="1" t="n">
        <v>45710</v>
      </c>
      <c r="D1585" t="inlineStr">
        <is>
          <t>ÖSTERGÖTLANDS LÄN</t>
        </is>
      </c>
      <c r="E1585" t="inlineStr">
        <is>
          <t>BOXHOLM</t>
        </is>
      </c>
      <c r="F1585" t="inlineStr">
        <is>
          <t>Övriga Aktiebolag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3649-2020</t>
        </is>
      </c>
      <c r="B1586" s="1" t="n">
        <v>43853</v>
      </c>
      <c r="C1586" s="1" t="n">
        <v>45710</v>
      </c>
      <c r="D1586" t="inlineStr">
        <is>
          <t>ÖSTERGÖTLANDS LÄN</t>
        </is>
      </c>
      <c r="E1586" t="inlineStr">
        <is>
          <t>FINSPÅNG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3647-2020</t>
        </is>
      </c>
      <c r="B1587" s="1" t="n">
        <v>43853</v>
      </c>
      <c r="C1587" s="1" t="n">
        <v>45710</v>
      </c>
      <c r="D1587" t="inlineStr">
        <is>
          <t>ÖSTERGÖTLANDS LÄN</t>
        </is>
      </c>
      <c r="E1587" t="inlineStr">
        <is>
          <t>FINSPÅNG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3503-2020</t>
        </is>
      </c>
      <c r="B1588" s="1" t="n">
        <v>43853</v>
      </c>
      <c r="C1588" s="1" t="n">
        <v>45710</v>
      </c>
      <c r="D1588" t="inlineStr">
        <is>
          <t>ÖSTERGÖTLANDS LÄN</t>
        </is>
      </c>
      <c r="E1588" t="inlineStr">
        <is>
          <t>LINKÖPING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3946-2020</t>
        </is>
      </c>
      <c r="B1589" s="1" t="n">
        <v>43854</v>
      </c>
      <c r="C1589" s="1" t="n">
        <v>45710</v>
      </c>
      <c r="D1589" t="inlineStr">
        <is>
          <t>ÖSTERGÖTLANDS LÄN</t>
        </is>
      </c>
      <c r="E1589" t="inlineStr">
        <is>
          <t>ÖDESHÖG</t>
        </is>
      </c>
      <c r="F1589" t="inlineStr">
        <is>
          <t>Allmännings- och besparingsskogar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3964-2020</t>
        </is>
      </c>
      <c r="B1590" s="1" t="n">
        <v>43854</v>
      </c>
      <c r="C1590" s="1" t="n">
        <v>45710</v>
      </c>
      <c r="D1590" t="inlineStr">
        <is>
          <t>ÖSTERGÖTLANDS LÄN</t>
        </is>
      </c>
      <c r="E1590" t="inlineStr">
        <is>
          <t>YDRE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4107-2020</t>
        </is>
      </c>
      <c r="B1591" s="1" t="n">
        <v>43857</v>
      </c>
      <c r="C1591" s="1" t="n">
        <v>45710</v>
      </c>
      <c r="D1591" t="inlineStr">
        <is>
          <t>ÖSTERGÖTLANDS LÄN</t>
        </is>
      </c>
      <c r="E1591" t="inlineStr">
        <is>
          <t>ÅTVIDABERG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4167-2020</t>
        </is>
      </c>
      <c r="B1592" s="1" t="n">
        <v>43857</v>
      </c>
      <c r="C1592" s="1" t="n">
        <v>45710</v>
      </c>
      <c r="D1592" t="inlineStr">
        <is>
          <t>ÖSTERGÖTLANDS LÄN</t>
        </is>
      </c>
      <c r="E1592" t="inlineStr">
        <is>
          <t>FINSPÅNG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4207-2020</t>
        </is>
      </c>
      <c r="B1593" s="1" t="n">
        <v>43857</v>
      </c>
      <c r="C1593" s="1" t="n">
        <v>45710</v>
      </c>
      <c r="D1593" t="inlineStr">
        <is>
          <t>ÖSTERGÖTLANDS LÄN</t>
        </is>
      </c>
      <c r="E1593" t="inlineStr">
        <is>
          <t>NORRKÖPING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4247-2020</t>
        </is>
      </c>
      <c r="B1594" s="1" t="n">
        <v>43857</v>
      </c>
      <c r="C1594" s="1" t="n">
        <v>45710</v>
      </c>
      <c r="D1594" t="inlineStr">
        <is>
          <t>ÖSTERGÖTLANDS LÄN</t>
        </is>
      </c>
      <c r="E1594" t="inlineStr">
        <is>
          <t>NORRKÖPING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4133-2020</t>
        </is>
      </c>
      <c r="B1595" s="1" t="n">
        <v>43857</v>
      </c>
      <c r="C1595" s="1" t="n">
        <v>45710</v>
      </c>
      <c r="D1595" t="inlineStr">
        <is>
          <t>ÖSTERGÖTLANDS LÄN</t>
        </is>
      </c>
      <c r="E1595" t="inlineStr">
        <is>
          <t>MJÖLBY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4199-2020</t>
        </is>
      </c>
      <c r="B1596" s="1" t="n">
        <v>43857</v>
      </c>
      <c r="C1596" s="1" t="n">
        <v>45710</v>
      </c>
      <c r="D1596" t="inlineStr">
        <is>
          <t>ÖSTERGÖTLANDS LÄN</t>
        </is>
      </c>
      <c r="E1596" t="inlineStr">
        <is>
          <t>NORRKÖPING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4278-2020</t>
        </is>
      </c>
      <c r="B1597" s="1" t="n">
        <v>43857</v>
      </c>
      <c r="C1597" s="1" t="n">
        <v>45710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4162-2020</t>
        </is>
      </c>
      <c r="B1598" s="1" t="n">
        <v>43857</v>
      </c>
      <c r="C1598" s="1" t="n">
        <v>45710</v>
      </c>
      <c r="D1598" t="inlineStr">
        <is>
          <t>ÖSTERGÖTLANDS LÄN</t>
        </is>
      </c>
      <c r="E1598" t="inlineStr">
        <is>
          <t>LINKÖPING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4176-2020</t>
        </is>
      </c>
      <c r="B1599" s="1" t="n">
        <v>43857</v>
      </c>
      <c r="C1599" s="1" t="n">
        <v>45710</v>
      </c>
      <c r="D1599" t="inlineStr">
        <is>
          <t>ÖSTERGÖTLANDS LÄN</t>
        </is>
      </c>
      <c r="E1599" t="inlineStr">
        <is>
          <t>MJÖLBY</t>
        </is>
      </c>
      <c r="F1599" t="inlineStr">
        <is>
          <t>Kyrkan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4195-2020</t>
        </is>
      </c>
      <c r="B1600" s="1" t="n">
        <v>43857</v>
      </c>
      <c r="C1600" s="1" t="n">
        <v>45710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4250-2020</t>
        </is>
      </c>
      <c r="B1601" s="1" t="n">
        <v>43857</v>
      </c>
      <c r="C1601" s="1" t="n">
        <v>45710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5369-2020</t>
        </is>
      </c>
      <c r="B1602" s="1" t="n">
        <v>43857</v>
      </c>
      <c r="C1602" s="1" t="n">
        <v>45710</v>
      </c>
      <c r="D1602" t="inlineStr">
        <is>
          <t>ÖSTERGÖTLANDS LÄN</t>
        </is>
      </c>
      <c r="E1602" t="inlineStr">
        <is>
          <t>LINKÖPING</t>
        </is>
      </c>
      <c r="G1602" t="n">
        <v>17.8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4091-2020</t>
        </is>
      </c>
      <c r="B1603" s="1" t="n">
        <v>43857</v>
      </c>
      <c r="C1603" s="1" t="n">
        <v>45710</v>
      </c>
      <c r="D1603" t="inlineStr">
        <is>
          <t>ÖSTERGÖTLANDS LÄN</t>
        </is>
      </c>
      <c r="E1603" t="inlineStr">
        <is>
          <t>MJÖLBY</t>
        </is>
      </c>
      <c r="F1603" t="inlineStr">
        <is>
          <t>Kyrkan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4315-2020</t>
        </is>
      </c>
      <c r="B1604" s="1" t="n">
        <v>43857</v>
      </c>
      <c r="C1604" s="1" t="n">
        <v>45710</v>
      </c>
      <c r="D1604" t="inlineStr">
        <is>
          <t>ÖSTERGÖTLANDS LÄN</t>
        </is>
      </c>
      <c r="E1604" t="inlineStr">
        <is>
          <t>FINSPÅNG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4248-2020</t>
        </is>
      </c>
      <c r="B1605" s="1" t="n">
        <v>43857</v>
      </c>
      <c r="C1605" s="1" t="n">
        <v>45710</v>
      </c>
      <c r="D1605" t="inlineStr">
        <is>
          <t>ÖSTERGÖTLANDS LÄN</t>
        </is>
      </c>
      <c r="E1605" t="inlineStr">
        <is>
          <t>NORRKÖPING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4397-2020</t>
        </is>
      </c>
      <c r="B1606" s="1" t="n">
        <v>43858</v>
      </c>
      <c r="C1606" s="1" t="n">
        <v>45710</v>
      </c>
      <c r="D1606" t="inlineStr">
        <is>
          <t>ÖSTERGÖTLANDS LÄN</t>
        </is>
      </c>
      <c r="E1606" t="inlineStr">
        <is>
          <t>ÅTVIDABERG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4428-2020</t>
        </is>
      </c>
      <c r="B1607" s="1" t="n">
        <v>43858</v>
      </c>
      <c r="C1607" s="1" t="n">
        <v>45710</v>
      </c>
      <c r="D1607" t="inlineStr">
        <is>
          <t>ÖSTERGÖTLANDS LÄN</t>
        </is>
      </c>
      <c r="E1607" t="inlineStr">
        <is>
          <t>KINDA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4511-2020</t>
        </is>
      </c>
      <c r="B1608" s="1" t="n">
        <v>43858</v>
      </c>
      <c r="C1608" s="1" t="n">
        <v>45710</v>
      </c>
      <c r="D1608" t="inlineStr">
        <is>
          <t>ÖSTERGÖTLANDS LÄN</t>
        </is>
      </c>
      <c r="E1608" t="inlineStr">
        <is>
          <t>KINDA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4507-2020</t>
        </is>
      </c>
      <c r="B1609" s="1" t="n">
        <v>43858</v>
      </c>
      <c r="C1609" s="1" t="n">
        <v>45710</v>
      </c>
      <c r="D1609" t="inlineStr">
        <is>
          <t>ÖSTERGÖTLANDS LÄN</t>
        </is>
      </c>
      <c r="E1609" t="inlineStr">
        <is>
          <t>LINKÖPING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4585-2020</t>
        </is>
      </c>
      <c r="B1610" s="1" t="n">
        <v>43858</v>
      </c>
      <c r="C1610" s="1" t="n">
        <v>45710</v>
      </c>
      <c r="D1610" t="inlineStr">
        <is>
          <t>ÖSTERGÖTLANDS LÄN</t>
        </is>
      </c>
      <c r="E1610" t="inlineStr">
        <is>
          <t>LINKÖPING</t>
        </is>
      </c>
      <c r="G1610" t="n">
        <v>20.2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4454-2020</t>
        </is>
      </c>
      <c r="B1611" s="1" t="n">
        <v>43858</v>
      </c>
      <c r="C1611" s="1" t="n">
        <v>45710</v>
      </c>
      <c r="D1611" t="inlineStr">
        <is>
          <t>ÖSTERGÖTLANDS LÄN</t>
        </is>
      </c>
      <c r="E1611" t="inlineStr">
        <is>
          <t>KINDA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4710-2020</t>
        </is>
      </c>
      <c r="B1612" s="1" t="n">
        <v>43858</v>
      </c>
      <c r="C1612" s="1" t="n">
        <v>45710</v>
      </c>
      <c r="D1612" t="inlineStr">
        <is>
          <t>ÖSTERGÖTLANDS LÄN</t>
        </is>
      </c>
      <c r="E1612" t="inlineStr">
        <is>
          <t>KINDA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4671-2020</t>
        </is>
      </c>
      <c r="B1613" s="1" t="n">
        <v>43858</v>
      </c>
      <c r="C1613" s="1" t="n">
        <v>45710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Övriga Aktiebolag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4712-2020</t>
        </is>
      </c>
      <c r="B1614" s="1" t="n">
        <v>43858</v>
      </c>
      <c r="C1614" s="1" t="n">
        <v>45710</v>
      </c>
      <c r="D1614" t="inlineStr">
        <is>
          <t>ÖSTERGÖTLANDS LÄN</t>
        </is>
      </c>
      <c r="E1614" t="inlineStr">
        <is>
          <t>FINSPÅNG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4720-2020</t>
        </is>
      </c>
      <c r="B1615" s="1" t="n">
        <v>43858</v>
      </c>
      <c r="C1615" s="1" t="n">
        <v>45710</v>
      </c>
      <c r="D1615" t="inlineStr">
        <is>
          <t>ÖSTERGÖTLANDS LÄN</t>
        </is>
      </c>
      <c r="E1615" t="inlineStr">
        <is>
          <t>ÖDESHÖG</t>
        </is>
      </c>
      <c r="F1615" t="inlineStr">
        <is>
          <t>Allmännings- och besparingsskogar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4713-2020</t>
        </is>
      </c>
      <c r="B1616" s="1" t="n">
        <v>43858</v>
      </c>
      <c r="C1616" s="1" t="n">
        <v>45710</v>
      </c>
      <c r="D1616" t="inlineStr">
        <is>
          <t>ÖSTERGÖTLANDS LÄN</t>
        </is>
      </c>
      <c r="E1616" t="inlineStr">
        <is>
          <t>FINSPÅNG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4922-2020</t>
        </is>
      </c>
      <c r="B1617" s="1" t="n">
        <v>43859</v>
      </c>
      <c r="C1617" s="1" t="n">
        <v>45710</v>
      </c>
      <c r="D1617" t="inlineStr">
        <is>
          <t>ÖSTERGÖTLANDS LÄN</t>
        </is>
      </c>
      <c r="E1617" t="inlineStr">
        <is>
          <t>MOTALA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4955-2020</t>
        </is>
      </c>
      <c r="B1618" s="1" t="n">
        <v>43859</v>
      </c>
      <c r="C1618" s="1" t="n">
        <v>45710</v>
      </c>
      <c r="D1618" t="inlineStr">
        <is>
          <t>ÖSTERGÖTLANDS LÄN</t>
        </is>
      </c>
      <c r="E1618" t="inlineStr">
        <is>
          <t>SÖDERKÖPING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4780-2020</t>
        </is>
      </c>
      <c r="B1619" s="1" t="n">
        <v>43859</v>
      </c>
      <c r="C1619" s="1" t="n">
        <v>45710</v>
      </c>
      <c r="D1619" t="inlineStr">
        <is>
          <t>ÖSTERGÖTLANDS LÄN</t>
        </is>
      </c>
      <c r="E1619" t="inlineStr">
        <is>
          <t>ÖDESHÖG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4811-2020</t>
        </is>
      </c>
      <c r="B1620" s="1" t="n">
        <v>43859</v>
      </c>
      <c r="C1620" s="1" t="n">
        <v>45710</v>
      </c>
      <c r="D1620" t="inlineStr">
        <is>
          <t>ÖSTERGÖTLANDS LÄN</t>
        </is>
      </c>
      <c r="E1620" t="inlineStr">
        <is>
          <t>FINSPÅNG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4919-2020</t>
        </is>
      </c>
      <c r="B1621" s="1" t="n">
        <v>43859</v>
      </c>
      <c r="C1621" s="1" t="n">
        <v>45710</v>
      </c>
      <c r="D1621" t="inlineStr">
        <is>
          <t>ÖSTERGÖTLANDS LÄN</t>
        </is>
      </c>
      <c r="E1621" t="inlineStr">
        <is>
          <t>MOTALA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4949-2020</t>
        </is>
      </c>
      <c r="B1622" s="1" t="n">
        <v>43859</v>
      </c>
      <c r="C1622" s="1" t="n">
        <v>45710</v>
      </c>
      <c r="D1622" t="inlineStr">
        <is>
          <t>ÖSTERGÖTLANDS LÄN</t>
        </is>
      </c>
      <c r="E1622" t="inlineStr">
        <is>
          <t>LINKÖPING</t>
        </is>
      </c>
      <c r="F1622" t="inlineStr">
        <is>
          <t>Övriga Aktiebolag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4917-2020</t>
        </is>
      </c>
      <c r="B1623" s="1" t="n">
        <v>43859</v>
      </c>
      <c r="C1623" s="1" t="n">
        <v>45710</v>
      </c>
      <c r="D1623" t="inlineStr">
        <is>
          <t>ÖSTERGÖTLANDS LÄN</t>
        </is>
      </c>
      <c r="E1623" t="inlineStr">
        <is>
          <t>MOTALA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4927-2020</t>
        </is>
      </c>
      <c r="B1624" s="1" t="n">
        <v>43859</v>
      </c>
      <c r="C1624" s="1" t="n">
        <v>45710</v>
      </c>
      <c r="D1624" t="inlineStr">
        <is>
          <t>ÖSTERGÖTLANDS LÄN</t>
        </is>
      </c>
      <c r="E1624" t="inlineStr">
        <is>
          <t>MOTALA</t>
        </is>
      </c>
      <c r="G1624" t="n">
        <v>16.2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4923-2020</t>
        </is>
      </c>
      <c r="B1625" s="1" t="n">
        <v>43859</v>
      </c>
      <c r="C1625" s="1" t="n">
        <v>45710</v>
      </c>
      <c r="D1625" t="inlineStr">
        <is>
          <t>ÖSTERGÖTLANDS LÄN</t>
        </is>
      </c>
      <c r="E1625" t="inlineStr">
        <is>
          <t>MOTALA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4977-2020</t>
        </is>
      </c>
      <c r="B1626" s="1" t="n">
        <v>43859</v>
      </c>
      <c r="C1626" s="1" t="n">
        <v>45710</v>
      </c>
      <c r="D1626" t="inlineStr">
        <is>
          <t>ÖSTERGÖTLANDS LÄN</t>
        </is>
      </c>
      <c r="E1626" t="inlineStr">
        <is>
          <t>SÖDERKÖPING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5083-2020</t>
        </is>
      </c>
      <c r="B1627" s="1" t="n">
        <v>43859</v>
      </c>
      <c r="C1627" s="1" t="n">
        <v>45710</v>
      </c>
      <c r="D1627" t="inlineStr">
        <is>
          <t>ÖSTERGÖTLANDS LÄN</t>
        </is>
      </c>
      <c r="E1627" t="inlineStr">
        <is>
          <t>YDRE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5088-2020</t>
        </is>
      </c>
      <c r="B1628" s="1" t="n">
        <v>43859</v>
      </c>
      <c r="C1628" s="1" t="n">
        <v>45710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5091-2020</t>
        </is>
      </c>
      <c r="B1629" s="1" t="n">
        <v>43859</v>
      </c>
      <c r="C1629" s="1" t="n">
        <v>45710</v>
      </c>
      <c r="D1629" t="inlineStr">
        <is>
          <t>ÖSTERGÖTLANDS LÄN</t>
        </is>
      </c>
      <c r="E1629" t="inlineStr">
        <is>
          <t>FINSPÅNG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4988-2020</t>
        </is>
      </c>
      <c r="B1630" s="1" t="n">
        <v>43859</v>
      </c>
      <c r="C1630" s="1" t="n">
        <v>45710</v>
      </c>
      <c r="D1630" t="inlineStr">
        <is>
          <t>ÖSTERGÖTLANDS LÄN</t>
        </is>
      </c>
      <c r="E1630" t="inlineStr">
        <is>
          <t>SÖDERKÖPING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5078-2020</t>
        </is>
      </c>
      <c r="B1631" s="1" t="n">
        <v>43859</v>
      </c>
      <c r="C1631" s="1" t="n">
        <v>45710</v>
      </c>
      <c r="D1631" t="inlineStr">
        <is>
          <t>ÖSTERGÖTLANDS LÄN</t>
        </is>
      </c>
      <c r="E1631" t="inlineStr">
        <is>
          <t>YDRE</t>
        </is>
      </c>
      <c r="G1631" t="n">
        <v>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5042-2020</t>
        </is>
      </c>
      <c r="B1632" s="1" t="n">
        <v>43859</v>
      </c>
      <c r="C1632" s="1" t="n">
        <v>45710</v>
      </c>
      <c r="D1632" t="inlineStr">
        <is>
          <t>ÖSTERGÖTLANDS LÄN</t>
        </is>
      </c>
      <c r="E1632" t="inlineStr">
        <is>
          <t>LINKÖPING</t>
        </is>
      </c>
      <c r="F1632" t="inlineStr">
        <is>
          <t>Övriga Aktiebolag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5217-2020</t>
        </is>
      </c>
      <c r="B1633" s="1" t="n">
        <v>43860</v>
      </c>
      <c r="C1633" s="1" t="n">
        <v>45710</v>
      </c>
      <c r="D1633" t="inlineStr">
        <is>
          <t>ÖSTERGÖTLANDS LÄN</t>
        </is>
      </c>
      <c r="E1633" t="inlineStr">
        <is>
          <t>VALDEMARSVIK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5238-2020</t>
        </is>
      </c>
      <c r="B1634" s="1" t="n">
        <v>43860</v>
      </c>
      <c r="C1634" s="1" t="n">
        <v>45710</v>
      </c>
      <c r="D1634" t="inlineStr">
        <is>
          <t>ÖSTERGÖTLANDS LÄN</t>
        </is>
      </c>
      <c r="E1634" t="inlineStr">
        <is>
          <t>KINDA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5381-2020</t>
        </is>
      </c>
      <c r="B1635" s="1" t="n">
        <v>43860</v>
      </c>
      <c r="C1635" s="1" t="n">
        <v>45710</v>
      </c>
      <c r="D1635" t="inlineStr">
        <is>
          <t>ÖSTERGÖTLANDS LÄN</t>
        </is>
      </c>
      <c r="E1635" t="inlineStr">
        <is>
          <t>KINDA</t>
        </is>
      </c>
      <c r="F1635" t="inlineStr">
        <is>
          <t>Kommuner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5255-2020</t>
        </is>
      </c>
      <c r="B1636" s="1" t="n">
        <v>43860</v>
      </c>
      <c r="C1636" s="1" t="n">
        <v>45710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Kyrkan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5294-2020</t>
        </is>
      </c>
      <c r="B1637" s="1" t="n">
        <v>43860</v>
      </c>
      <c r="C1637" s="1" t="n">
        <v>45710</v>
      </c>
      <c r="D1637" t="inlineStr">
        <is>
          <t>ÖSTERGÖTLANDS LÄN</t>
        </is>
      </c>
      <c r="E1637" t="inlineStr">
        <is>
          <t>NORRKÖPING</t>
        </is>
      </c>
      <c r="G1637" t="n">
        <v>10.1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5293-2020</t>
        </is>
      </c>
      <c r="B1638" s="1" t="n">
        <v>43860</v>
      </c>
      <c r="C1638" s="1" t="n">
        <v>45710</v>
      </c>
      <c r="D1638" t="inlineStr">
        <is>
          <t>ÖSTERGÖTLANDS LÄN</t>
        </is>
      </c>
      <c r="E1638" t="inlineStr">
        <is>
          <t>SÖDERKÖPING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5376-2020</t>
        </is>
      </c>
      <c r="B1639" s="1" t="n">
        <v>43860</v>
      </c>
      <c r="C1639" s="1" t="n">
        <v>45710</v>
      </c>
      <c r="D1639" t="inlineStr">
        <is>
          <t>ÖSTERGÖTLANDS LÄN</t>
        </is>
      </c>
      <c r="E1639" t="inlineStr">
        <is>
          <t>KINDA</t>
        </is>
      </c>
      <c r="F1639" t="inlineStr">
        <is>
          <t>Kommuner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5412-2020</t>
        </is>
      </c>
      <c r="B1640" s="1" t="n">
        <v>43860</v>
      </c>
      <c r="C1640" s="1" t="n">
        <v>45710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5371-2020</t>
        </is>
      </c>
      <c r="B1641" s="1" t="n">
        <v>43860</v>
      </c>
      <c r="C1641" s="1" t="n">
        <v>45710</v>
      </c>
      <c r="D1641" t="inlineStr">
        <is>
          <t>ÖSTERGÖTLANDS LÄN</t>
        </is>
      </c>
      <c r="E1641" t="inlineStr">
        <is>
          <t>KINDA</t>
        </is>
      </c>
      <c r="F1641" t="inlineStr">
        <is>
          <t>Kommuner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5374-2020</t>
        </is>
      </c>
      <c r="B1642" s="1" t="n">
        <v>43860</v>
      </c>
      <c r="C1642" s="1" t="n">
        <v>45710</v>
      </c>
      <c r="D1642" t="inlineStr">
        <is>
          <t>ÖSTERGÖTLANDS LÄN</t>
        </is>
      </c>
      <c r="E1642" t="inlineStr">
        <is>
          <t>KINDA</t>
        </is>
      </c>
      <c r="F1642" t="inlineStr">
        <is>
          <t>Kommuner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5386-2020</t>
        </is>
      </c>
      <c r="B1643" s="1" t="n">
        <v>43860</v>
      </c>
      <c r="C1643" s="1" t="n">
        <v>45710</v>
      </c>
      <c r="D1643" t="inlineStr">
        <is>
          <t>ÖSTERGÖTLANDS LÄN</t>
        </is>
      </c>
      <c r="E1643" t="inlineStr">
        <is>
          <t>ÅTVIDABERG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5305-2020</t>
        </is>
      </c>
      <c r="B1644" s="1" t="n">
        <v>43860</v>
      </c>
      <c r="C1644" s="1" t="n">
        <v>45710</v>
      </c>
      <c r="D1644" t="inlineStr">
        <is>
          <t>ÖSTERGÖTLANDS LÄN</t>
        </is>
      </c>
      <c r="E1644" t="inlineStr">
        <is>
          <t>NORRKÖPING</t>
        </is>
      </c>
      <c r="G1644" t="n">
        <v>6.6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5512-2020</t>
        </is>
      </c>
      <c r="B1645" s="1" t="n">
        <v>43861</v>
      </c>
      <c r="C1645" s="1" t="n">
        <v>45710</v>
      </c>
      <c r="D1645" t="inlineStr">
        <is>
          <t>ÖSTERGÖTLANDS LÄN</t>
        </is>
      </c>
      <c r="E1645" t="inlineStr">
        <is>
          <t>BOXHOLM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5660-2020</t>
        </is>
      </c>
      <c r="B1646" s="1" t="n">
        <v>43861</v>
      </c>
      <c r="C1646" s="1" t="n">
        <v>45710</v>
      </c>
      <c r="D1646" t="inlineStr">
        <is>
          <t>ÖSTERGÖTLANDS LÄN</t>
        </is>
      </c>
      <c r="E1646" t="inlineStr">
        <is>
          <t>SÖDERKÖPING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5726-2020</t>
        </is>
      </c>
      <c r="B1647" s="1" t="n">
        <v>43862</v>
      </c>
      <c r="C1647" s="1" t="n">
        <v>45710</v>
      </c>
      <c r="D1647" t="inlineStr">
        <is>
          <t>ÖSTERGÖTLANDS LÄN</t>
        </is>
      </c>
      <c r="E1647" t="inlineStr">
        <is>
          <t>FINSPÅNG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5730-2020</t>
        </is>
      </c>
      <c r="B1648" s="1" t="n">
        <v>43862</v>
      </c>
      <c r="C1648" s="1" t="n">
        <v>45710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5909-2020</t>
        </is>
      </c>
      <c r="B1649" s="1" t="n">
        <v>43864</v>
      </c>
      <c r="C1649" s="1" t="n">
        <v>45710</v>
      </c>
      <c r="D1649" t="inlineStr">
        <is>
          <t>ÖSTERGÖTLANDS LÄN</t>
        </is>
      </c>
      <c r="E1649" t="inlineStr">
        <is>
          <t>LINKÖPING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5939-2020</t>
        </is>
      </c>
      <c r="B1650" s="1" t="n">
        <v>43864</v>
      </c>
      <c r="C1650" s="1" t="n">
        <v>45710</v>
      </c>
      <c r="D1650" t="inlineStr">
        <is>
          <t>ÖSTERGÖTLANDS LÄN</t>
        </is>
      </c>
      <c r="E1650" t="inlineStr">
        <is>
          <t>ÅTVIDABERG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5912-2020</t>
        </is>
      </c>
      <c r="B1651" s="1" t="n">
        <v>43864</v>
      </c>
      <c r="C1651" s="1" t="n">
        <v>45710</v>
      </c>
      <c r="D1651" t="inlineStr">
        <is>
          <t>ÖSTERGÖTLANDS LÄN</t>
        </is>
      </c>
      <c r="E1651" t="inlineStr">
        <is>
          <t>LINKÖPING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5942-2020</t>
        </is>
      </c>
      <c r="B1652" s="1" t="n">
        <v>43864</v>
      </c>
      <c r="C1652" s="1" t="n">
        <v>45710</v>
      </c>
      <c r="D1652" t="inlineStr">
        <is>
          <t>ÖSTERGÖTLANDS LÄN</t>
        </is>
      </c>
      <c r="E1652" t="inlineStr">
        <is>
          <t>ÅTVIDABERG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6000-2020</t>
        </is>
      </c>
      <c r="B1653" s="1" t="n">
        <v>43864</v>
      </c>
      <c r="C1653" s="1" t="n">
        <v>45710</v>
      </c>
      <c r="D1653" t="inlineStr">
        <is>
          <t>ÖSTERGÖTLANDS LÄN</t>
        </is>
      </c>
      <c r="E1653" t="inlineStr">
        <is>
          <t>NORRKÖPING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5916-2020</t>
        </is>
      </c>
      <c r="B1654" s="1" t="n">
        <v>43864</v>
      </c>
      <c r="C1654" s="1" t="n">
        <v>45710</v>
      </c>
      <c r="D1654" t="inlineStr">
        <is>
          <t>ÖSTERGÖTLANDS LÄN</t>
        </is>
      </c>
      <c r="E1654" t="inlineStr">
        <is>
          <t>LINKÖPING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5943-2020</t>
        </is>
      </c>
      <c r="B1655" s="1" t="n">
        <v>43864</v>
      </c>
      <c r="C1655" s="1" t="n">
        <v>45710</v>
      </c>
      <c r="D1655" t="inlineStr">
        <is>
          <t>ÖSTERGÖTLANDS LÄN</t>
        </is>
      </c>
      <c r="E1655" t="inlineStr">
        <is>
          <t>SÖDERKÖPING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6379-2020</t>
        </is>
      </c>
      <c r="B1656" s="1" t="n">
        <v>43864</v>
      </c>
      <c r="C1656" s="1" t="n">
        <v>45710</v>
      </c>
      <c r="D1656" t="inlineStr">
        <is>
          <t>ÖSTERGÖTLANDS LÄN</t>
        </is>
      </c>
      <c r="E1656" t="inlineStr">
        <is>
          <t>FINSPÅNG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5981-2020</t>
        </is>
      </c>
      <c r="B1657" s="1" t="n">
        <v>43865</v>
      </c>
      <c r="C1657" s="1" t="n">
        <v>45710</v>
      </c>
      <c r="D1657" t="inlineStr">
        <is>
          <t>ÖSTERGÖTLANDS LÄN</t>
        </is>
      </c>
      <c r="E1657" t="inlineStr">
        <is>
          <t>LINKÖPING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6076-2020</t>
        </is>
      </c>
      <c r="B1658" s="1" t="n">
        <v>43865</v>
      </c>
      <c r="C1658" s="1" t="n">
        <v>45710</v>
      </c>
      <c r="D1658" t="inlineStr">
        <is>
          <t>ÖSTERGÖTLANDS LÄN</t>
        </is>
      </c>
      <c r="E1658" t="inlineStr">
        <is>
          <t>BOXHOLM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6180-2020</t>
        </is>
      </c>
      <c r="B1659" s="1" t="n">
        <v>43865</v>
      </c>
      <c r="C1659" s="1" t="n">
        <v>45710</v>
      </c>
      <c r="D1659" t="inlineStr">
        <is>
          <t>ÖSTERGÖTLANDS LÄN</t>
        </is>
      </c>
      <c r="E1659" t="inlineStr">
        <is>
          <t>SÖDERKÖPING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6201-2020</t>
        </is>
      </c>
      <c r="B1660" s="1" t="n">
        <v>43865</v>
      </c>
      <c r="C1660" s="1" t="n">
        <v>45710</v>
      </c>
      <c r="D1660" t="inlineStr">
        <is>
          <t>ÖSTERGÖTLANDS LÄN</t>
        </is>
      </c>
      <c r="E1660" t="inlineStr">
        <is>
          <t>FINSPÅNG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6199-2020</t>
        </is>
      </c>
      <c r="B1661" s="1" t="n">
        <v>43865</v>
      </c>
      <c r="C1661" s="1" t="n">
        <v>45710</v>
      </c>
      <c r="D1661" t="inlineStr">
        <is>
          <t>ÖSTERGÖTLANDS LÄN</t>
        </is>
      </c>
      <c r="E1661" t="inlineStr">
        <is>
          <t>KINDA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5982-2020</t>
        </is>
      </c>
      <c r="B1662" s="1" t="n">
        <v>43865</v>
      </c>
      <c r="C1662" s="1" t="n">
        <v>45710</v>
      </c>
      <c r="D1662" t="inlineStr">
        <is>
          <t>ÖSTERGÖTLANDS LÄN</t>
        </is>
      </c>
      <c r="E1662" t="inlineStr">
        <is>
          <t>LINKÖPING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5979-2020</t>
        </is>
      </c>
      <c r="B1663" s="1" t="n">
        <v>43865</v>
      </c>
      <c r="C1663" s="1" t="n">
        <v>45710</v>
      </c>
      <c r="D1663" t="inlineStr">
        <is>
          <t>ÖSTERGÖTLANDS LÄN</t>
        </is>
      </c>
      <c r="E1663" t="inlineStr">
        <is>
          <t>BOXHOLM</t>
        </is>
      </c>
      <c r="F1663" t="inlineStr">
        <is>
          <t>Övriga Aktiebolag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6654-2020</t>
        </is>
      </c>
      <c r="B1664" s="1" t="n">
        <v>43865</v>
      </c>
      <c r="C1664" s="1" t="n">
        <v>45710</v>
      </c>
      <c r="D1664" t="inlineStr">
        <is>
          <t>ÖSTERGÖTLANDS LÄN</t>
        </is>
      </c>
      <c r="E1664" t="inlineStr">
        <is>
          <t>VALDEMARSVIK</t>
        </is>
      </c>
      <c r="F1664" t="inlineStr">
        <is>
          <t>Övriga Aktiebolag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6647-2020</t>
        </is>
      </c>
      <c r="B1665" s="1" t="n">
        <v>43865</v>
      </c>
      <c r="C1665" s="1" t="n">
        <v>45710</v>
      </c>
      <c r="D1665" t="inlineStr">
        <is>
          <t>ÖSTERGÖTLANDS LÄN</t>
        </is>
      </c>
      <c r="E1665" t="inlineStr">
        <is>
          <t>VALDEMARSVIK</t>
        </is>
      </c>
      <c r="F1665" t="inlineStr">
        <is>
          <t>Övriga Aktiebolag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6665-2020</t>
        </is>
      </c>
      <c r="B1666" s="1" t="n">
        <v>43865</v>
      </c>
      <c r="C1666" s="1" t="n">
        <v>45710</v>
      </c>
      <c r="D1666" t="inlineStr">
        <is>
          <t>ÖSTERGÖTLANDS LÄN</t>
        </is>
      </c>
      <c r="E1666" t="inlineStr">
        <is>
          <t>VALDEMARSVIK</t>
        </is>
      </c>
      <c r="F1666" t="inlineStr">
        <is>
          <t>Övriga Aktiebolag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6254-2020</t>
        </is>
      </c>
      <c r="B1667" s="1" t="n">
        <v>43866</v>
      </c>
      <c r="C1667" s="1" t="n">
        <v>45710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6414-2020</t>
        </is>
      </c>
      <c r="B1668" s="1" t="n">
        <v>43866</v>
      </c>
      <c r="C1668" s="1" t="n">
        <v>45710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Kommuner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6429-2020</t>
        </is>
      </c>
      <c r="B1669" s="1" t="n">
        <v>43866</v>
      </c>
      <c r="C1669" s="1" t="n">
        <v>45710</v>
      </c>
      <c r="D1669" t="inlineStr">
        <is>
          <t>ÖSTERGÖTLANDS LÄN</t>
        </is>
      </c>
      <c r="E1669" t="inlineStr">
        <is>
          <t>YDRE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6458-2020</t>
        </is>
      </c>
      <c r="B1670" s="1" t="n">
        <v>43866</v>
      </c>
      <c r="C1670" s="1" t="n">
        <v>45710</v>
      </c>
      <c r="D1670" t="inlineStr">
        <is>
          <t>ÖSTERGÖTLANDS LÄN</t>
        </is>
      </c>
      <c r="E1670" t="inlineStr">
        <is>
          <t>YDRE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6338-2020</t>
        </is>
      </c>
      <c r="B1671" s="1" t="n">
        <v>43866</v>
      </c>
      <c r="C1671" s="1" t="n">
        <v>45710</v>
      </c>
      <c r="D1671" t="inlineStr">
        <is>
          <t>ÖSTERGÖTLANDS LÄN</t>
        </is>
      </c>
      <c r="E1671" t="inlineStr">
        <is>
          <t>NORRKÖPING</t>
        </is>
      </c>
      <c r="F1671" t="inlineStr">
        <is>
          <t>Holmen skog AB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6472-2020</t>
        </is>
      </c>
      <c r="B1672" s="1" t="n">
        <v>43866</v>
      </c>
      <c r="C1672" s="1" t="n">
        <v>45710</v>
      </c>
      <c r="D1672" t="inlineStr">
        <is>
          <t>ÖSTERGÖTLANDS LÄN</t>
        </is>
      </c>
      <c r="E1672" t="inlineStr">
        <is>
          <t>VALDEMARSVIK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6838-2020</t>
        </is>
      </c>
      <c r="B1673" s="1" t="n">
        <v>43866</v>
      </c>
      <c r="C1673" s="1" t="n">
        <v>45710</v>
      </c>
      <c r="D1673" t="inlineStr">
        <is>
          <t>ÖSTERGÖTLANDS LÄN</t>
        </is>
      </c>
      <c r="E1673" t="inlineStr">
        <is>
          <t>KINDA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6460-2020</t>
        </is>
      </c>
      <c r="B1674" s="1" t="n">
        <v>43866</v>
      </c>
      <c r="C1674" s="1" t="n">
        <v>45710</v>
      </c>
      <c r="D1674" t="inlineStr">
        <is>
          <t>ÖSTERGÖTLANDS LÄN</t>
        </is>
      </c>
      <c r="E1674" t="inlineStr">
        <is>
          <t>YDRE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6300-2020</t>
        </is>
      </c>
      <c r="B1675" s="1" t="n">
        <v>43866</v>
      </c>
      <c r="C1675" s="1" t="n">
        <v>45710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6528-2020</t>
        </is>
      </c>
      <c r="B1676" s="1" t="n">
        <v>43866</v>
      </c>
      <c r="C1676" s="1" t="n">
        <v>45710</v>
      </c>
      <c r="D1676" t="inlineStr">
        <is>
          <t>ÖSTERGÖTLANDS LÄN</t>
        </is>
      </c>
      <c r="E1676" t="inlineStr">
        <is>
          <t>MOTALA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6627-2020</t>
        </is>
      </c>
      <c r="B1677" s="1" t="n">
        <v>43867</v>
      </c>
      <c r="C1677" s="1" t="n">
        <v>45710</v>
      </c>
      <c r="D1677" t="inlineStr">
        <is>
          <t>ÖSTERGÖTLANDS LÄN</t>
        </is>
      </c>
      <c r="E1677" t="inlineStr">
        <is>
          <t>ÖDESHÖG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6651-2020</t>
        </is>
      </c>
      <c r="B1678" s="1" t="n">
        <v>43867</v>
      </c>
      <c r="C1678" s="1" t="n">
        <v>45710</v>
      </c>
      <c r="D1678" t="inlineStr">
        <is>
          <t>ÖSTERGÖTLANDS LÄN</t>
        </is>
      </c>
      <c r="E1678" t="inlineStr">
        <is>
          <t>YDRE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6708-2020</t>
        </is>
      </c>
      <c r="B1679" s="1" t="n">
        <v>43867</v>
      </c>
      <c r="C1679" s="1" t="n">
        <v>45710</v>
      </c>
      <c r="D1679" t="inlineStr">
        <is>
          <t>ÖSTERGÖTLANDS LÄN</t>
        </is>
      </c>
      <c r="E1679" t="inlineStr">
        <is>
          <t>SÖDERKÖPING</t>
        </is>
      </c>
      <c r="G1679" t="n">
        <v>9.6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6624-2020</t>
        </is>
      </c>
      <c r="B1680" s="1" t="n">
        <v>43867</v>
      </c>
      <c r="C1680" s="1" t="n">
        <v>45710</v>
      </c>
      <c r="D1680" t="inlineStr">
        <is>
          <t>ÖSTERGÖTLANDS LÄN</t>
        </is>
      </c>
      <c r="E1680" t="inlineStr">
        <is>
          <t>ÖDESHÖG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6712-2020</t>
        </is>
      </c>
      <c r="B1681" s="1" t="n">
        <v>43867</v>
      </c>
      <c r="C1681" s="1" t="n">
        <v>45710</v>
      </c>
      <c r="D1681" t="inlineStr">
        <is>
          <t>ÖSTERGÖTLANDS LÄN</t>
        </is>
      </c>
      <c r="E1681" t="inlineStr">
        <is>
          <t>SÖDERKÖPING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6967-2020</t>
        </is>
      </c>
      <c r="B1682" s="1" t="n">
        <v>43867</v>
      </c>
      <c r="C1682" s="1" t="n">
        <v>45710</v>
      </c>
      <c r="D1682" t="inlineStr">
        <is>
          <t>ÖSTERGÖTLANDS LÄN</t>
        </is>
      </c>
      <c r="E1682" t="inlineStr">
        <is>
          <t>YDRE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6671-2020</t>
        </is>
      </c>
      <c r="B1683" s="1" t="n">
        <v>43867</v>
      </c>
      <c r="C1683" s="1" t="n">
        <v>45710</v>
      </c>
      <c r="D1683" t="inlineStr">
        <is>
          <t>ÖSTERGÖTLANDS LÄN</t>
        </is>
      </c>
      <c r="E1683" t="inlineStr">
        <is>
          <t>YDRE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6970-2020</t>
        </is>
      </c>
      <c r="B1684" s="1" t="n">
        <v>43867</v>
      </c>
      <c r="C1684" s="1" t="n">
        <v>45710</v>
      </c>
      <c r="D1684" t="inlineStr">
        <is>
          <t>ÖSTERGÖTLANDS LÄN</t>
        </is>
      </c>
      <c r="E1684" t="inlineStr">
        <is>
          <t>YDRE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6900-2020</t>
        </is>
      </c>
      <c r="B1685" s="1" t="n">
        <v>43868</v>
      </c>
      <c r="C1685" s="1" t="n">
        <v>45710</v>
      </c>
      <c r="D1685" t="inlineStr">
        <is>
          <t>ÖSTERGÖTLANDS LÄN</t>
        </is>
      </c>
      <c r="E1685" t="inlineStr">
        <is>
          <t>NORRKÖPING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6951-2020</t>
        </is>
      </c>
      <c r="B1686" s="1" t="n">
        <v>43868</v>
      </c>
      <c r="C1686" s="1" t="n">
        <v>45710</v>
      </c>
      <c r="D1686" t="inlineStr">
        <is>
          <t>ÖSTERGÖTLANDS LÄN</t>
        </is>
      </c>
      <c r="E1686" t="inlineStr">
        <is>
          <t>NORRKÖPING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6956-2020</t>
        </is>
      </c>
      <c r="B1687" s="1" t="n">
        <v>43868</v>
      </c>
      <c r="C1687" s="1" t="n">
        <v>45710</v>
      </c>
      <c r="D1687" t="inlineStr">
        <is>
          <t>ÖSTERGÖTLANDS LÄN</t>
        </is>
      </c>
      <c r="E1687" t="inlineStr">
        <is>
          <t>ÖDESHÖG</t>
        </is>
      </c>
      <c r="F1687" t="inlineStr">
        <is>
          <t>Allmännings- och besparingsskogar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6958-2020</t>
        </is>
      </c>
      <c r="B1688" s="1" t="n">
        <v>43868</v>
      </c>
      <c r="C1688" s="1" t="n">
        <v>45710</v>
      </c>
      <c r="D1688" t="inlineStr">
        <is>
          <t>ÖSTERGÖTLANDS LÄN</t>
        </is>
      </c>
      <c r="E1688" t="inlineStr">
        <is>
          <t>ÖDESHÖG</t>
        </is>
      </c>
      <c r="F1688" t="inlineStr">
        <is>
          <t>Allmännings- och besparingsskogar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7096-2020</t>
        </is>
      </c>
      <c r="B1689" s="1" t="n">
        <v>43868</v>
      </c>
      <c r="C1689" s="1" t="n">
        <v>45710</v>
      </c>
      <c r="D1689" t="inlineStr">
        <is>
          <t>ÖSTERGÖTLANDS LÄN</t>
        </is>
      </c>
      <c r="E1689" t="inlineStr">
        <is>
          <t>KINDA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7095-2020</t>
        </is>
      </c>
      <c r="B1690" s="1" t="n">
        <v>43868</v>
      </c>
      <c r="C1690" s="1" t="n">
        <v>45710</v>
      </c>
      <c r="D1690" t="inlineStr">
        <is>
          <t>ÖSTERGÖTLANDS LÄN</t>
        </is>
      </c>
      <c r="E1690" t="inlineStr">
        <is>
          <t>VALDEMARSVIK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7062-2020</t>
        </is>
      </c>
      <c r="B1691" s="1" t="n">
        <v>43868</v>
      </c>
      <c r="C1691" s="1" t="n">
        <v>45710</v>
      </c>
      <c r="D1691" t="inlineStr">
        <is>
          <t>ÖSTERGÖTLANDS LÄN</t>
        </is>
      </c>
      <c r="E1691" t="inlineStr">
        <is>
          <t>KINDA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7080-2020</t>
        </is>
      </c>
      <c r="B1692" s="1" t="n">
        <v>43868</v>
      </c>
      <c r="C1692" s="1" t="n">
        <v>45710</v>
      </c>
      <c r="D1692" t="inlineStr">
        <is>
          <t>ÖSTERGÖTLANDS LÄN</t>
        </is>
      </c>
      <c r="E1692" t="inlineStr">
        <is>
          <t>KINDA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7243-2020</t>
        </is>
      </c>
      <c r="B1693" s="1" t="n">
        <v>43868</v>
      </c>
      <c r="C1693" s="1" t="n">
        <v>45710</v>
      </c>
      <c r="D1693" t="inlineStr">
        <is>
          <t>ÖSTERGÖTLANDS LÄN</t>
        </is>
      </c>
      <c r="E1693" t="inlineStr">
        <is>
          <t>KINDA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7327-2020</t>
        </is>
      </c>
      <c r="B1694" s="1" t="n">
        <v>43868</v>
      </c>
      <c r="C1694" s="1" t="n">
        <v>45710</v>
      </c>
      <c r="D1694" t="inlineStr">
        <is>
          <t>ÖSTERGÖTLANDS LÄN</t>
        </is>
      </c>
      <c r="E1694" t="inlineStr">
        <is>
          <t>VALDEMARSVIK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7254-2020</t>
        </is>
      </c>
      <c r="B1695" s="1" t="n">
        <v>43871</v>
      </c>
      <c r="C1695" s="1" t="n">
        <v>45710</v>
      </c>
      <c r="D1695" t="inlineStr">
        <is>
          <t>ÖSTERGÖTLANDS LÄN</t>
        </is>
      </c>
      <c r="E1695" t="inlineStr">
        <is>
          <t>ÅTVIDABERG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7363-2020</t>
        </is>
      </c>
      <c r="B1696" s="1" t="n">
        <v>43871</v>
      </c>
      <c r="C1696" s="1" t="n">
        <v>45710</v>
      </c>
      <c r="D1696" t="inlineStr">
        <is>
          <t>ÖSTERGÖTLANDS LÄN</t>
        </is>
      </c>
      <c r="E1696" t="inlineStr">
        <is>
          <t>LINKÖPING</t>
        </is>
      </c>
      <c r="G1696" t="n">
        <v>9.800000000000001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7262-2020</t>
        </is>
      </c>
      <c r="B1697" s="1" t="n">
        <v>43871</v>
      </c>
      <c r="C1697" s="1" t="n">
        <v>45710</v>
      </c>
      <c r="D1697" t="inlineStr">
        <is>
          <t>ÖSTERGÖTLANDS LÄN</t>
        </is>
      </c>
      <c r="E1697" t="inlineStr">
        <is>
          <t>VADSTENA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7429-2020</t>
        </is>
      </c>
      <c r="B1698" s="1" t="n">
        <v>43871</v>
      </c>
      <c r="C1698" s="1" t="n">
        <v>45710</v>
      </c>
      <c r="D1698" t="inlineStr">
        <is>
          <t>ÖSTERGÖTLANDS LÄN</t>
        </is>
      </c>
      <c r="E1698" t="inlineStr">
        <is>
          <t>MJÖLBY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7467-2020</t>
        </is>
      </c>
      <c r="B1699" s="1" t="n">
        <v>43871</v>
      </c>
      <c r="C1699" s="1" t="n">
        <v>45710</v>
      </c>
      <c r="D1699" t="inlineStr">
        <is>
          <t>ÖSTERGÖTLANDS LÄN</t>
        </is>
      </c>
      <c r="E1699" t="inlineStr">
        <is>
          <t>KINDA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7463-2020</t>
        </is>
      </c>
      <c r="B1700" s="1" t="n">
        <v>43871</v>
      </c>
      <c r="C1700" s="1" t="n">
        <v>45710</v>
      </c>
      <c r="D1700" t="inlineStr">
        <is>
          <t>ÖSTERGÖTLANDS LÄN</t>
        </is>
      </c>
      <c r="E1700" t="inlineStr">
        <is>
          <t>KINDA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7469-2020</t>
        </is>
      </c>
      <c r="B1701" s="1" t="n">
        <v>43871</v>
      </c>
      <c r="C1701" s="1" t="n">
        <v>45710</v>
      </c>
      <c r="D1701" t="inlineStr">
        <is>
          <t>ÖSTERGÖTLANDS LÄN</t>
        </is>
      </c>
      <c r="E1701" t="inlineStr">
        <is>
          <t>KINDA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7481-2020</t>
        </is>
      </c>
      <c r="B1702" s="1" t="n">
        <v>43871</v>
      </c>
      <c r="C1702" s="1" t="n">
        <v>45710</v>
      </c>
      <c r="D1702" t="inlineStr">
        <is>
          <t>ÖSTERGÖTLANDS LÄN</t>
        </is>
      </c>
      <c r="E1702" t="inlineStr">
        <is>
          <t>KINDA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7384-2020</t>
        </is>
      </c>
      <c r="B1703" s="1" t="n">
        <v>43871</v>
      </c>
      <c r="C1703" s="1" t="n">
        <v>45710</v>
      </c>
      <c r="D1703" t="inlineStr">
        <is>
          <t>ÖSTERGÖTLANDS LÄN</t>
        </is>
      </c>
      <c r="E1703" t="inlineStr">
        <is>
          <t>BOXHOLM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7468-2020</t>
        </is>
      </c>
      <c r="B1704" s="1" t="n">
        <v>43871</v>
      </c>
      <c r="C1704" s="1" t="n">
        <v>45710</v>
      </c>
      <c r="D1704" t="inlineStr">
        <is>
          <t>ÖSTERGÖTLANDS LÄN</t>
        </is>
      </c>
      <c r="E1704" t="inlineStr">
        <is>
          <t>KINDA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7475-2020</t>
        </is>
      </c>
      <c r="B1705" s="1" t="n">
        <v>43871</v>
      </c>
      <c r="C1705" s="1" t="n">
        <v>45710</v>
      </c>
      <c r="D1705" t="inlineStr">
        <is>
          <t>ÖSTERGÖTLANDS LÄN</t>
        </is>
      </c>
      <c r="E1705" t="inlineStr">
        <is>
          <t>KINDA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7438-2020</t>
        </is>
      </c>
      <c r="B1706" s="1" t="n">
        <v>43871</v>
      </c>
      <c r="C1706" s="1" t="n">
        <v>45710</v>
      </c>
      <c r="D1706" t="inlineStr">
        <is>
          <t>ÖSTERGÖTLANDS LÄN</t>
        </is>
      </c>
      <c r="E1706" t="inlineStr">
        <is>
          <t>MJÖLBY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7692-2020</t>
        </is>
      </c>
      <c r="B1707" s="1" t="n">
        <v>43872</v>
      </c>
      <c r="C1707" s="1" t="n">
        <v>45710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Kyrkan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8033-2020</t>
        </is>
      </c>
      <c r="B1708" s="1" t="n">
        <v>43873</v>
      </c>
      <c r="C1708" s="1" t="n">
        <v>45710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Kommuner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8152-2020</t>
        </is>
      </c>
      <c r="B1709" s="1" t="n">
        <v>43874</v>
      </c>
      <c r="C1709" s="1" t="n">
        <v>45710</v>
      </c>
      <c r="D1709" t="inlineStr">
        <is>
          <t>ÖSTERGÖTLANDS LÄN</t>
        </is>
      </c>
      <c r="E1709" t="inlineStr">
        <is>
          <t>MOTALA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8129-2020</t>
        </is>
      </c>
      <c r="B1710" s="1" t="n">
        <v>43874</v>
      </c>
      <c r="C1710" s="1" t="n">
        <v>45710</v>
      </c>
      <c r="D1710" t="inlineStr">
        <is>
          <t>ÖSTERGÖTLANDS LÄN</t>
        </is>
      </c>
      <c r="E1710" t="inlineStr">
        <is>
          <t>LINKÖPING</t>
        </is>
      </c>
      <c r="G1710" t="n">
        <v>15.6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8156-2020</t>
        </is>
      </c>
      <c r="B1711" s="1" t="n">
        <v>43874</v>
      </c>
      <c r="C1711" s="1" t="n">
        <v>45710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8184-2020</t>
        </is>
      </c>
      <c r="B1712" s="1" t="n">
        <v>43874</v>
      </c>
      <c r="C1712" s="1" t="n">
        <v>45710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8188-2020</t>
        </is>
      </c>
      <c r="B1713" s="1" t="n">
        <v>43874</v>
      </c>
      <c r="C1713" s="1" t="n">
        <v>45710</v>
      </c>
      <c r="D1713" t="inlineStr">
        <is>
          <t>ÖSTERGÖTLANDS LÄN</t>
        </is>
      </c>
      <c r="E1713" t="inlineStr">
        <is>
          <t>MOTALA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8192-2020</t>
        </is>
      </c>
      <c r="B1714" s="1" t="n">
        <v>43874</v>
      </c>
      <c r="C1714" s="1" t="n">
        <v>45710</v>
      </c>
      <c r="D1714" t="inlineStr">
        <is>
          <t>ÖSTERGÖTLANDS LÄN</t>
        </is>
      </c>
      <c r="E1714" t="inlineStr">
        <is>
          <t>MOTALA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8330-2020</t>
        </is>
      </c>
      <c r="B1715" s="1" t="n">
        <v>43874</v>
      </c>
      <c r="C1715" s="1" t="n">
        <v>45710</v>
      </c>
      <c r="D1715" t="inlineStr">
        <is>
          <t>ÖSTERGÖTLANDS LÄN</t>
        </is>
      </c>
      <c r="E1715" t="inlineStr">
        <is>
          <t>MOTALA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8328-2020</t>
        </is>
      </c>
      <c r="B1716" s="1" t="n">
        <v>43875</v>
      </c>
      <c r="C1716" s="1" t="n">
        <v>45710</v>
      </c>
      <c r="D1716" t="inlineStr">
        <is>
          <t>ÖSTERGÖTLANDS LÄN</t>
        </is>
      </c>
      <c r="E1716" t="inlineStr">
        <is>
          <t>YDRE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8499-2020</t>
        </is>
      </c>
      <c r="B1717" s="1" t="n">
        <v>43875</v>
      </c>
      <c r="C1717" s="1" t="n">
        <v>45710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8324-2020</t>
        </is>
      </c>
      <c r="B1718" s="1" t="n">
        <v>43875</v>
      </c>
      <c r="C1718" s="1" t="n">
        <v>45710</v>
      </c>
      <c r="D1718" t="inlineStr">
        <is>
          <t>ÖSTERGÖTLANDS LÄN</t>
        </is>
      </c>
      <c r="E1718" t="inlineStr">
        <is>
          <t>MJÖLBY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8589-2020</t>
        </is>
      </c>
      <c r="B1719" s="1" t="n">
        <v>43875</v>
      </c>
      <c r="C1719" s="1" t="n">
        <v>45710</v>
      </c>
      <c r="D1719" t="inlineStr">
        <is>
          <t>ÖSTERGÖTLANDS LÄN</t>
        </is>
      </c>
      <c r="E1719" t="inlineStr">
        <is>
          <t>BOXHOLM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8690-2020</t>
        </is>
      </c>
      <c r="B1720" s="1" t="n">
        <v>43878</v>
      </c>
      <c r="C1720" s="1" t="n">
        <v>45710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8745-2020</t>
        </is>
      </c>
      <c r="B1721" s="1" t="n">
        <v>43878</v>
      </c>
      <c r="C1721" s="1" t="n">
        <v>45710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Sveaskog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8910-2020</t>
        </is>
      </c>
      <c r="B1722" s="1" t="n">
        <v>43878</v>
      </c>
      <c r="C1722" s="1" t="n">
        <v>45710</v>
      </c>
      <c r="D1722" t="inlineStr">
        <is>
          <t>ÖSTERGÖTLANDS LÄN</t>
        </is>
      </c>
      <c r="E1722" t="inlineStr">
        <is>
          <t>BOXHOLM</t>
        </is>
      </c>
      <c r="G1722" t="n">
        <v>19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8755-2020</t>
        </is>
      </c>
      <c r="B1723" s="1" t="n">
        <v>43878</v>
      </c>
      <c r="C1723" s="1" t="n">
        <v>45710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Allmännings- och besparingsskogar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8906-2020</t>
        </is>
      </c>
      <c r="B1724" s="1" t="n">
        <v>43878</v>
      </c>
      <c r="C1724" s="1" t="n">
        <v>45710</v>
      </c>
      <c r="D1724" t="inlineStr">
        <is>
          <t>ÖSTERGÖTLANDS LÄN</t>
        </is>
      </c>
      <c r="E1724" t="inlineStr">
        <is>
          <t>ÖDESHÖG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9089-2020</t>
        </is>
      </c>
      <c r="B1725" s="1" t="n">
        <v>43879</v>
      </c>
      <c r="C1725" s="1" t="n">
        <v>45710</v>
      </c>
      <c r="D1725" t="inlineStr">
        <is>
          <t>ÖSTERGÖTLANDS LÄN</t>
        </is>
      </c>
      <c r="E1725" t="inlineStr">
        <is>
          <t>BOXHOLM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9085-2020</t>
        </is>
      </c>
      <c r="B1726" s="1" t="n">
        <v>43879</v>
      </c>
      <c r="C1726" s="1" t="n">
        <v>45710</v>
      </c>
      <c r="D1726" t="inlineStr">
        <is>
          <t>ÖSTERGÖTLANDS LÄN</t>
        </is>
      </c>
      <c r="E1726" t="inlineStr">
        <is>
          <t>KINDA</t>
        </is>
      </c>
      <c r="F1726" t="inlineStr">
        <is>
          <t>Sveaskog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9143-2020</t>
        </is>
      </c>
      <c r="B1727" s="1" t="n">
        <v>43879</v>
      </c>
      <c r="C1727" s="1" t="n">
        <v>45710</v>
      </c>
      <c r="D1727" t="inlineStr">
        <is>
          <t>ÖSTERGÖTLANDS LÄN</t>
        </is>
      </c>
      <c r="E1727" t="inlineStr">
        <is>
          <t>NORRKÖPING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9002-2020</t>
        </is>
      </c>
      <c r="B1728" s="1" t="n">
        <v>43879</v>
      </c>
      <c r="C1728" s="1" t="n">
        <v>45710</v>
      </c>
      <c r="D1728" t="inlineStr">
        <is>
          <t>ÖSTERGÖTLANDS LÄN</t>
        </is>
      </c>
      <c r="E1728" t="inlineStr">
        <is>
          <t>BOXHOLM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9374-2020</t>
        </is>
      </c>
      <c r="B1729" s="1" t="n">
        <v>43880</v>
      </c>
      <c r="C1729" s="1" t="n">
        <v>45710</v>
      </c>
      <c r="D1729" t="inlineStr">
        <is>
          <t>ÖSTERGÖTLANDS LÄN</t>
        </is>
      </c>
      <c r="E1729" t="inlineStr">
        <is>
          <t>NORRKÖPING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9401-2020</t>
        </is>
      </c>
      <c r="B1730" s="1" t="n">
        <v>43880</v>
      </c>
      <c r="C1730" s="1" t="n">
        <v>45710</v>
      </c>
      <c r="D1730" t="inlineStr">
        <is>
          <t>ÖSTERGÖTLANDS LÄN</t>
        </is>
      </c>
      <c r="E1730" t="inlineStr">
        <is>
          <t>ÅTVIDABERG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9458-2020</t>
        </is>
      </c>
      <c r="B1731" s="1" t="n">
        <v>43880</v>
      </c>
      <c r="C1731" s="1" t="n">
        <v>45710</v>
      </c>
      <c r="D1731" t="inlineStr">
        <is>
          <t>ÖSTERGÖTLANDS LÄN</t>
        </is>
      </c>
      <c r="E1731" t="inlineStr">
        <is>
          <t>MOTALA</t>
        </is>
      </c>
      <c r="F1731" t="inlineStr">
        <is>
          <t>Sveaskog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9457-2020</t>
        </is>
      </c>
      <c r="B1732" s="1" t="n">
        <v>43880</v>
      </c>
      <c r="C1732" s="1" t="n">
        <v>45710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9273-2020</t>
        </is>
      </c>
      <c r="B1733" s="1" t="n">
        <v>43880</v>
      </c>
      <c r="C1733" s="1" t="n">
        <v>45710</v>
      </c>
      <c r="D1733" t="inlineStr">
        <is>
          <t>ÖSTERGÖTLANDS LÄN</t>
        </is>
      </c>
      <c r="E1733" t="inlineStr">
        <is>
          <t>ÅTVIDABERG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9367-2020</t>
        </is>
      </c>
      <c r="B1734" s="1" t="n">
        <v>43880</v>
      </c>
      <c r="C1734" s="1" t="n">
        <v>45710</v>
      </c>
      <c r="D1734" t="inlineStr">
        <is>
          <t>ÖSTERGÖTLANDS LÄN</t>
        </is>
      </c>
      <c r="E1734" t="inlineStr">
        <is>
          <t>BOXHOLM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9454-2020</t>
        </is>
      </c>
      <c r="B1735" s="1" t="n">
        <v>43880</v>
      </c>
      <c r="C1735" s="1" t="n">
        <v>45710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9478-2020</t>
        </is>
      </c>
      <c r="B1736" s="1" t="n">
        <v>43880</v>
      </c>
      <c r="C1736" s="1" t="n">
        <v>45710</v>
      </c>
      <c r="D1736" t="inlineStr">
        <is>
          <t>ÖSTERGÖTLANDS LÄN</t>
        </is>
      </c>
      <c r="E1736" t="inlineStr">
        <is>
          <t>MJÖLBY</t>
        </is>
      </c>
      <c r="F1736" t="inlineStr">
        <is>
          <t>Övriga Aktiebolag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9456-2020</t>
        </is>
      </c>
      <c r="B1737" s="1" t="n">
        <v>43880</v>
      </c>
      <c r="C1737" s="1" t="n">
        <v>45710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9822-2020</t>
        </is>
      </c>
      <c r="B1738" s="1" t="n">
        <v>43881</v>
      </c>
      <c r="C1738" s="1" t="n">
        <v>45710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Allmännings- och besparingsskogar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9933-2020</t>
        </is>
      </c>
      <c r="B1739" s="1" t="n">
        <v>43882</v>
      </c>
      <c r="C1739" s="1" t="n">
        <v>45710</v>
      </c>
      <c r="D1739" t="inlineStr">
        <is>
          <t>ÖSTERGÖTLANDS LÄN</t>
        </is>
      </c>
      <c r="E1739" t="inlineStr">
        <is>
          <t>LINKÖPING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9946-2020</t>
        </is>
      </c>
      <c r="B1740" s="1" t="n">
        <v>43882</v>
      </c>
      <c r="C1740" s="1" t="n">
        <v>45710</v>
      </c>
      <c r="D1740" t="inlineStr">
        <is>
          <t>ÖSTERGÖTLANDS LÄN</t>
        </is>
      </c>
      <c r="E1740" t="inlineStr">
        <is>
          <t>LINKÖPING</t>
        </is>
      </c>
      <c r="G1740" t="n">
        <v>13.2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9843-2020</t>
        </is>
      </c>
      <c r="B1741" s="1" t="n">
        <v>43882</v>
      </c>
      <c r="C1741" s="1" t="n">
        <v>45710</v>
      </c>
      <c r="D1741" t="inlineStr">
        <is>
          <t>ÖSTERGÖTLANDS LÄN</t>
        </is>
      </c>
      <c r="E1741" t="inlineStr">
        <is>
          <t>KINDA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9926-2020</t>
        </is>
      </c>
      <c r="B1742" s="1" t="n">
        <v>43882</v>
      </c>
      <c r="C1742" s="1" t="n">
        <v>45710</v>
      </c>
      <c r="D1742" t="inlineStr">
        <is>
          <t>ÖSTERGÖTLANDS LÄN</t>
        </is>
      </c>
      <c r="E1742" t="inlineStr">
        <is>
          <t>LINKÖPING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9999-2020</t>
        </is>
      </c>
      <c r="B1743" s="1" t="n">
        <v>43882</v>
      </c>
      <c r="C1743" s="1" t="n">
        <v>45710</v>
      </c>
      <c r="D1743" t="inlineStr">
        <is>
          <t>ÖSTERGÖTLANDS LÄN</t>
        </is>
      </c>
      <c r="E1743" t="inlineStr">
        <is>
          <t>MOTALA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9928-2020</t>
        </is>
      </c>
      <c r="B1744" s="1" t="n">
        <v>43882</v>
      </c>
      <c r="C1744" s="1" t="n">
        <v>45710</v>
      </c>
      <c r="D1744" t="inlineStr">
        <is>
          <t>ÖSTERGÖTLANDS LÄN</t>
        </is>
      </c>
      <c r="E1744" t="inlineStr">
        <is>
          <t>ÅTVIDABERG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10043-2020</t>
        </is>
      </c>
      <c r="B1745" s="1" t="n">
        <v>43882</v>
      </c>
      <c r="C1745" s="1" t="n">
        <v>45710</v>
      </c>
      <c r="D1745" t="inlineStr">
        <is>
          <t>ÖSTERGÖTLANDS LÄN</t>
        </is>
      </c>
      <c r="E1745" t="inlineStr">
        <is>
          <t>ÖDESHÖG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10274-2020</t>
        </is>
      </c>
      <c r="B1746" s="1" t="n">
        <v>43885</v>
      </c>
      <c r="C1746" s="1" t="n">
        <v>45710</v>
      </c>
      <c r="D1746" t="inlineStr">
        <is>
          <t>ÖSTERGÖTLANDS LÄN</t>
        </is>
      </c>
      <c r="E1746" t="inlineStr">
        <is>
          <t>NORRKÖPING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10210-2020</t>
        </is>
      </c>
      <c r="B1747" s="1" t="n">
        <v>43885</v>
      </c>
      <c r="C1747" s="1" t="n">
        <v>45710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10329-2020</t>
        </is>
      </c>
      <c r="B1748" s="1" t="n">
        <v>43885</v>
      </c>
      <c r="C1748" s="1" t="n">
        <v>45710</v>
      </c>
      <c r="D1748" t="inlineStr">
        <is>
          <t>ÖSTERGÖTLANDS LÄN</t>
        </is>
      </c>
      <c r="E1748" t="inlineStr">
        <is>
          <t>NORRKÖPING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10228-2020</t>
        </is>
      </c>
      <c r="B1749" s="1" t="n">
        <v>43885</v>
      </c>
      <c r="C1749" s="1" t="n">
        <v>45710</v>
      </c>
      <c r="D1749" t="inlineStr">
        <is>
          <t>ÖSTERGÖTLANDS LÄN</t>
        </is>
      </c>
      <c r="E1749" t="inlineStr">
        <is>
          <t>KINDA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10355-2020</t>
        </is>
      </c>
      <c r="B1750" s="1" t="n">
        <v>43885</v>
      </c>
      <c r="C1750" s="1" t="n">
        <v>45710</v>
      </c>
      <c r="D1750" t="inlineStr">
        <is>
          <t>ÖSTERGÖTLANDS LÄN</t>
        </is>
      </c>
      <c r="E1750" t="inlineStr">
        <is>
          <t>NORRKÖPING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10385-2020</t>
        </is>
      </c>
      <c r="B1751" s="1" t="n">
        <v>43885</v>
      </c>
      <c r="C1751" s="1" t="n">
        <v>45710</v>
      </c>
      <c r="D1751" t="inlineStr">
        <is>
          <t>ÖSTERGÖTLANDS LÄN</t>
        </is>
      </c>
      <c r="E1751" t="inlineStr">
        <is>
          <t>MOTALA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10371-2020</t>
        </is>
      </c>
      <c r="B1752" s="1" t="n">
        <v>43885</v>
      </c>
      <c r="C1752" s="1" t="n">
        <v>45710</v>
      </c>
      <c r="D1752" t="inlineStr">
        <is>
          <t>ÖSTERGÖTLANDS LÄN</t>
        </is>
      </c>
      <c r="E1752" t="inlineStr">
        <is>
          <t>MJÖLBY</t>
        </is>
      </c>
      <c r="G1752" t="n">
        <v>10.3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10498-2020</t>
        </is>
      </c>
      <c r="B1753" s="1" t="n">
        <v>43886</v>
      </c>
      <c r="C1753" s="1" t="n">
        <v>45710</v>
      </c>
      <c r="D1753" t="inlineStr">
        <is>
          <t>ÖSTERGÖTLANDS LÄN</t>
        </is>
      </c>
      <c r="E1753" t="inlineStr">
        <is>
          <t>SÖDERKÖPING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10476-2020</t>
        </is>
      </c>
      <c r="B1754" s="1" t="n">
        <v>43886</v>
      </c>
      <c r="C1754" s="1" t="n">
        <v>45710</v>
      </c>
      <c r="D1754" t="inlineStr">
        <is>
          <t>ÖSTERGÖTLANDS LÄN</t>
        </is>
      </c>
      <c r="E1754" t="inlineStr">
        <is>
          <t>KINDA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10095-2020</t>
        </is>
      </c>
      <c r="B1755" s="1" t="n">
        <v>43887</v>
      </c>
      <c r="C1755" s="1" t="n">
        <v>45710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10100-2020</t>
        </is>
      </c>
      <c r="B1756" s="1" t="n">
        <v>43887</v>
      </c>
      <c r="C1756" s="1" t="n">
        <v>45710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10597-2020</t>
        </is>
      </c>
      <c r="B1757" s="1" t="n">
        <v>43887</v>
      </c>
      <c r="C1757" s="1" t="n">
        <v>45710</v>
      </c>
      <c r="D1757" t="inlineStr">
        <is>
          <t>ÖSTERGÖTLANDS LÄN</t>
        </is>
      </c>
      <c r="E1757" t="inlineStr">
        <is>
          <t>MJÖLBY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10101-2020</t>
        </is>
      </c>
      <c r="B1758" s="1" t="n">
        <v>43887</v>
      </c>
      <c r="C1758" s="1" t="n">
        <v>45710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8.1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10109-2020</t>
        </is>
      </c>
      <c r="B1759" s="1" t="n">
        <v>43887</v>
      </c>
      <c r="C1759" s="1" t="n">
        <v>45710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10936-2020</t>
        </is>
      </c>
      <c r="B1760" s="1" t="n">
        <v>43888</v>
      </c>
      <c r="C1760" s="1" t="n">
        <v>45710</v>
      </c>
      <c r="D1760" t="inlineStr">
        <is>
          <t>ÖSTERGÖTLANDS LÄN</t>
        </is>
      </c>
      <c r="E1760" t="inlineStr">
        <is>
          <t>NORRKÖPING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11005-2020</t>
        </is>
      </c>
      <c r="B1761" s="1" t="n">
        <v>43889</v>
      </c>
      <c r="C1761" s="1" t="n">
        <v>45710</v>
      </c>
      <c r="D1761" t="inlineStr">
        <is>
          <t>ÖSTERGÖTLANDS LÄN</t>
        </is>
      </c>
      <c r="E1761" t="inlineStr">
        <is>
          <t>FINSPÅNG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11043-2020</t>
        </is>
      </c>
      <c r="B1762" s="1" t="n">
        <v>43889</v>
      </c>
      <c r="C1762" s="1" t="n">
        <v>45710</v>
      </c>
      <c r="D1762" t="inlineStr">
        <is>
          <t>ÖSTERGÖTLANDS LÄN</t>
        </is>
      </c>
      <c r="E1762" t="inlineStr">
        <is>
          <t>LINKÖPING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11007-2020</t>
        </is>
      </c>
      <c r="B1763" s="1" t="n">
        <v>43889</v>
      </c>
      <c r="C1763" s="1" t="n">
        <v>45710</v>
      </c>
      <c r="D1763" t="inlineStr">
        <is>
          <t>ÖSTERGÖTLANDS LÄN</t>
        </is>
      </c>
      <c r="E1763" t="inlineStr">
        <is>
          <t>FINSPÅNG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11000-2020</t>
        </is>
      </c>
      <c r="B1764" s="1" t="n">
        <v>43889</v>
      </c>
      <c r="C1764" s="1" t="n">
        <v>45710</v>
      </c>
      <c r="D1764" t="inlineStr">
        <is>
          <t>ÖSTERGÖTLANDS LÄN</t>
        </is>
      </c>
      <c r="E1764" t="inlineStr">
        <is>
          <t>FINSPÅNG</t>
        </is>
      </c>
      <c r="G1764" t="n">
        <v>10.2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11465-2020</t>
        </is>
      </c>
      <c r="B1765" s="1" t="n">
        <v>43892</v>
      </c>
      <c r="C1765" s="1" t="n">
        <v>45710</v>
      </c>
      <c r="D1765" t="inlineStr">
        <is>
          <t>ÖSTERGÖTLANDS LÄN</t>
        </is>
      </c>
      <c r="E1765" t="inlineStr">
        <is>
          <t>YDRE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11257-2020</t>
        </is>
      </c>
      <c r="B1766" s="1" t="n">
        <v>43892</v>
      </c>
      <c r="C1766" s="1" t="n">
        <v>45710</v>
      </c>
      <c r="D1766" t="inlineStr">
        <is>
          <t>ÖSTERGÖTLANDS LÄN</t>
        </is>
      </c>
      <c r="E1766" t="inlineStr">
        <is>
          <t>BOXHOLM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11374-2020</t>
        </is>
      </c>
      <c r="B1767" s="1" t="n">
        <v>43892</v>
      </c>
      <c r="C1767" s="1" t="n">
        <v>45710</v>
      </c>
      <c r="D1767" t="inlineStr">
        <is>
          <t>ÖSTERGÖTLANDS LÄN</t>
        </is>
      </c>
      <c r="E1767" t="inlineStr">
        <is>
          <t>KINDA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11447-2020</t>
        </is>
      </c>
      <c r="B1768" s="1" t="n">
        <v>43892</v>
      </c>
      <c r="C1768" s="1" t="n">
        <v>45710</v>
      </c>
      <c r="D1768" t="inlineStr">
        <is>
          <t>ÖSTERGÖTLANDS LÄN</t>
        </is>
      </c>
      <c r="E1768" t="inlineStr">
        <is>
          <t>YDRE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11482-2020</t>
        </is>
      </c>
      <c r="B1769" s="1" t="n">
        <v>43893</v>
      </c>
      <c r="C1769" s="1" t="n">
        <v>45710</v>
      </c>
      <c r="D1769" t="inlineStr">
        <is>
          <t>ÖSTERGÖTLANDS LÄN</t>
        </is>
      </c>
      <c r="E1769" t="inlineStr">
        <is>
          <t>ÅTVIDABERG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11537-2020</t>
        </is>
      </c>
      <c r="B1770" s="1" t="n">
        <v>43893</v>
      </c>
      <c r="C1770" s="1" t="n">
        <v>45710</v>
      </c>
      <c r="D1770" t="inlineStr">
        <is>
          <t>ÖSTERGÖTLANDS LÄN</t>
        </is>
      </c>
      <c r="E1770" t="inlineStr">
        <is>
          <t>KINDA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11432-2020</t>
        </is>
      </c>
      <c r="B1771" s="1" t="n">
        <v>43893</v>
      </c>
      <c r="C1771" s="1" t="n">
        <v>45710</v>
      </c>
      <c r="D1771" t="inlineStr">
        <is>
          <t>ÖSTERGÖTLANDS LÄN</t>
        </is>
      </c>
      <c r="E1771" t="inlineStr">
        <is>
          <t>FINSPÅNG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11511-2020</t>
        </is>
      </c>
      <c r="B1772" s="1" t="n">
        <v>43893</v>
      </c>
      <c r="C1772" s="1" t="n">
        <v>45710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11521-2020</t>
        </is>
      </c>
      <c r="B1773" s="1" t="n">
        <v>43893</v>
      </c>
      <c r="C1773" s="1" t="n">
        <v>45710</v>
      </c>
      <c r="D1773" t="inlineStr">
        <is>
          <t>ÖSTERGÖTLANDS LÄN</t>
        </is>
      </c>
      <c r="E1773" t="inlineStr">
        <is>
          <t>LINKÖPING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11539-2020</t>
        </is>
      </c>
      <c r="B1774" s="1" t="n">
        <v>43893</v>
      </c>
      <c r="C1774" s="1" t="n">
        <v>45710</v>
      </c>
      <c r="D1774" t="inlineStr">
        <is>
          <t>ÖSTERGÖTLANDS LÄN</t>
        </is>
      </c>
      <c r="E1774" t="inlineStr">
        <is>
          <t>LINKÖPING</t>
        </is>
      </c>
      <c r="G1774" t="n">
        <v>9.1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11644-2020</t>
        </is>
      </c>
      <c r="B1775" s="1" t="n">
        <v>43893</v>
      </c>
      <c r="C1775" s="1" t="n">
        <v>45710</v>
      </c>
      <c r="D1775" t="inlineStr">
        <is>
          <t>ÖSTERGÖTLANDS LÄN</t>
        </is>
      </c>
      <c r="E1775" t="inlineStr">
        <is>
          <t>NORRKÖPING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11747-2020</t>
        </is>
      </c>
      <c r="B1776" s="1" t="n">
        <v>43894</v>
      </c>
      <c r="C1776" s="1" t="n">
        <v>45710</v>
      </c>
      <c r="D1776" t="inlineStr">
        <is>
          <t>ÖSTERGÖTLANDS LÄN</t>
        </is>
      </c>
      <c r="E1776" t="inlineStr">
        <is>
          <t>MOTALA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11714-2020</t>
        </is>
      </c>
      <c r="B1777" s="1" t="n">
        <v>43894</v>
      </c>
      <c r="C1777" s="1" t="n">
        <v>45710</v>
      </c>
      <c r="D1777" t="inlineStr">
        <is>
          <t>ÖSTERGÖTLANDS LÄN</t>
        </is>
      </c>
      <c r="E1777" t="inlineStr">
        <is>
          <t>NORRKÖPING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12002-2020</t>
        </is>
      </c>
      <c r="B1778" s="1" t="n">
        <v>43894</v>
      </c>
      <c r="C1778" s="1" t="n">
        <v>45710</v>
      </c>
      <c r="D1778" t="inlineStr">
        <is>
          <t>ÖSTERGÖTLANDS LÄN</t>
        </is>
      </c>
      <c r="E1778" t="inlineStr">
        <is>
          <t>LINKÖPING</t>
        </is>
      </c>
      <c r="F1778" t="inlineStr">
        <is>
          <t>Övriga Aktiebolag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11950-2020</t>
        </is>
      </c>
      <c r="B1779" s="1" t="n">
        <v>43894</v>
      </c>
      <c r="C1779" s="1" t="n">
        <v>45710</v>
      </c>
      <c r="D1779" t="inlineStr">
        <is>
          <t>ÖSTERGÖTLANDS LÄN</t>
        </is>
      </c>
      <c r="E1779" t="inlineStr">
        <is>
          <t>MOTALA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11939-2020</t>
        </is>
      </c>
      <c r="B1780" s="1" t="n">
        <v>43894</v>
      </c>
      <c r="C1780" s="1" t="n">
        <v>45710</v>
      </c>
      <c r="D1780" t="inlineStr">
        <is>
          <t>ÖSTERGÖTLANDS LÄN</t>
        </is>
      </c>
      <c r="E1780" t="inlineStr">
        <is>
          <t>LINKÖPING</t>
        </is>
      </c>
      <c r="F1780" t="inlineStr">
        <is>
          <t>Övriga Aktiebolag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12090-2020</t>
        </is>
      </c>
      <c r="B1781" s="1" t="n">
        <v>43895</v>
      </c>
      <c r="C1781" s="1" t="n">
        <v>45710</v>
      </c>
      <c r="D1781" t="inlineStr">
        <is>
          <t>ÖSTERGÖTLANDS LÄN</t>
        </is>
      </c>
      <c r="E1781" t="inlineStr">
        <is>
          <t>ÅTVIDABERG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12319-2020</t>
        </is>
      </c>
      <c r="B1782" s="1" t="n">
        <v>43895</v>
      </c>
      <c r="C1782" s="1" t="n">
        <v>45710</v>
      </c>
      <c r="D1782" t="inlineStr">
        <is>
          <t>ÖSTERGÖTLANDS LÄN</t>
        </is>
      </c>
      <c r="E1782" t="inlineStr">
        <is>
          <t>ÅTVIDABERG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12193-2020</t>
        </is>
      </c>
      <c r="B1783" s="1" t="n">
        <v>43895</v>
      </c>
      <c r="C1783" s="1" t="n">
        <v>45710</v>
      </c>
      <c r="D1783" t="inlineStr">
        <is>
          <t>ÖSTERGÖTLANDS LÄN</t>
        </is>
      </c>
      <c r="E1783" t="inlineStr">
        <is>
          <t>FINSPÅNG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12317-2020</t>
        </is>
      </c>
      <c r="B1784" s="1" t="n">
        <v>43895</v>
      </c>
      <c r="C1784" s="1" t="n">
        <v>45710</v>
      </c>
      <c r="D1784" t="inlineStr">
        <is>
          <t>ÖSTERGÖTLANDS LÄN</t>
        </is>
      </c>
      <c r="E1784" t="inlineStr">
        <is>
          <t>ÅTVIDABERG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13697-2020</t>
        </is>
      </c>
      <c r="B1785" s="1" t="n">
        <v>43895</v>
      </c>
      <c r="C1785" s="1" t="n">
        <v>45710</v>
      </c>
      <c r="D1785" t="inlineStr">
        <is>
          <t>ÖSTERGÖTLANDS LÄN</t>
        </is>
      </c>
      <c r="E1785" t="inlineStr">
        <is>
          <t>NORRKÖPING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12567-2020</t>
        </is>
      </c>
      <c r="B1786" s="1" t="n">
        <v>43896</v>
      </c>
      <c r="C1786" s="1" t="n">
        <v>45710</v>
      </c>
      <c r="D1786" t="inlineStr">
        <is>
          <t>ÖSTERGÖTLANDS LÄN</t>
        </is>
      </c>
      <c r="E1786" t="inlineStr">
        <is>
          <t>VALDEMARSVIK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12545-2020</t>
        </is>
      </c>
      <c r="B1787" s="1" t="n">
        <v>43897</v>
      </c>
      <c r="C1787" s="1" t="n">
        <v>45710</v>
      </c>
      <c r="D1787" t="inlineStr">
        <is>
          <t>ÖSTERGÖTLANDS LÄN</t>
        </is>
      </c>
      <c r="E1787" t="inlineStr">
        <is>
          <t>MOTALA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12734-2020</t>
        </is>
      </c>
      <c r="B1788" s="1" t="n">
        <v>43899</v>
      </c>
      <c r="C1788" s="1" t="n">
        <v>45710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12782-2020</t>
        </is>
      </c>
      <c r="B1789" s="1" t="n">
        <v>43899</v>
      </c>
      <c r="C1789" s="1" t="n">
        <v>45710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12690-2020</t>
        </is>
      </c>
      <c r="B1790" s="1" t="n">
        <v>43899</v>
      </c>
      <c r="C1790" s="1" t="n">
        <v>45710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12698-2020</t>
        </is>
      </c>
      <c r="B1791" s="1" t="n">
        <v>43899</v>
      </c>
      <c r="C1791" s="1" t="n">
        <v>45710</v>
      </c>
      <c r="D1791" t="inlineStr">
        <is>
          <t>ÖSTERGÖTLANDS LÄN</t>
        </is>
      </c>
      <c r="E1791" t="inlineStr">
        <is>
          <t>YDRE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12692-2020</t>
        </is>
      </c>
      <c r="B1792" s="1" t="n">
        <v>43899</v>
      </c>
      <c r="C1792" s="1" t="n">
        <v>45710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12701-2020</t>
        </is>
      </c>
      <c r="B1793" s="1" t="n">
        <v>43899</v>
      </c>
      <c r="C1793" s="1" t="n">
        <v>45710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12802-2020</t>
        </is>
      </c>
      <c r="B1794" s="1" t="n">
        <v>43899</v>
      </c>
      <c r="C1794" s="1" t="n">
        <v>45710</v>
      </c>
      <c r="D1794" t="inlineStr">
        <is>
          <t>ÖSTERGÖTLANDS LÄN</t>
        </is>
      </c>
      <c r="E1794" t="inlineStr">
        <is>
          <t>SÖDERKÖPING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12750-2020</t>
        </is>
      </c>
      <c r="B1795" s="1" t="n">
        <v>43899</v>
      </c>
      <c r="C1795" s="1" t="n">
        <v>45710</v>
      </c>
      <c r="D1795" t="inlineStr">
        <is>
          <t>ÖSTERGÖTLANDS LÄN</t>
        </is>
      </c>
      <c r="E1795" t="inlineStr">
        <is>
          <t>SÖDERKÖPING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12640-2020</t>
        </is>
      </c>
      <c r="B1796" s="1" t="n">
        <v>43899</v>
      </c>
      <c r="C1796" s="1" t="n">
        <v>45710</v>
      </c>
      <c r="D1796" t="inlineStr">
        <is>
          <t>ÖSTERGÖTLANDS LÄN</t>
        </is>
      </c>
      <c r="E1796" t="inlineStr">
        <is>
          <t>MJÖLBY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12878-2020</t>
        </is>
      </c>
      <c r="B1797" s="1" t="n">
        <v>43900</v>
      </c>
      <c r="C1797" s="1" t="n">
        <v>45710</v>
      </c>
      <c r="D1797" t="inlineStr">
        <is>
          <t>ÖSTERGÖTLANDS LÄN</t>
        </is>
      </c>
      <c r="E1797" t="inlineStr">
        <is>
          <t>BOXHOLM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13021-2020</t>
        </is>
      </c>
      <c r="B1798" s="1" t="n">
        <v>43900</v>
      </c>
      <c r="C1798" s="1" t="n">
        <v>45710</v>
      </c>
      <c r="D1798" t="inlineStr">
        <is>
          <t>ÖSTERGÖTLANDS LÄN</t>
        </is>
      </c>
      <c r="E1798" t="inlineStr">
        <is>
          <t>BOXHOLM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14213-2020</t>
        </is>
      </c>
      <c r="B1799" s="1" t="n">
        <v>43900</v>
      </c>
      <c r="C1799" s="1" t="n">
        <v>45710</v>
      </c>
      <c r="D1799" t="inlineStr">
        <is>
          <t>ÖSTERGÖTLANDS LÄN</t>
        </is>
      </c>
      <c r="E1799" t="inlineStr">
        <is>
          <t>YDRE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12919-2020</t>
        </is>
      </c>
      <c r="B1800" s="1" t="n">
        <v>43900</v>
      </c>
      <c r="C1800" s="1" t="n">
        <v>45710</v>
      </c>
      <c r="D1800" t="inlineStr">
        <is>
          <t>ÖSTERGÖTLANDS LÄN</t>
        </is>
      </c>
      <c r="E1800" t="inlineStr">
        <is>
          <t>VALDEMARSVIK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13017-2020</t>
        </is>
      </c>
      <c r="B1801" s="1" t="n">
        <v>43900</v>
      </c>
      <c r="C1801" s="1" t="n">
        <v>45710</v>
      </c>
      <c r="D1801" t="inlineStr">
        <is>
          <t>ÖSTERGÖTLANDS LÄN</t>
        </is>
      </c>
      <c r="E1801" t="inlineStr">
        <is>
          <t>BOXHOLM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12951-2020</t>
        </is>
      </c>
      <c r="B1802" s="1" t="n">
        <v>43900</v>
      </c>
      <c r="C1802" s="1" t="n">
        <v>45710</v>
      </c>
      <c r="D1802" t="inlineStr">
        <is>
          <t>ÖSTERGÖTLANDS LÄN</t>
        </is>
      </c>
      <c r="E1802" t="inlineStr">
        <is>
          <t>FINSPÅNG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12928-2020</t>
        </is>
      </c>
      <c r="B1803" s="1" t="n">
        <v>43900</v>
      </c>
      <c r="C1803" s="1" t="n">
        <v>45710</v>
      </c>
      <c r="D1803" t="inlineStr">
        <is>
          <t>ÖSTERGÖTLANDS LÄN</t>
        </is>
      </c>
      <c r="E1803" t="inlineStr">
        <is>
          <t>VALDEMARSVIK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12923-2020</t>
        </is>
      </c>
      <c r="B1804" s="1" t="n">
        <v>43900</v>
      </c>
      <c r="C1804" s="1" t="n">
        <v>45710</v>
      </c>
      <c r="D1804" t="inlineStr">
        <is>
          <t>ÖSTERGÖTLANDS LÄN</t>
        </is>
      </c>
      <c r="E1804" t="inlineStr">
        <is>
          <t>VALDEMARSVIK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12920-2020</t>
        </is>
      </c>
      <c r="B1805" s="1" t="n">
        <v>43900</v>
      </c>
      <c r="C1805" s="1" t="n">
        <v>45710</v>
      </c>
      <c r="D1805" t="inlineStr">
        <is>
          <t>ÖSTERGÖTLANDS LÄN</t>
        </is>
      </c>
      <c r="E1805" t="inlineStr">
        <is>
          <t>VALDEMARSVIK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13106-2020</t>
        </is>
      </c>
      <c r="B1806" s="1" t="n">
        <v>43901</v>
      </c>
      <c r="C1806" s="1" t="n">
        <v>45710</v>
      </c>
      <c r="D1806" t="inlineStr">
        <is>
          <t>ÖSTERGÖTLANDS LÄN</t>
        </is>
      </c>
      <c r="E1806" t="inlineStr">
        <is>
          <t>SÖDERKÖPING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13252-2020</t>
        </is>
      </c>
      <c r="B1807" s="1" t="n">
        <v>43901</v>
      </c>
      <c r="C1807" s="1" t="n">
        <v>45710</v>
      </c>
      <c r="D1807" t="inlineStr">
        <is>
          <t>ÖSTERGÖTLANDS LÄN</t>
        </is>
      </c>
      <c r="E1807" t="inlineStr">
        <is>
          <t>MOTALA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13093-2020</t>
        </is>
      </c>
      <c r="B1808" s="1" t="n">
        <v>43901</v>
      </c>
      <c r="C1808" s="1" t="n">
        <v>45710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13156-2020</t>
        </is>
      </c>
      <c r="B1809" s="1" t="n">
        <v>43901</v>
      </c>
      <c r="C1809" s="1" t="n">
        <v>45710</v>
      </c>
      <c r="D1809" t="inlineStr">
        <is>
          <t>ÖSTERGÖTLANDS LÄN</t>
        </is>
      </c>
      <c r="E1809" t="inlineStr">
        <is>
          <t>MOTALA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14631-2020</t>
        </is>
      </c>
      <c r="B1810" s="1" t="n">
        <v>43901</v>
      </c>
      <c r="C1810" s="1" t="n">
        <v>45710</v>
      </c>
      <c r="D1810" t="inlineStr">
        <is>
          <t>ÖSTERGÖTLANDS LÄN</t>
        </is>
      </c>
      <c r="E1810" t="inlineStr">
        <is>
          <t>NORRKÖPING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13391-2020</t>
        </is>
      </c>
      <c r="B1811" s="1" t="n">
        <v>43902</v>
      </c>
      <c r="C1811" s="1" t="n">
        <v>45710</v>
      </c>
      <c r="D1811" t="inlineStr">
        <is>
          <t>ÖSTERGÖTLANDS LÄN</t>
        </is>
      </c>
      <c r="E1811" t="inlineStr">
        <is>
          <t>SÖDERKÖPING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13476-2020</t>
        </is>
      </c>
      <c r="B1812" s="1" t="n">
        <v>43902</v>
      </c>
      <c r="C1812" s="1" t="n">
        <v>45710</v>
      </c>
      <c r="D1812" t="inlineStr">
        <is>
          <t>ÖSTERGÖTLANDS LÄN</t>
        </is>
      </c>
      <c r="E1812" t="inlineStr">
        <is>
          <t>LINKÖPING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13450-2020</t>
        </is>
      </c>
      <c r="B1813" s="1" t="n">
        <v>43902</v>
      </c>
      <c r="C1813" s="1" t="n">
        <v>45710</v>
      </c>
      <c r="D1813" t="inlineStr">
        <is>
          <t>ÖSTERGÖTLANDS LÄN</t>
        </is>
      </c>
      <c r="E1813" t="inlineStr">
        <is>
          <t>NORRKÖPING</t>
        </is>
      </c>
      <c r="G1813" t="n">
        <v>8.5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13811-2020</t>
        </is>
      </c>
      <c r="B1814" s="1" t="n">
        <v>43905</v>
      </c>
      <c r="C1814" s="1" t="n">
        <v>45710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13814-2020</t>
        </is>
      </c>
      <c r="B1815" s="1" t="n">
        <v>43905</v>
      </c>
      <c r="C1815" s="1" t="n">
        <v>45710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13981-2020</t>
        </is>
      </c>
      <c r="B1816" s="1" t="n">
        <v>43906</v>
      </c>
      <c r="C1816" s="1" t="n">
        <v>45710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13970-2020</t>
        </is>
      </c>
      <c r="B1817" s="1" t="n">
        <v>43906</v>
      </c>
      <c r="C1817" s="1" t="n">
        <v>45710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13966-2020</t>
        </is>
      </c>
      <c r="B1818" s="1" t="n">
        <v>43906</v>
      </c>
      <c r="C1818" s="1" t="n">
        <v>45710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14257-2020</t>
        </is>
      </c>
      <c r="B1819" s="1" t="n">
        <v>43907</v>
      </c>
      <c r="C1819" s="1" t="n">
        <v>45710</v>
      </c>
      <c r="D1819" t="inlineStr">
        <is>
          <t>ÖSTERGÖTLANDS LÄN</t>
        </is>
      </c>
      <c r="E1819" t="inlineStr">
        <is>
          <t>YDRE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14419-2020</t>
        </is>
      </c>
      <c r="B1820" s="1" t="n">
        <v>43908</v>
      </c>
      <c r="C1820" s="1" t="n">
        <v>45710</v>
      </c>
      <c r="D1820" t="inlineStr">
        <is>
          <t>ÖSTERGÖTLANDS LÄN</t>
        </is>
      </c>
      <c r="E1820" t="inlineStr">
        <is>
          <t>VALDEMARSVIK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14500-2020</t>
        </is>
      </c>
      <c r="B1821" s="1" t="n">
        <v>43908</v>
      </c>
      <c r="C1821" s="1" t="n">
        <v>45710</v>
      </c>
      <c r="D1821" t="inlineStr">
        <is>
          <t>ÖSTERGÖTLANDS LÄN</t>
        </is>
      </c>
      <c r="E1821" t="inlineStr">
        <is>
          <t>BOXHOLM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14517-2020</t>
        </is>
      </c>
      <c r="B1822" s="1" t="n">
        <v>43908</v>
      </c>
      <c r="C1822" s="1" t="n">
        <v>45710</v>
      </c>
      <c r="D1822" t="inlineStr">
        <is>
          <t>ÖSTERGÖTLANDS LÄN</t>
        </is>
      </c>
      <c r="E1822" t="inlineStr">
        <is>
          <t>VALDEMARSVIK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14493-2020</t>
        </is>
      </c>
      <c r="B1823" s="1" t="n">
        <v>43908</v>
      </c>
      <c r="C1823" s="1" t="n">
        <v>45710</v>
      </c>
      <c r="D1823" t="inlineStr">
        <is>
          <t>ÖSTERGÖTLANDS LÄN</t>
        </is>
      </c>
      <c r="E1823" t="inlineStr">
        <is>
          <t>NORRKÖPING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14440-2020</t>
        </is>
      </c>
      <c r="B1824" s="1" t="n">
        <v>43908</v>
      </c>
      <c r="C1824" s="1" t="n">
        <v>45710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Allmännings- och besparingsskogar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14849-2020</t>
        </is>
      </c>
      <c r="B1825" s="1" t="n">
        <v>43909</v>
      </c>
      <c r="C1825" s="1" t="n">
        <v>45710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14834-2020</t>
        </is>
      </c>
      <c r="B1826" s="1" t="n">
        <v>43909</v>
      </c>
      <c r="C1826" s="1" t="n">
        <v>45710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Övriga Aktiebolag</t>
        </is>
      </c>
      <c r="G1826" t="n">
        <v>8.800000000000001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14840-2020</t>
        </is>
      </c>
      <c r="B1827" s="1" t="n">
        <v>43909</v>
      </c>
      <c r="C1827" s="1" t="n">
        <v>45710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Övriga Aktiebolag</t>
        </is>
      </c>
      <c r="G1827" t="n">
        <v>15.6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14850-2020</t>
        </is>
      </c>
      <c r="B1828" s="1" t="n">
        <v>43909</v>
      </c>
      <c r="C1828" s="1" t="n">
        <v>45710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6.8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16593-2020</t>
        </is>
      </c>
      <c r="B1829" s="1" t="n">
        <v>43909</v>
      </c>
      <c r="C1829" s="1" t="n">
        <v>45710</v>
      </c>
      <c r="D1829" t="inlineStr">
        <is>
          <t>ÖSTERGÖTLANDS LÄN</t>
        </is>
      </c>
      <c r="E1829" t="inlineStr">
        <is>
          <t>ÅTVIDABERG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14890-2020</t>
        </is>
      </c>
      <c r="B1830" s="1" t="n">
        <v>43910</v>
      </c>
      <c r="C1830" s="1" t="n">
        <v>45710</v>
      </c>
      <c r="D1830" t="inlineStr">
        <is>
          <t>ÖSTERGÖTLANDS LÄN</t>
        </is>
      </c>
      <c r="E1830" t="inlineStr">
        <is>
          <t>SÖDERKÖPING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14899-2020</t>
        </is>
      </c>
      <c r="B1831" s="1" t="n">
        <v>43910</v>
      </c>
      <c r="C1831" s="1" t="n">
        <v>45710</v>
      </c>
      <c r="D1831" t="inlineStr">
        <is>
          <t>ÖSTERGÖTLANDS LÄN</t>
        </is>
      </c>
      <c r="E1831" t="inlineStr">
        <is>
          <t>SÖDERKÖPING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14942-2020</t>
        </is>
      </c>
      <c r="B1832" s="1" t="n">
        <v>43910</v>
      </c>
      <c r="C1832" s="1" t="n">
        <v>45710</v>
      </c>
      <c r="D1832" t="inlineStr">
        <is>
          <t>ÖSTERGÖTLANDS LÄN</t>
        </is>
      </c>
      <c r="E1832" t="inlineStr">
        <is>
          <t>NORRKÖPING</t>
        </is>
      </c>
      <c r="F1832" t="inlineStr">
        <is>
          <t>Holmen skog AB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15047-2020</t>
        </is>
      </c>
      <c r="B1833" s="1" t="n">
        <v>43910</v>
      </c>
      <c r="C1833" s="1" t="n">
        <v>45710</v>
      </c>
      <c r="D1833" t="inlineStr">
        <is>
          <t>ÖSTERGÖTLANDS LÄN</t>
        </is>
      </c>
      <c r="E1833" t="inlineStr">
        <is>
          <t>SÖDERKÖPING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14901-2020</t>
        </is>
      </c>
      <c r="B1834" s="1" t="n">
        <v>43910</v>
      </c>
      <c r="C1834" s="1" t="n">
        <v>45710</v>
      </c>
      <c r="D1834" t="inlineStr">
        <is>
          <t>ÖSTERGÖTLANDS LÄN</t>
        </is>
      </c>
      <c r="E1834" t="inlineStr">
        <is>
          <t>SÖDERKÖPING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14883-2020</t>
        </is>
      </c>
      <c r="B1835" s="1" t="n">
        <v>43910</v>
      </c>
      <c r="C1835" s="1" t="n">
        <v>45710</v>
      </c>
      <c r="D1835" t="inlineStr">
        <is>
          <t>ÖSTERGÖTLANDS LÄN</t>
        </is>
      </c>
      <c r="E1835" t="inlineStr">
        <is>
          <t>SÖDERKÖPING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14897-2020</t>
        </is>
      </c>
      <c r="B1836" s="1" t="n">
        <v>43910</v>
      </c>
      <c r="C1836" s="1" t="n">
        <v>45710</v>
      </c>
      <c r="D1836" t="inlineStr">
        <is>
          <t>ÖSTERGÖTLANDS LÄN</t>
        </is>
      </c>
      <c r="E1836" t="inlineStr">
        <is>
          <t>SÖDERKÖPING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15080-2020</t>
        </is>
      </c>
      <c r="B1837" s="1" t="n">
        <v>43910</v>
      </c>
      <c r="C1837" s="1" t="n">
        <v>45710</v>
      </c>
      <c r="D1837" t="inlineStr">
        <is>
          <t>ÖSTERGÖTLANDS LÄN</t>
        </is>
      </c>
      <c r="E1837" t="inlineStr">
        <is>
          <t>KINDA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15177-2020</t>
        </is>
      </c>
      <c r="B1838" s="1" t="n">
        <v>43913</v>
      </c>
      <c r="C1838" s="1" t="n">
        <v>45710</v>
      </c>
      <c r="D1838" t="inlineStr">
        <is>
          <t>ÖSTERGÖTLANDS LÄN</t>
        </is>
      </c>
      <c r="E1838" t="inlineStr">
        <is>
          <t>VALDEMARSVIK</t>
        </is>
      </c>
      <c r="G1838" t="n">
        <v>6.4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15216-2020</t>
        </is>
      </c>
      <c r="B1839" s="1" t="n">
        <v>43913</v>
      </c>
      <c r="C1839" s="1" t="n">
        <v>45710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15365-2020</t>
        </is>
      </c>
      <c r="B1840" s="1" t="n">
        <v>43913</v>
      </c>
      <c r="C1840" s="1" t="n">
        <v>45710</v>
      </c>
      <c r="D1840" t="inlineStr">
        <is>
          <t>ÖSTERGÖTLANDS LÄN</t>
        </is>
      </c>
      <c r="E1840" t="inlineStr">
        <is>
          <t>SÖDERKÖPING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15204-2020</t>
        </is>
      </c>
      <c r="B1841" s="1" t="n">
        <v>43913</v>
      </c>
      <c r="C1841" s="1" t="n">
        <v>45710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Holmen skog AB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15437-2020</t>
        </is>
      </c>
      <c r="B1842" s="1" t="n">
        <v>43914</v>
      </c>
      <c r="C1842" s="1" t="n">
        <v>45710</v>
      </c>
      <c r="D1842" t="inlineStr">
        <is>
          <t>ÖSTERGÖTLANDS LÄN</t>
        </is>
      </c>
      <c r="E1842" t="inlineStr">
        <is>
          <t>SÖDERKÖPING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15456-2020</t>
        </is>
      </c>
      <c r="B1843" s="1" t="n">
        <v>43914</v>
      </c>
      <c r="C1843" s="1" t="n">
        <v>45710</v>
      </c>
      <c r="D1843" t="inlineStr">
        <is>
          <t>ÖSTERGÖTLANDS LÄN</t>
        </is>
      </c>
      <c r="E1843" t="inlineStr">
        <is>
          <t>SÖDERKÖPING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15565-2020</t>
        </is>
      </c>
      <c r="B1844" s="1" t="n">
        <v>43914</v>
      </c>
      <c r="C1844" s="1" t="n">
        <v>45710</v>
      </c>
      <c r="D1844" t="inlineStr">
        <is>
          <t>ÖSTERGÖTLANDS LÄN</t>
        </is>
      </c>
      <c r="E1844" t="inlineStr">
        <is>
          <t>YDRE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17112-2020</t>
        </is>
      </c>
      <c r="B1845" s="1" t="n">
        <v>43914</v>
      </c>
      <c r="C1845" s="1" t="n">
        <v>45710</v>
      </c>
      <c r="D1845" t="inlineStr">
        <is>
          <t>ÖSTERGÖTLANDS LÄN</t>
        </is>
      </c>
      <c r="E1845" t="inlineStr">
        <is>
          <t>KINDA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14728-2020</t>
        </is>
      </c>
      <c r="B1846" s="1" t="n">
        <v>43915</v>
      </c>
      <c r="C1846" s="1" t="n">
        <v>45710</v>
      </c>
      <c r="D1846" t="inlineStr">
        <is>
          <t>ÖSTERGÖTLANDS LÄN</t>
        </is>
      </c>
      <c r="E1846" t="inlineStr">
        <is>
          <t>KINDA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15762-2020</t>
        </is>
      </c>
      <c r="B1847" s="1" t="n">
        <v>43915</v>
      </c>
      <c r="C1847" s="1" t="n">
        <v>45710</v>
      </c>
      <c r="D1847" t="inlineStr">
        <is>
          <t>ÖSTERGÖTLANDS LÄN</t>
        </is>
      </c>
      <c r="E1847" t="inlineStr">
        <is>
          <t>LINKÖPING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17251-2020</t>
        </is>
      </c>
      <c r="B1848" s="1" t="n">
        <v>43915</v>
      </c>
      <c r="C1848" s="1" t="n">
        <v>45710</v>
      </c>
      <c r="D1848" t="inlineStr">
        <is>
          <t>ÖSTERGÖTLANDS LÄN</t>
        </is>
      </c>
      <c r="E1848" t="inlineStr">
        <is>
          <t>NORRKÖPING</t>
        </is>
      </c>
      <c r="F1848" t="inlineStr">
        <is>
          <t>Allmännings- och besparingsskogar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15728-2020</t>
        </is>
      </c>
      <c r="B1849" s="1" t="n">
        <v>43915</v>
      </c>
      <c r="C1849" s="1" t="n">
        <v>45710</v>
      </c>
      <c r="D1849" t="inlineStr">
        <is>
          <t>ÖSTERGÖTLANDS LÄN</t>
        </is>
      </c>
      <c r="E1849" t="inlineStr">
        <is>
          <t>LINKÖPING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15747-2020</t>
        </is>
      </c>
      <c r="B1850" s="1" t="n">
        <v>43915</v>
      </c>
      <c r="C1850" s="1" t="n">
        <v>45710</v>
      </c>
      <c r="D1850" t="inlineStr">
        <is>
          <t>ÖSTERGÖTLANDS LÄN</t>
        </is>
      </c>
      <c r="E1850" t="inlineStr">
        <is>
          <t>LINKÖPING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15739-2020</t>
        </is>
      </c>
      <c r="B1851" s="1" t="n">
        <v>43915</v>
      </c>
      <c r="C1851" s="1" t="n">
        <v>45710</v>
      </c>
      <c r="D1851" t="inlineStr">
        <is>
          <t>ÖSTERGÖTLANDS LÄN</t>
        </is>
      </c>
      <c r="E1851" t="inlineStr">
        <is>
          <t>LINKÖPING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15723-2020</t>
        </is>
      </c>
      <c r="B1852" s="1" t="n">
        <v>43915</v>
      </c>
      <c r="C1852" s="1" t="n">
        <v>45710</v>
      </c>
      <c r="D1852" t="inlineStr">
        <is>
          <t>ÖSTERGÖTLANDS LÄN</t>
        </is>
      </c>
      <c r="E1852" t="inlineStr">
        <is>
          <t>SÖDERKÖPING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15706-2020</t>
        </is>
      </c>
      <c r="B1853" s="1" t="n">
        <v>43915</v>
      </c>
      <c r="C1853" s="1" t="n">
        <v>45710</v>
      </c>
      <c r="D1853" t="inlineStr">
        <is>
          <t>ÖSTERGÖTLANDS LÄN</t>
        </is>
      </c>
      <c r="E1853" t="inlineStr">
        <is>
          <t>LINKÖPING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15715-2020</t>
        </is>
      </c>
      <c r="B1854" s="1" t="n">
        <v>43915</v>
      </c>
      <c r="C1854" s="1" t="n">
        <v>45710</v>
      </c>
      <c r="D1854" t="inlineStr">
        <is>
          <t>ÖSTERGÖTLANDS LÄN</t>
        </is>
      </c>
      <c r="E1854" t="inlineStr">
        <is>
          <t>ÅTVIDABERG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16020-2020</t>
        </is>
      </c>
      <c r="B1855" s="1" t="n">
        <v>43916</v>
      </c>
      <c r="C1855" s="1" t="n">
        <v>45710</v>
      </c>
      <c r="D1855" t="inlineStr">
        <is>
          <t>ÖSTERGÖTLANDS LÄN</t>
        </is>
      </c>
      <c r="E1855" t="inlineStr">
        <is>
          <t>ÅTVIDABERG</t>
        </is>
      </c>
      <c r="F1855" t="inlineStr">
        <is>
          <t>Sveaskog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16008-2020</t>
        </is>
      </c>
      <c r="B1856" s="1" t="n">
        <v>43916</v>
      </c>
      <c r="C1856" s="1" t="n">
        <v>45710</v>
      </c>
      <c r="D1856" t="inlineStr">
        <is>
          <t>ÖSTERGÖTLANDS LÄN</t>
        </is>
      </c>
      <c r="E1856" t="inlineStr">
        <is>
          <t>FINSPÅNG</t>
        </is>
      </c>
      <c r="F1856" t="inlineStr">
        <is>
          <t>Holmen skog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16015-2020</t>
        </is>
      </c>
      <c r="B1857" s="1" t="n">
        <v>43916</v>
      </c>
      <c r="C1857" s="1" t="n">
        <v>45710</v>
      </c>
      <c r="D1857" t="inlineStr">
        <is>
          <t>ÖSTERGÖTLANDS LÄN</t>
        </is>
      </c>
      <c r="E1857" t="inlineStr">
        <is>
          <t>NORRKÖPING</t>
        </is>
      </c>
      <c r="F1857" t="inlineStr">
        <is>
          <t>Holmen skog AB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16132-2020</t>
        </is>
      </c>
      <c r="B1858" s="1" t="n">
        <v>43916</v>
      </c>
      <c r="C1858" s="1" t="n">
        <v>45710</v>
      </c>
      <c r="D1858" t="inlineStr">
        <is>
          <t>ÖSTERGÖTLANDS LÄN</t>
        </is>
      </c>
      <c r="E1858" t="inlineStr">
        <is>
          <t>VALDEMARSVIK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16204-2020</t>
        </is>
      </c>
      <c r="B1859" s="1" t="n">
        <v>43917</v>
      </c>
      <c r="C1859" s="1" t="n">
        <v>45710</v>
      </c>
      <c r="D1859" t="inlineStr">
        <is>
          <t>ÖSTERGÖTLANDS LÄN</t>
        </is>
      </c>
      <c r="E1859" t="inlineStr">
        <is>
          <t>MOTALA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16515-2020</t>
        </is>
      </c>
      <c r="B1860" s="1" t="n">
        <v>43917</v>
      </c>
      <c r="C1860" s="1" t="n">
        <v>45710</v>
      </c>
      <c r="D1860" t="inlineStr">
        <is>
          <t>ÖSTERGÖTLANDS LÄN</t>
        </is>
      </c>
      <c r="E1860" t="inlineStr">
        <is>
          <t>KINDA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16659-2020</t>
        </is>
      </c>
      <c r="B1861" s="1" t="n">
        <v>43920</v>
      </c>
      <c r="C1861" s="1" t="n">
        <v>45710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Holmen skog AB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16462-2020</t>
        </is>
      </c>
      <c r="B1862" s="1" t="n">
        <v>43920</v>
      </c>
      <c r="C1862" s="1" t="n">
        <v>45710</v>
      </c>
      <c r="D1862" t="inlineStr">
        <is>
          <t>ÖSTERGÖTLANDS LÄN</t>
        </is>
      </c>
      <c r="E1862" t="inlineStr">
        <is>
          <t>NORRKÖPING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16463-2020</t>
        </is>
      </c>
      <c r="B1863" s="1" t="n">
        <v>43920</v>
      </c>
      <c r="C1863" s="1" t="n">
        <v>45710</v>
      </c>
      <c r="D1863" t="inlineStr">
        <is>
          <t>ÖSTERGÖTLANDS LÄN</t>
        </is>
      </c>
      <c r="E1863" t="inlineStr">
        <is>
          <t>NORRKÖPING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16465-2020</t>
        </is>
      </c>
      <c r="B1864" s="1" t="n">
        <v>43920</v>
      </c>
      <c r="C1864" s="1" t="n">
        <v>45710</v>
      </c>
      <c r="D1864" t="inlineStr">
        <is>
          <t>ÖSTERGÖTLANDS LÄN</t>
        </is>
      </c>
      <c r="E1864" t="inlineStr">
        <is>
          <t>NORRKÖPING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16613-2020</t>
        </is>
      </c>
      <c r="B1865" s="1" t="n">
        <v>43920</v>
      </c>
      <c r="C1865" s="1" t="n">
        <v>45710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17555-2020</t>
        </is>
      </c>
      <c r="B1866" s="1" t="n">
        <v>43921</v>
      </c>
      <c r="C1866" s="1" t="n">
        <v>45710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17294-2020</t>
        </is>
      </c>
      <c r="B1867" s="1" t="n">
        <v>43922</v>
      </c>
      <c r="C1867" s="1" t="n">
        <v>45710</v>
      </c>
      <c r="D1867" t="inlineStr">
        <is>
          <t>ÖSTERGÖTLANDS LÄN</t>
        </is>
      </c>
      <c r="E1867" t="inlineStr">
        <is>
          <t>MJÖLBY</t>
        </is>
      </c>
      <c r="F1867" t="inlineStr">
        <is>
          <t>Övriga Aktiebolag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17472-2020</t>
        </is>
      </c>
      <c r="B1868" s="1" t="n">
        <v>43923</v>
      </c>
      <c r="C1868" s="1" t="n">
        <v>45710</v>
      </c>
      <c r="D1868" t="inlineStr">
        <is>
          <t>ÖSTERGÖTLANDS LÄN</t>
        </is>
      </c>
      <c r="E1868" t="inlineStr">
        <is>
          <t>LINKÖPING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17470-2020</t>
        </is>
      </c>
      <c r="B1869" s="1" t="n">
        <v>43923</v>
      </c>
      <c r="C1869" s="1" t="n">
        <v>45710</v>
      </c>
      <c r="D1869" t="inlineStr">
        <is>
          <t>ÖSTERGÖTLANDS LÄN</t>
        </is>
      </c>
      <c r="E1869" t="inlineStr">
        <is>
          <t>LINKÖPING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17872-2020</t>
        </is>
      </c>
      <c r="B1870" s="1" t="n">
        <v>43923</v>
      </c>
      <c r="C1870" s="1" t="n">
        <v>45710</v>
      </c>
      <c r="D1870" t="inlineStr">
        <is>
          <t>ÖSTERGÖTLANDS LÄN</t>
        </is>
      </c>
      <c r="E1870" t="inlineStr">
        <is>
          <t>KINDA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17823-2020</t>
        </is>
      </c>
      <c r="B1871" s="1" t="n">
        <v>43924</v>
      </c>
      <c r="C1871" s="1" t="n">
        <v>45710</v>
      </c>
      <c r="D1871" t="inlineStr">
        <is>
          <t>ÖSTERGÖTLANDS LÄN</t>
        </is>
      </c>
      <c r="E1871" t="inlineStr">
        <is>
          <t>KINDA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17875-2020</t>
        </is>
      </c>
      <c r="B1872" s="1" t="n">
        <v>43924</v>
      </c>
      <c r="C1872" s="1" t="n">
        <v>45710</v>
      </c>
      <c r="D1872" t="inlineStr">
        <is>
          <t>ÖSTERGÖTLANDS LÄN</t>
        </is>
      </c>
      <c r="E1872" t="inlineStr">
        <is>
          <t>LINKÖPING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18220-2020</t>
        </is>
      </c>
      <c r="B1873" s="1" t="n">
        <v>43928</v>
      </c>
      <c r="C1873" s="1" t="n">
        <v>45710</v>
      </c>
      <c r="D1873" t="inlineStr">
        <is>
          <t>ÖSTERGÖTLANDS LÄN</t>
        </is>
      </c>
      <c r="E1873" t="inlineStr">
        <is>
          <t>MJÖLBY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18393-2020</t>
        </is>
      </c>
      <c r="B1874" s="1" t="n">
        <v>43928</v>
      </c>
      <c r="C1874" s="1" t="n">
        <v>45710</v>
      </c>
      <c r="D1874" t="inlineStr">
        <is>
          <t>ÖSTERGÖTLANDS LÄN</t>
        </is>
      </c>
      <c r="E1874" t="inlineStr">
        <is>
          <t>VALDEMARSVIK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18639-2020</t>
        </is>
      </c>
      <c r="B1875" s="1" t="n">
        <v>43928</v>
      </c>
      <c r="C1875" s="1" t="n">
        <v>45710</v>
      </c>
      <c r="D1875" t="inlineStr">
        <is>
          <t>ÖSTERGÖTLANDS LÄN</t>
        </is>
      </c>
      <c r="E1875" t="inlineStr">
        <is>
          <t>MOTALA</t>
        </is>
      </c>
      <c r="G1875" t="n">
        <v>11.4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18398-2020</t>
        </is>
      </c>
      <c r="B1876" s="1" t="n">
        <v>43928</v>
      </c>
      <c r="C1876" s="1" t="n">
        <v>45710</v>
      </c>
      <c r="D1876" t="inlineStr">
        <is>
          <t>ÖSTERGÖTLANDS LÄN</t>
        </is>
      </c>
      <c r="E1876" t="inlineStr">
        <is>
          <t>YDRE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18572-2020</t>
        </is>
      </c>
      <c r="B1877" s="1" t="n">
        <v>43929</v>
      </c>
      <c r="C1877" s="1" t="n">
        <v>45710</v>
      </c>
      <c r="D1877" t="inlineStr">
        <is>
          <t>ÖSTERGÖTLANDS LÄN</t>
        </is>
      </c>
      <c r="E1877" t="inlineStr">
        <is>
          <t>BOXHOLM</t>
        </is>
      </c>
      <c r="F1877" t="inlineStr">
        <is>
          <t>Övriga Aktiebolag</t>
        </is>
      </c>
      <c r="G1877" t="n">
        <v>8.5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18571-2020</t>
        </is>
      </c>
      <c r="B1878" s="1" t="n">
        <v>43929</v>
      </c>
      <c r="C1878" s="1" t="n">
        <v>45710</v>
      </c>
      <c r="D1878" t="inlineStr">
        <is>
          <t>ÖSTERGÖTLANDS LÄN</t>
        </is>
      </c>
      <c r="E1878" t="inlineStr">
        <is>
          <t>MJÖLBY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18863-2020</t>
        </is>
      </c>
      <c r="B1879" s="1" t="n">
        <v>43930</v>
      </c>
      <c r="C1879" s="1" t="n">
        <v>45710</v>
      </c>
      <c r="D1879" t="inlineStr">
        <is>
          <t>ÖSTERGÖTLANDS LÄN</t>
        </is>
      </c>
      <c r="E1879" t="inlineStr">
        <is>
          <t>KINDA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18873-2020</t>
        </is>
      </c>
      <c r="B1880" s="1" t="n">
        <v>43935</v>
      </c>
      <c r="C1880" s="1" t="n">
        <v>45710</v>
      </c>
      <c r="D1880" t="inlineStr">
        <is>
          <t>ÖSTERGÖTLANDS LÄN</t>
        </is>
      </c>
      <c r="E1880" t="inlineStr">
        <is>
          <t>MJÖLBY</t>
        </is>
      </c>
      <c r="F1880" t="inlineStr">
        <is>
          <t>Kommuner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18974-2020</t>
        </is>
      </c>
      <c r="B1881" s="1" t="n">
        <v>43935</v>
      </c>
      <c r="C1881" s="1" t="n">
        <v>45710</v>
      </c>
      <c r="D1881" t="inlineStr">
        <is>
          <t>ÖSTERGÖTLANDS LÄN</t>
        </is>
      </c>
      <c r="E1881" t="inlineStr">
        <is>
          <t>MJÖLBY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19040-2020</t>
        </is>
      </c>
      <c r="B1882" s="1" t="n">
        <v>43936</v>
      </c>
      <c r="C1882" s="1" t="n">
        <v>45710</v>
      </c>
      <c r="D1882" t="inlineStr">
        <is>
          <t>ÖSTERGÖTLANDS LÄN</t>
        </is>
      </c>
      <c r="E1882" t="inlineStr">
        <is>
          <t>KINDA</t>
        </is>
      </c>
      <c r="F1882" t="inlineStr">
        <is>
          <t>Sveaskog</t>
        </is>
      </c>
      <c r="G1882" t="n">
        <v>4.3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19039-2020</t>
        </is>
      </c>
      <c r="B1883" s="1" t="n">
        <v>43936</v>
      </c>
      <c r="C1883" s="1" t="n">
        <v>45710</v>
      </c>
      <c r="D1883" t="inlineStr">
        <is>
          <t>ÖSTERGÖTLANDS LÄN</t>
        </is>
      </c>
      <c r="E1883" t="inlineStr">
        <is>
          <t>KINDA</t>
        </is>
      </c>
      <c r="F1883" t="inlineStr">
        <is>
          <t>Sveaskog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19088-2020</t>
        </is>
      </c>
      <c r="B1884" s="1" t="n">
        <v>43936</v>
      </c>
      <c r="C1884" s="1" t="n">
        <v>45710</v>
      </c>
      <c r="D1884" t="inlineStr">
        <is>
          <t>ÖSTERGÖTLANDS LÄN</t>
        </is>
      </c>
      <c r="E1884" t="inlineStr">
        <is>
          <t>FINSPÅNG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19101-2020</t>
        </is>
      </c>
      <c r="B1885" s="1" t="n">
        <v>43936</v>
      </c>
      <c r="C1885" s="1" t="n">
        <v>45710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19081-2020</t>
        </is>
      </c>
      <c r="B1886" s="1" t="n">
        <v>43936</v>
      </c>
      <c r="C1886" s="1" t="n">
        <v>45710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19035-2020</t>
        </is>
      </c>
      <c r="B1887" s="1" t="n">
        <v>43936</v>
      </c>
      <c r="C1887" s="1" t="n">
        <v>45710</v>
      </c>
      <c r="D1887" t="inlineStr">
        <is>
          <t>ÖSTERGÖTLANDS LÄN</t>
        </is>
      </c>
      <c r="E1887" t="inlineStr">
        <is>
          <t>KINDA</t>
        </is>
      </c>
      <c r="F1887" t="inlineStr">
        <is>
          <t>Sveaskog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19226-2020</t>
        </is>
      </c>
      <c r="B1888" s="1" t="n">
        <v>43937</v>
      </c>
      <c r="C1888" s="1" t="n">
        <v>45710</v>
      </c>
      <c r="D1888" t="inlineStr">
        <is>
          <t>ÖSTERGÖTLANDS LÄN</t>
        </is>
      </c>
      <c r="E1888" t="inlineStr">
        <is>
          <t>LINKÖPING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19346-2020</t>
        </is>
      </c>
      <c r="B1889" s="1" t="n">
        <v>43937</v>
      </c>
      <c r="C1889" s="1" t="n">
        <v>45710</v>
      </c>
      <c r="D1889" t="inlineStr">
        <is>
          <t>ÖSTERGÖTLANDS LÄN</t>
        </is>
      </c>
      <c r="E1889" t="inlineStr">
        <is>
          <t>LINKÖPING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19171-2020</t>
        </is>
      </c>
      <c r="B1890" s="1" t="n">
        <v>43937</v>
      </c>
      <c r="C1890" s="1" t="n">
        <v>45710</v>
      </c>
      <c r="D1890" t="inlineStr">
        <is>
          <t>ÖSTERGÖTLANDS LÄN</t>
        </is>
      </c>
      <c r="E1890" t="inlineStr">
        <is>
          <t>KINDA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19192-2020</t>
        </is>
      </c>
      <c r="B1891" s="1" t="n">
        <v>43937</v>
      </c>
      <c r="C1891" s="1" t="n">
        <v>45710</v>
      </c>
      <c r="D1891" t="inlineStr">
        <is>
          <t>ÖSTERGÖTLANDS LÄN</t>
        </is>
      </c>
      <c r="E1891" t="inlineStr">
        <is>
          <t>MOTALA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19390-2020</t>
        </is>
      </c>
      <c r="B1892" s="1" t="n">
        <v>43938</v>
      </c>
      <c r="C1892" s="1" t="n">
        <v>45710</v>
      </c>
      <c r="D1892" t="inlineStr">
        <is>
          <t>ÖSTERGÖTLANDS LÄN</t>
        </is>
      </c>
      <c r="E1892" t="inlineStr">
        <is>
          <t>ÅTVIDABERG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19440-2020</t>
        </is>
      </c>
      <c r="B1893" s="1" t="n">
        <v>43938</v>
      </c>
      <c r="C1893" s="1" t="n">
        <v>45710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Övriga Aktiebolag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19496-2020</t>
        </is>
      </c>
      <c r="B1894" s="1" t="n">
        <v>43938</v>
      </c>
      <c r="C1894" s="1" t="n">
        <v>45710</v>
      </c>
      <c r="D1894" t="inlineStr">
        <is>
          <t>ÖSTERGÖTLANDS LÄN</t>
        </is>
      </c>
      <c r="E1894" t="inlineStr">
        <is>
          <t>FINSPÅNG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19494-2020</t>
        </is>
      </c>
      <c r="B1895" s="1" t="n">
        <v>43938</v>
      </c>
      <c r="C1895" s="1" t="n">
        <v>45710</v>
      </c>
      <c r="D1895" t="inlineStr">
        <is>
          <t>ÖSTERGÖTLANDS LÄN</t>
        </is>
      </c>
      <c r="E1895" t="inlineStr">
        <is>
          <t>FINSPÅNG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19526-2020</t>
        </is>
      </c>
      <c r="B1896" s="1" t="n">
        <v>43940</v>
      </c>
      <c r="C1896" s="1" t="n">
        <v>45710</v>
      </c>
      <c r="D1896" t="inlineStr">
        <is>
          <t>ÖSTERGÖTLANDS LÄN</t>
        </is>
      </c>
      <c r="E1896" t="inlineStr">
        <is>
          <t>SÖDERKÖPING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19638-2020</t>
        </is>
      </c>
      <c r="B1897" s="1" t="n">
        <v>43941</v>
      </c>
      <c r="C1897" s="1" t="n">
        <v>45710</v>
      </c>
      <c r="D1897" t="inlineStr">
        <is>
          <t>ÖSTERGÖTLANDS LÄN</t>
        </is>
      </c>
      <c r="E1897" t="inlineStr">
        <is>
          <t>LINKÖPING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19689-2020</t>
        </is>
      </c>
      <c r="B1898" s="1" t="n">
        <v>43941</v>
      </c>
      <c r="C1898" s="1" t="n">
        <v>45710</v>
      </c>
      <c r="D1898" t="inlineStr">
        <is>
          <t>ÖSTERGÖTLANDS LÄN</t>
        </is>
      </c>
      <c r="E1898" t="inlineStr">
        <is>
          <t>KINDA</t>
        </is>
      </c>
      <c r="F1898" t="inlineStr">
        <is>
          <t>Övriga Aktiebolag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19787-2020</t>
        </is>
      </c>
      <c r="B1899" s="1" t="n">
        <v>43942</v>
      </c>
      <c r="C1899" s="1" t="n">
        <v>45710</v>
      </c>
      <c r="D1899" t="inlineStr">
        <is>
          <t>ÖSTERGÖTLANDS LÄN</t>
        </is>
      </c>
      <c r="E1899" t="inlineStr">
        <is>
          <t>ÅTVIDABERG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19854-2020</t>
        </is>
      </c>
      <c r="B1900" s="1" t="n">
        <v>43942</v>
      </c>
      <c r="C1900" s="1" t="n">
        <v>45710</v>
      </c>
      <c r="D1900" t="inlineStr">
        <is>
          <t>ÖSTERGÖTLANDS LÄN</t>
        </is>
      </c>
      <c r="E1900" t="inlineStr">
        <is>
          <t>MJÖLBY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19962-2020</t>
        </is>
      </c>
      <c r="B1901" s="1" t="n">
        <v>43942</v>
      </c>
      <c r="C1901" s="1" t="n">
        <v>45710</v>
      </c>
      <c r="D1901" t="inlineStr">
        <is>
          <t>ÖSTERGÖTLANDS LÄN</t>
        </is>
      </c>
      <c r="E1901" t="inlineStr">
        <is>
          <t>MOTALA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20036-2020</t>
        </is>
      </c>
      <c r="B1902" s="1" t="n">
        <v>43943</v>
      </c>
      <c r="C1902" s="1" t="n">
        <v>45710</v>
      </c>
      <c r="D1902" t="inlineStr">
        <is>
          <t>ÖSTERGÖTLANDS LÄN</t>
        </is>
      </c>
      <c r="E1902" t="inlineStr">
        <is>
          <t>MOTALA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20068-2020</t>
        </is>
      </c>
      <c r="B1903" s="1" t="n">
        <v>43943</v>
      </c>
      <c r="C1903" s="1" t="n">
        <v>45710</v>
      </c>
      <c r="D1903" t="inlineStr">
        <is>
          <t>ÖSTERGÖTLANDS LÄN</t>
        </is>
      </c>
      <c r="E1903" t="inlineStr">
        <is>
          <t>VALDEMARSVIK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20069-2020</t>
        </is>
      </c>
      <c r="B1904" s="1" t="n">
        <v>43943</v>
      </c>
      <c r="C1904" s="1" t="n">
        <v>45710</v>
      </c>
      <c r="D1904" t="inlineStr">
        <is>
          <t>ÖSTERGÖTLANDS LÄN</t>
        </is>
      </c>
      <c r="E1904" t="inlineStr">
        <is>
          <t>VALDEMARSVIK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20219-2020</t>
        </is>
      </c>
      <c r="B1905" s="1" t="n">
        <v>43944</v>
      </c>
      <c r="C1905" s="1" t="n">
        <v>45710</v>
      </c>
      <c r="D1905" t="inlineStr">
        <is>
          <t>ÖSTERGÖTLANDS LÄN</t>
        </is>
      </c>
      <c r="E1905" t="inlineStr">
        <is>
          <t>LINKÖPING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20307-2020</t>
        </is>
      </c>
      <c r="B1906" s="1" t="n">
        <v>43944</v>
      </c>
      <c r="C1906" s="1" t="n">
        <v>45710</v>
      </c>
      <c r="D1906" t="inlineStr">
        <is>
          <t>ÖSTERGÖTLANDS LÄN</t>
        </is>
      </c>
      <c r="E1906" t="inlineStr">
        <is>
          <t>MOTALA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20247-2020</t>
        </is>
      </c>
      <c r="B1907" s="1" t="n">
        <v>43945</v>
      </c>
      <c r="C1907" s="1" t="n">
        <v>45710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5.3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20859-2020</t>
        </is>
      </c>
      <c r="B1908" s="1" t="n">
        <v>43948</v>
      </c>
      <c r="C1908" s="1" t="n">
        <v>45710</v>
      </c>
      <c r="D1908" t="inlineStr">
        <is>
          <t>ÖSTERGÖTLANDS LÄN</t>
        </is>
      </c>
      <c r="E1908" t="inlineStr">
        <is>
          <t>FINSPÅNG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20551-2020</t>
        </is>
      </c>
      <c r="B1909" s="1" t="n">
        <v>43948</v>
      </c>
      <c r="C1909" s="1" t="n">
        <v>45710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20534-2020</t>
        </is>
      </c>
      <c r="B1910" s="1" t="n">
        <v>43948</v>
      </c>
      <c r="C1910" s="1" t="n">
        <v>45710</v>
      </c>
      <c r="D1910" t="inlineStr">
        <is>
          <t>ÖSTERGÖTLANDS LÄN</t>
        </is>
      </c>
      <c r="E1910" t="inlineStr">
        <is>
          <t>VALDEMARSVIK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20561-2020</t>
        </is>
      </c>
      <c r="B1911" s="1" t="n">
        <v>43948</v>
      </c>
      <c r="C1911" s="1" t="n">
        <v>45710</v>
      </c>
      <c r="D1911" t="inlineStr">
        <is>
          <t>ÖSTERGÖTLANDS LÄN</t>
        </is>
      </c>
      <c r="E1911" t="inlineStr">
        <is>
          <t>BOXHOLM</t>
        </is>
      </c>
      <c r="F1911" t="inlineStr">
        <is>
          <t>Övriga Aktiebolag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20746-2020</t>
        </is>
      </c>
      <c r="B1912" s="1" t="n">
        <v>43949</v>
      </c>
      <c r="C1912" s="1" t="n">
        <v>45710</v>
      </c>
      <c r="D1912" t="inlineStr">
        <is>
          <t>ÖSTERGÖTLANDS LÄN</t>
        </is>
      </c>
      <c r="E1912" t="inlineStr">
        <is>
          <t>FINSPÅNG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20775-2020</t>
        </is>
      </c>
      <c r="B1913" s="1" t="n">
        <v>43949</v>
      </c>
      <c r="C1913" s="1" t="n">
        <v>45710</v>
      </c>
      <c r="D1913" t="inlineStr">
        <is>
          <t>ÖSTERGÖTLANDS LÄN</t>
        </is>
      </c>
      <c r="E1913" t="inlineStr">
        <is>
          <t>SÖDERKÖPING</t>
        </is>
      </c>
      <c r="G1913" t="n">
        <v>5.4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20790-2020</t>
        </is>
      </c>
      <c r="B1914" s="1" t="n">
        <v>43949</v>
      </c>
      <c r="C1914" s="1" t="n">
        <v>45710</v>
      </c>
      <c r="D1914" t="inlineStr">
        <is>
          <t>ÖSTERGÖTLANDS LÄN</t>
        </is>
      </c>
      <c r="E1914" t="inlineStr">
        <is>
          <t>VALDEMARSVIK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20800-2020</t>
        </is>
      </c>
      <c r="B1915" s="1" t="n">
        <v>43949</v>
      </c>
      <c r="C1915" s="1" t="n">
        <v>45710</v>
      </c>
      <c r="D1915" t="inlineStr">
        <is>
          <t>ÖSTERGÖTLANDS LÄN</t>
        </is>
      </c>
      <c r="E1915" t="inlineStr">
        <is>
          <t>BOXHOLM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20839-2020</t>
        </is>
      </c>
      <c r="B1916" s="1" t="n">
        <v>43950</v>
      </c>
      <c r="C1916" s="1" t="n">
        <v>45710</v>
      </c>
      <c r="D1916" t="inlineStr">
        <is>
          <t>ÖSTERGÖTLANDS LÄN</t>
        </is>
      </c>
      <c r="E1916" t="inlineStr">
        <is>
          <t>ÅTVIDABERG</t>
        </is>
      </c>
      <c r="F1916" t="inlineStr">
        <is>
          <t>Sveaskog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20907-2020</t>
        </is>
      </c>
      <c r="B1917" s="1" t="n">
        <v>43950</v>
      </c>
      <c r="C1917" s="1" t="n">
        <v>45710</v>
      </c>
      <c r="D1917" t="inlineStr">
        <is>
          <t>ÖSTERGÖTLANDS LÄN</t>
        </is>
      </c>
      <c r="E1917" t="inlineStr">
        <is>
          <t>MOTALA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21086-2020</t>
        </is>
      </c>
      <c r="B1918" s="1" t="n">
        <v>43951</v>
      </c>
      <c r="C1918" s="1" t="n">
        <v>45710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21100-2020</t>
        </is>
      </c>
      <c r="B1919" s="1" t="n">
        <v>43951</v>
      </c>
      <c r="C1919" s="1" t="n">
        <v>45710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21105-2020</t>
        </is>
      </c>
      <c r="B1920" s="1" t="n">
        <v>43951</v>
      </c>
      <c r="C1920" s="1" t="n">
        <v>45710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21117-2020</t>
        </is>
      </c>
      <c r="B1921" s="1" t="n">
        <v>43951</v>
      </c>
      <c r="C1921" s="1" t="n">
        <v>45710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21090-2020</t>
        </is>
      </c>
      <c r="B1922" s="1" t="n">
        <v>43951</v>
      </c>
      <c r="C1922" s="1" t="n">
        <v>45710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21104-2020</t>
        </is>
      </c>
      <c r="B1923" s="1" t="n">
        <v>43951</v>
      </c>
      <c r="C1923" s="1" t="n">
        <v>45710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21111-2020</t>
        </is>
      </c>
      <c r="B1924" s="1" t="n">
        <v>43951</v>
      </c>
      <c r="C1924" s="1" t="n">
        <v>45710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21181-2020</t>
        </is>
      </c>
      <c r="B1925" s="1" t="n">
        <v>43951</v>
      </c>
      <c r="C1925" s="1" t="n">
        <v>45710</v>
      </c>
      <c r="D1925" t="inlineStr">
        <is>
          <t>ÖSTERGÖTLANDS LÄN</t>
        </is>
      </c>
      <c r="E1925" t="inlineStr">
        <is>
          <t>ÖDESHÖG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21164-2020</t>
        </is>
      </c>
      <c r="B1926" s="1" t="n">
        <v>43951</v>
      </c>
      <c r="C1926" s="1" t="n">
        <v>45710</v>
      </c>
      <c r="D1926" t="inlineStr">
        <is>
          <t>ÖSTERGÖTLANDS LÄN</t>
        </is>
      </c>
      <c r="E1926" t="inlineStr">
        <is>
          <t>VALDEMARSVIK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21088-2020</t>
        </is>
      </c>
      <c r="B1927" s="1" t="n">
        <v>43951</v>
      </c>
      <c r="C1927" s="1" t="n">
        <v>45710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21108-2020</t>
        </is>
      </c>
      <c r="B1928" s="1" t="n">
        <v>43951</v>
      </c>
      <c r="C1928" s="1" t="n">
        <v>45710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21269-2020</t>
        </is>
      </c>
      <c r="B1929" s="1" t="n">
        <v>43955</v>
      </c>
      <c r="C1929" s="1" t="n">
        <v>45710</v>
      </c>
      <c r="D1929" t="inlineStr">
        <is>
          <t>ÖSTERGÖTLANDS LÄN</t>
        </is>
      </c>
      <c r="E1929" t="inlineStr">
        <is>
          <t>LINKÖPING</t>
        </is>
      </c>
      <c r="F1929" t="inlineStr">
        <is>
          <t>Sveaskog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21390-2020</t>
        </is>
      </c>
      <c r="B1930" s="1" t="n">
        <v>43955</v>
      </c>
      <c r="C1930" s="1" t="n">
        <v>45710</v>
      </c>
      <c r="D1930" t="inlineStr">
        <is>
          <t>ÖSTERGÖTLANDS LÄN</t>
        </is>
      </c>
      <c r="E1930" t="inlineStr">
        <is>
          <t>YDRE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21475-2020</t>
        </is>
      </c>
      <c r="B1931" s="1" t="n">
        <v>43956</v>
      </c>
      <c r="C1931" s="1" t="n">
        <v>45710</v>
      </c>
      <c r="D1931" t="inlineStr">
        <is>
          <t>ÖSTERGÖTLANDS LÄN</t>
        </is>
      </c>
      <c r="E1931" t="inlineStr">
        <is>
          <t>KINDA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21504-2020</t>
        </is>
      </c>
      <c r="B1932" s="1" t="n">
        <v>43956</v>
      </c>
      <c r="C1932" s="1" t="n">
        <v>45710</v>
      </c>
      <c r="D1932" t="inlineStr">
        <is>
          <t>ÖSTERGÖTLANDS LÄN</t>
        </is>
      </c>
      <c r="E1932" t="inlineStr">
        <is>
          <t>KINDA</t>
        </is>
      </c>
      <c r="G1932" t="n">
        <v>4.9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21487-2020</t>
        </is>
      </c>
      <c r="B1933" s="1" t="n">
        <v>43956</v>
      </c>
      <c r="C1933" s="1" t="n">
        <v>45710</v>
      </c>
      <c r="D1933" t="inlineStr">
        <is>
          <t>ÖSTERGÖTLANDS LÄN</t>
        </is>
      </c>
      <c r="E1933" t="inlineStr">
        <is>
          <t>FINSPÅNG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21505-2020</t>
        </is>
      </c>
      <c r="B1934" s="1" t="n">
        <v>43956</v>
      </c>
      <c r="C1934" s="1" t="n">
        <v>45710</v>
      </c>
      <c r="D1934" t="inlineStr">
        <is>
          <t>ÖSTERGÖTLANDS LÄN</t>
        </is>
      </c>
      <c r="E1934" t="inlineStr">
        <is>
          <t>KINDA</t>
        </is>
      </c>
      <c r="G1934" t="n">
        <v>5.2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21583-2020</t>
        </is>
      </c>
      <c r="B1935" s="1" t="n">
        <v>43956</v>
      </c>
      <c r="C1935" s="1" t="n">
        <v>45710</v>
      </c>
      <c r="D1935" t="inlineStr">
        <is>
          <t>ÖSTERGÖTLANDS LÄN</t>
        </is>
      </c>
      <c r="E1935" t="inlineStr">
        <is>
          <t>FINSPÅNG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21512-2020</t>
        </is>
      </c>
      <c r="B1936" s="1" t="n">
        <v>43956</v>
      </c>
      <c r="C1936" s="1" t="n">
        <v>45710</v>
      </c>
      <c r="D1936" t="inlineStr">
        <is>
          <t>ÖSTERGÖTLANDS LÄN</t>
        </is>
      </c>
      <c r="E1936" t="inlineStr">
        <is>
          <t>KINDA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21502-2020</t>
        </is>
      </c>
      <c r="B1937" s="1" t="n">
        <v>43956</v>
      </c>
      <c r="C1937" s="1" t="n">
        <v>45710</v>
      </c>
      <c r="D1937" t="inlineStr">
        <is>
          <t>ÖSTERGÖTLANDS LÄN</t>
        </is>
      </c>
      <c r="E1937" t="inlineStr">
        <is>
          <t>KINDA</t>
        </is>
      </c>
      <c r="G1937" t="n">
        <v>5.9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21614-2020</t>
        </is>
      </c>
      <c r="B1938" s="1" t="n">
        <v>43957</v>
      </c>
      <c r="C1938" s="1" t="n">
        <v>45710</v>
      </c>
      <c r="D1938" t="inlineStr">
        <is>
          <t>ÖSTERGÖTLANDS LÄN</t>
        </is>
      </c>
      <c r="E1938" t="inlineStr">
        <is>
          <t>MJÖLBY</t>
        </is>
      </c>
      <c r="F1938" t="inlineStr">
        <is>
          <t>Sveaskog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21705-2020</t>
        </is>
      </c>
      <c r="B1939" s="1" t="n">
        <v>43957</v>
      </c>
      <c r="C1939" s="1" t="n">
        <v>45710</v>
      </c>
      <c r="D1939" t="inlineStr">
        <is>
          <t>ÖSTERGÖTLANDS LÄN</t>
        </is>
      </c>
      <c r="E1939" t="inlineStr">
        <is>
          <t>ÅTVIDABERG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22328-2020</t>
        </is>
      </c>
      <c r="B1940" s="1" t="n">
        <v>43957</v>
      </c>
      <c r="C1940" s="1" t="n">
        <v>45710</v>
      </c>
      <c r="D1940" t="inlineStr">
        <is>
          <t>ÖSTERGÖTLANDS LÄN</t>
        </is>
      </c>
      <c r="E1940" t="inlineStr">
        <is>
          <t>KINDA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21611-2020</t>
        </is>
      </c>
      <c r="B1941" s="1" t="n">
        <v>43957</v>
      </c>
      <c r="C1941" s="1" t="n">
        <v>45710</v>
      </c>
      <c r="D1941" t="inlineStr">
        <is>
          <t>ÖSTERGÖTLANDS LÄN</t>
        </is>
      </c>
      <c r="E1941" t="inlineStr">
        <is>
          <t>KINDA</t>
        </is>
      </c>
      <c r="F1941" t="inlineStr">
        <is>
          <t>Sveaskog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22366-2020</t>
        </is>
      </c>
      <c r="B1942" s="1" t="n">
        <v>43957</v>
      </c>
      <c r="C1942" s="1" t="n">
        <v>45710</v>
      </c>
      <c r="D1942" t="inlineStr">
        <is>
          <t>ÖSTERGÖTLANDS LÄN</t>
        </is>
      </c>
      <c r="E1942" t="inlineStr">
        <is>
          <t>MJÖLBY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21883-2020</t>
        </is>
      </c>
      <c r="B1943" s="1" t="n">
        <v>43958</v>
      </c>
      <c r="C1943" s="1" t="n">
        <v>45710</v>
      </c>
      <c r="D1943" t="inlineStr">
        <is>
          <t>ÖSTERGÖTLANDS LÄN</t>
        </is>
      </c>
      <c r="E1943" t="inlineStr">
        <is>
          <t>ÖDESHÖG</t>
        </is>
      </c>
      <c r="F1943" t="inlineStr">
        <is>
          <t>Allmännings- och besparingsskogar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21886-2020</t>
        </is>
      </c>
      <c r="B1944" s="1" t="n">
        <v>43958</v>
      </c>
      <c r="C1944" s="1" t="n">
        <v>45710</v>
      </c>
      <c r="D1944" t="inlineStr">
        <is>
          <t>ÖSTERGÖTLANDS LÄN</t>
        </is>
      </c>
      <c r="E1944" t="inlineStr">
        <is>
          <t>ÖDESHÖG</t>
        </is>
      </c>
      <c r="F1944" t="inlineStr">
        <is>
          <t>Allmännings- och besparingsskogar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21881-2020</t>
        </is>
      </c>
      <c r="B1945" s="1" t="n">
        <v>43958</v>
      </c>
      <c r="C1945" s="1" t="n">
        <v>45710</v>
      </c>
      <c r="D1945" t="inlineStr">
        <is>
          <t>ÖSTERGÖTLANDS LÄN</t>
        </is>
      </c>
      <c r="E1945" t="inlineStr">
        <is>
          <t>ÖDESHÖG</t>
        </is>
      </c>
      <c r="F1945" t="inlineStr">
        <is>
          <t>Allmännings- och besparingsskogar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21911-2020</t>
        </is>
      </c>
      <c r="B1946" s="1" t="n">
        <v>43958</v>
      </c>
      <c r="C1946" s="1" t="n">
        <v>45710</v>
      </c>
      <c r="D1946" t="inlineStr">
        <is>
          <t>ÖSTERGÖTLANDS LÄN</t>
        </is>
      </c>
      <c r="E1946" t="inlineStr">
        <is>
          <t>YDRE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21999-2020</t>
        </is>
      </c>
      <c r="B1947" s="1" t="n">
        <v>43959</v>
      </c>
      <c r="C1947" s="1" t="n">
        <v>45710</v>
      </c>
      <c r="D1947" t="inlineStr">
        <is>
          <t>ÖSTERGÖTLANDS LÄN</t>
        </is>
      </c>
      <c r="E1947" t="inlineStr">
        <is>
          <t>SÖDERKÖPING</t>
        </is>
      </c>
      <c r="G1947" t="n">
        <v>13.4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21980-2020</t>
        </is>
      </c>
      <c r="B1948" s="1" t="n">
        <v>43959</v>
      </c>
      <c r="C1948" s="1" t="n">
        <v>45710</v>
      </c>
      <c r="D1948" t="inlineStr">
        <is>
          <t>ÖSTERGÖTLANDS LÄN</t>
        </is>
      </c>
      <c r="E1948" t="inlineStr">
        <is>
          <t>LINKÖPING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22631-2020</t>
        </is>
      </c>
      <c r="B1949" s="1" t="n">
        <v>43963</v>
      </c>
      <c r="C1949" s="1" t="n">
        <v>45710</v>
      </c>
      <c r="D1949" t="inlineStr">
        <is>
          <t>ÖSTERGÖTLANDS LÄN</t>
        </is>
      </c>
      <c r="E1949" t="inlineStr">
        <is>
          <t>FINSPÅNG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22675-2020</t>
        </is>
      </c>
      <c r="B1950" s="1" t="n">
        <v>43963</v>
      </c>
      <c r="C1950" s="1" t="n">
        <v>45710</v>
      </c>
      <c r="D1950" t="inlineStr">
        <is>
          <t>ÖSTERGÖTLANDS LÄN</t>
        </is>
      </c>
      <c r="E1950" t="inlineStr">
        <is>
          <t>ÖDESHÖG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22595-2020</t>
        </is>
      </c>
      <c r="B1951" s="1" t="n">
        <v>43963</v>
      </c>
      <c r="C1951" s="1" t="n">
        <v>45710</v>
      </c>
      <c r="D1951" t="inlineStr">
        <is>
          <t>ÖSTERGÖTLANDS LÄN</t>
        </is>
      </c>
      <c r="E1951" t="inlineStr">
        <is>
          <t>MOTALA</t>
        </is>
      </c>
      <c r="G1951" t="n">
        <v>8.9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22602-2020</t>
        </is>
      </c>
      <c r="B1952" s="1" t="n">
        <v>43963</v>
      </c>
      <c r="C1952" s="1" t="n">
        <v>45710</v>
      </c>
      <c r="D1952" t="inlineStr">
        <is>
          <t>ÖSTERGÖTLANDS LÄN</t>
        </is>
      </c>
      <c r="E1952" t="inlineStr">
        <is>
          <t>LINKÖPING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22671-2020</t>
        </is>
      </c>
      <c r="B1953" s="1" t="n">
        <v>43963</v>
      </c>
      <c r="C1953" s="1" t="n">
        <v>45710</v>
      </c>
      <c r="D1953" t="inlineStr">
        <is>
          <t>ÖSTERGÖTLANDS LÄN</t>
        </is>
      </c>
      <c r="E1953" t="inlineStr">
        <is>
          <t>ÖDESHÖG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22672-2020</t>
        </is>
      </c>
      <c r="B1954" s="1" t="n">
        <v>43963</v>
      </c>
      <c r="C1954" s="1" t="n">
        <v>45710</v>
      </c>
      <c r="D1954" t="inlineStr">
        <is>
          <t>ÖSTERGÖTLANDS LÄN</t>
        </is>
      </c>
      <c r="E1954" t="inlineStr">
        <is>
          <t>ÖDESHÖG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22689-2020</t>
        </is>
      </c>
      <c r="B1955" s="1" t="n">
        <v>43963</v>
      </c>
      <c r="C1955" s="1" t="n">
        <v>45710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22883-2020</t>
        </is>
      </c>
      <c r="B1956" s="1" t="n">
        <v>43964</v>
      </c>
      <c r="C1956" s="1" t="n">
        <v>45710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22885-2020</t>
        </is>
      </c>
      <c r="B1957" s="1" t="n">
        <v>43964</v>
      </c>
      <c r="C1957" s="1" t="n">
        <v>45710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22886-2020</t>
        </is>
      </c>
      <c r="B1958" s="1" t="n">
        <v>43964</v>
      </c>
      <c r="C1958" s="1" t="n">
        <v>45710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22776-2020</t>
        </is>
      </c>
      <c r="B1959" s="1" t="n">
        <v>43964</v>
      </c>
      <c r="C1959" s="1" t="n">
        <v>45710</v>
      </c>
      <c r="D1959" t="inlineStr">
        <is>
          <t>ÖSTERGÖTLANDS LÄN</t>
        </is>
      </c>
      <c r="E1959" t="inlineStr">
        <is>
          <t>LINKÖPING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22884-2020</t>
        </is>
      </c>
      <c r="B1960" s="1" t="n">
        <v>43964</v>
      </c>
      <c r="C1960" s="1" t="n">
        <v>45710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22921-2020</t>
        </is>
      </c>
      <c r="B1961" s="1" t="n">
        <v>43965</v>
      </c>
      <c r="C1961" s="1" t="n">
        <v>45710</v>
      </c>
      <c r="D1961" t="inlineStr">
        <is>
          <t>ÖSTERGÖTLANDS LÄN</t>
        </is>
      </c>
      <c r="E1961" t="inlineStr">
        <is>
          <t>SÖDERKÖPING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22930-2020</t>
        </is>
      </c>
      <c r="B1962" s="1" t="n">
        <v>43965</v>
      </c>
      <c r="C1962" s="1" t="n">
        <v>45710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22928-2020</t>
        </is>
      </c>
      <c r="B1963" s="1" t="n">
        <v>43965</v>
      </c>
      <c r="C1963" s="1" t="n">
        <v>45710</v>
      </c>
      <c r="D1963" t="inlineStr">
        <is>
          <t>ÖSTERGÖTLANDS LÄN</t>
        </is>
      </c>
      <c r="E1963" t="inlineStr">
        <is>
          <t>SÖDERKÖPING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22924-2020</t>
        </is>
      </c>
      <c r="B1964" s="1" t="n">
        <v>43965</v>
      </c>
      <c r="C1964" s="1" t="n">
        <v>45710</v>
      </c>
      <c r="D1964" t="inlineStr">
        <is>
          <t>ÖSTERGÖTLANDS LÄN</t>
        </is>
      </c>
      <c r="E1964" t="inlineStr">
        <is>
          <t>SÖDERKÖPING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22920-2020</t>
        </is>
      </c>
      <c r="B1965" s="1" t="n">
        <v>43965</v>
      </c>
      <c r="C1965" s="1" t="n">
        <v>45710</v>
      </c>
      <c r="D1965" t="inlineStr">
        <is>
          <t>ÖSTERGÖTLANDS LÄN</t>
        </is>
      </c>
      <c r="E1965" t="inlineStr">
        <is>
          <t>SÖDERKÖPING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23177-2020</t>
        </is>
      </c>
      <c r="B1966" s="1" t="n">
        <v>43966</v>
      </c>
      <c r="C1966" s="1" t="n">
        <v>45710</v>
      </c>
      <c r="D1966" t="inlineStr">
        <is>
          <t>ÖSTERGÖTLANDS LÄN</t>
        </is>
      </c>
      <c r="E1966" t="inlineStr">
        <is>
          <t>LINKÖPING</t>
        </is>
      </c>
      <c r="G1966" t="n">
        <v>14.3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23378-2020</t>
        </is>
      </c>
      <c r="B1967" s="1" t="n">
        <v>43967</v>
      </c>
      <c r="C1967" s="1" t="n">
        <v>45710</v>
      </c>
      <c r="D1967" t="inlineStr">
        <is>
          <t>ÖSTERGÖTLANDS LÄN</t>
        </is>
      </c>
      <c r="E1967" t="inlineStr">
        <is>
          <t>FINSPÅNG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23384-2020</t>
        </is>
      </c>
      <c r="B1968" s="1" t="n">
        <v>43967</v>
      </c>
      <c r="C1968" s="1" t="n">
        <v>45710</v>
      </c>
      <c r="D1968" t="inlineStr">
        <is>
          <t>ÖSTERGÖTLANDS LÄN</t>
        </is>
      </c>
      <c r="E1968" t="inlineStr">
        <is>
          <t>FINSPÅNG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23437-2020</t>
        </is>
      </c>
      <c r="B1969" s="1" t="n">
        <v>43969</v>
      </c>
      <c r="C1969" s="1" t="n">
        <v>45710</v>
      </c>
      <c r="D1969" t="inlineStr">
        <is>
          <t>ÖSTERGÖTLANDS LÄN</t>
        </is>
      </c>
      <c r="E1969" t="inlineStr">
        <is>
          <t>ÅTVIDABERG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23818-2020</t>
        </is>
      </c>
      <c r="B1970" s="1" t="n">
        <v>43970</v>
      </c>
      <c r="C1970" s="1" t="n">
        <v>45710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23823-2020</t>
        </is>
      </c>
      <c r="B1971" s="1" t="n">
        <v>43970</v>
      </c>
      <c r="C1971" s="1" t="n">
        <v>45710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23820-2020</t>
        </is>
      </c>
      <c r="B1972" s="1" t="n">
        <v>43970</v>
      </c>
      <c r="C1972" s="1" t="n">
        <v>45710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23819-2020</t>
        </is>
      </c>
      <c r="B1973" s="1" t="n">
        <v>43970</v>
      </c>
      <c r="C1973" s="1" t="n">
        <v>45710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23822-2020</t>
        </is>
      </c>
      <c r="B1974" s="1" t="n">
        <v>43970</v>
      </c>
      <c r="C1974" s="1" t="n">
        <v>45710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23910-2020</t>
        </is>
      </c>
      <c r="B1975" s="1" t="n">
        <v>43971</v>
      </c>
      <c r="C1975" s="1" t="n">
        <v>45710</v>
      </c>
      <c r="D1975" t="inlineStr">
        <is>
          <t>ÖSTERGÖTLANDS LÄN</t>
        </is>
      </c>
      <c r="E1975" t="inlineStr">
        <is>
          <t>MJÖLBY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23896-2020</t>
        </is>
      </c>
      <c r="B1976" s="1" t="n">
        <v>43971</v>
      </c>
      <c r="C1976" s="1" t="n">
        <v>45710</v>
      </c>
      <c r="D1976" t="inlineStr">
        <is>
          <t>ÖSTERGÖTLANDS LÄN</t>
        </is>
      </c>
      <c r="E1976" t="inlineStr">
        <is>
          <t>MOTALA</t>
        </is>
      </c>
      <c r="F1976" t="inlineStr">
        <is>
          <t>Allmännings- och besparingsskogar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23940-2020</t>
        </is>
      </c>
      <c r="B1977" s="1" t="n">
        <v>43971</v>
      </c>
      <c r="C1977" s="1" t="n">
        <v>45710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23925-2020</t>
        </is>
      </c>
      <c r="B1978" s="1" t="n">
        <v>43971</v>
      </c>
      <c r="C1978" s="1" t="n">
        <v>45710</v>
      </c>
      <c r="D1978" t="inlineStr">
        <is>
          <t>ÖSTERGÖTLANDS LÄN</t>
        </is>
      </c>
      <c r="E1978" t="inlineStr">
        <is>
          <t>FINSPÅNG</t>
        </is>
      </c>
      <c r="F1978" t="inlineStr">
        <is>
          <t>Holmen skog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23922-2020</t>
        </is>
      </c>
      <c r="B1979" s="1" t="n">
        <v>43971</v>
      </c>
      <c r="C1979" s="1" t="n">
        <v>45710</v>
      </c>
      <c r="D1979" t="inlineStr">
        <is>
          <t>ÖSTERGÖTLANDS LÄN</t>
        </is>
      </c>
      <c r="E1979" t="inlineStr">
        <is>
          <t>SÖDERKÖPING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23943-2020</t>
        </is>
      </c>
      <c r="B1980" s="1" t="n">
        <v>43971</v>
      </c>
      <c r="C1980" s="1" t="n">
        <v>45710</v>
      </c>
      <c r="D1980" t="inlineStr">
        <is>
          <t>ÖSTERGÖTLANDS LÄN</t>
        </is>
      </c>
      <c r="E1980" t="inlineStr">
        <is>
          <t>LINKÖPING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24268-2020</t>
        </is>
      </c>
      <c r="B1981" s="1" t="n">
        <v>43971</v>
      </c>
      <c r="C1981" s="1" t="n">
        <v>45710</v>
      </c>
      <c r="D1981" t="inlineStr">
        <is>
          <t>ÖSTERGÖTLANDS LÄN</t>
        </is>
      </c>
      <c r="E1981" t="inlineStr">
        <is>
          <t>ÖDESHÖG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24119-2020</t>
        </is>
      </c>
      <c r="B1982" s="1" t="n">
        <v>43973</v>
      </c>
      <c r="C1982" s="1" t="n">
        <v>45710</v>
      </c>
      <c r="D1982" t="inlineStr">
        <is>
          <t>ÖSTERGÖTLANDS LÄN</t>
        </is>
      </c>
      <c r="E1982" t="inlineStr">
        <is>
          <t>VALDEMARSVIK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24122-2020</t>
        </is>
      </c>
      <c r="B1983" s="1" t="n">
        <v>43973</v>
      </c>
      <c r="C1983" s="1" t="n">
        <v>45710</v>
      </c>
      <c r="D1983" t="inlineStr">
        <is>
          <t>ÖSTERGÖTLANDS LÄN</t>
        </is>
      </c>
      <c r="E1983" t="inlineStr">
        <is>
          <t>VALDEMARSVIK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24200-2020</t>
        </is>
      </c>
      <c r="B1984" s="1" t="n">
        <v>43976</v>
      </c>
      <c r="C1984" s="1" t="n">
        <v>45710</v>
      </c>
      <c r="D1984" t="inlineStr">
        <is>
          <t>ÖSTERGÖTLANDS LÄN</t>
        </is>
      </c>
      <c r="E1984" t="inlineStr">
        <is>
          <t>KINDA</t>
        </is>
      </c>
      <c r="F1984" t="inlineStr">
        <is>
          <t>Sveaskog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24313-2020</t>
        </is>
      </c>
      <c r="B1985" s="1" t="n">
        <v>43976</v>
      </c>
      <c r="C1985" s="1" t="n">
        <v>45710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24468-2020</t>
        </is>
      </c>
      <c r="B1986" s="1" t="n">
        <v>43976</v>
      </c>
      <c r="C1986" s="1" t="n">
        <v>45710</v>
      </c>
      <c r="D1986" t="inlineStr">
        <is>
          <t>ÖSTERGÖTLANDS LÄN</t>
        </is>
      </c>
      <c r="E1986" t="inlineStr">
        <is>
          <t>NORRKÖPING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24455-2020</t>
        </is>
      </c>
      <c r="B1987" s="1" t="n">
        <v>43977</v>
      </c>
      <c r="C1987" s="1" t="n">
        <v>45710</v>
      </c>
      <c r="D1987" t="inlineStr">
        <is>
          <t>ÖSTERGÖTLANDS LÄN</t>
        </is>
      </c>
      <c r="E1987" t="inlineStr">
        <is>
          <t>BOXHOLM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24635-2020</t>
        </is>
      </c>
      <c r="B1988" s="1" t="n">
        <v>43977</v>
      </c>
      <c r="C1988" s="1" t="n">
        <v>45710</v>
      </c>
      <c r="D1988" t="inlineStr">
        <is>
          <t>ÖSTERGÖTLANDS LÄN</t>
        </is>
      </c>
      <c r="E1988" t="inlineStr">
        <is>
          <t>KINDA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24630-2020</t>
        </is>
      </c>
      <c r="B1989" s="1" t="n">
        <v>43977</v>
      </c>
      <c r="C1989" s="1" t="n">
        <v>45710</v>
      </c>
      <c r="D1989" t="inlineStr">
        <is>
          <t>ÖSTERGÖTLANDS LÄN</t>
        </is>
      </c>
      <c r="E1989" t="inlineStr">
        <is>
          <t>FINSPÅNG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24527-2020</t>
        </is>
      </c>
      <c r="B1990" s="1" t="n">
        <v>43977</v>
      </c>
      <c r="C1990" s="1" t="n">
        <v>45710</v>
      </c>
      <c r="D1990" t="inlineStr">
        <is>
          <t>ÖSTERGÖTLANDS LÄN</t>
        </is>
      </c>
      <c r="E1990" t="inlineStr">
        <is>
          <t>KINDA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24564-2020</t>
        </is>
      </c>
      <c r="B1991" s="1" t="n">
        <v>43977</v>
      </c>
      <c r="C1991" s="1" t="n">
        <v>45710</v>
      </c>
      <c r="D1991" t="inlineStr">
        <is>
          <t>ÖSTERGÖTLANDS LÄN</t>
        </is>
      </c>
      <c r="E1991" t="inlineStr">
        <is>
          <t>MJÖLBY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24773-2020</t>
        </is>
      </c>
      <c r="B1992" s="1" t="n">
        <v>43978</v>
      </c>
      <c r="C1992" s="1" t="n">
        <v>45710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Sveaskog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24905-2020</t>
        </is>
      </c>
      <c r="B1993" s="1" t="n">
        <v>43979</v>
      </c>
      <c r="C1993" s="1" t="n">
        <v>45710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Holmen skog AB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25011-2020</t>
        </is>
      </c>
      <c r="B1994" s="1" t="n">
        <v>43979</v>
      </c>
      <c r="C1994" s="1" t="n">
        <v>45710</v>
      </c>
      <c r="D1994" t="inlineStr">
        <is>
          <t>ÖSTERGÖTLANDS LÄN</t>
        </is>
      </c>
      <c r="E1994" t="inlineStr">
        <is>
          <t>BOXHOLM</t>
        </is>
      </c>
      <c r="F1994" t="inlineStr">
        <is>
          <t>Övriga Aktiebolag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25056-2020</t>
        </is>
      </c>
      <c r="B1995" s="1" t="n">
        <v>43979</v>
      </c>
      <c r="C1995" s="1" t="n">
        <v>45710</v>
      </c>
      <c r="D1995" t="inlineStr">
        <is>
          <t>ÖSTERGÖTLANDS LÄN</t>
        </is>
      </c>
      <c r="E1995" t="inlineStr">
        <is>
          <t>MOTALA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25123-2020</t>
        </is>
      </c>
      <c r="B1996" s="1" t="n">
        <v>43979</v>
      </c>
      <c r="C1996" s="1" t="n">
        <v>45710</v>
      </c>
      <c r="D1996" t="inlineStr">
        <is>
          <t>ÖSTERGÖTLANDS LÄN</t>
        </is>
      </c>
      <c r="E1996" t="inlineStr">
        <is>
          <t>FINSPÅNG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25157-2020</t>
        </is>
      </c>
      <c r="B1997" s="1" t="n">
        <v>43980</v>
      </c>
      <c r="C1997" s="1" t="n">
        <v>45710</v>
      </c>
      <c r="D1997" t="inlineStr">
        <is>
          <t>ÖSTERGÖTLANDS LÄN</t>
        </is>
      </c>
      <c r="E1997" t="inlineStr">
        <is>
          <t>KINDA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25150-2020</t>
        </is>
      </c>
      <c r="B1998" s="1" t="n">
        <v>43980</v>
      </c>
      <c r="C1998" s="1" t="n">
        <v>45710</v>
      </c>
      <c r="D1998" t="inlineStr">
        <is>
          <t>ÖSTERGÖTLANDS LÄN</t>
        </is>
      </c>
      <c r="E1998" t="inlineStr">
        <is>
          <t>KINDA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25176-2020</t>
        </is>
      </c>
      <c r="B1999" s="1" t="n">
        <v>43980</v>
      </c>
      <c r="C1999" s="1" t="n">
        <v>45710</v>
      </c>
      <c r="D1999" t="inlineStr">
        <is>
          <t>ÖSTERGÖTLANDS LÄN</t>
        </is>
      </c>
      <c r="E1999" t="inlineStr">
        <is>
          <t>YDRE</t>
        </is>
      </c>
      <c r="F1999" t="inlineStr">
        <is>
          <t>Kyrkan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25160-2020</t>
        </is>
      </c>
      <c r="B2000" s="1" t="n">
        <v>43980</v>
      </c>
      <c r="C2000" s="1" t="n">
        <v>45710</v>
      </c>
      <c r="D2000" t="inlineStr">
        <is>
          <t>ÖSTERGÖTLANDS LÄN</t>
        </is>
      </c>
      <c r="E2000" t="inlineStr">
        <is>
          <t>KINDA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25496-2020</t>
        </is>
      </c>
      <c r="B2001" s="1" t="n">
        <v>43983</v>
      </c>
      <c r="C2001" s="1" t="n">
        <v>45710</v>
      </c>
      <c r="D2001" t="inlineStr">
        <is>
          <t>ÖSTERGÖTLANDS LÄN</t>
        </is>
      </c>
      <c r="E2001" t="inlineStr">
        <is>
          <t>ÅTVIDABERG</t>
        </is>
      </c>
      <c r="F2001" t="inlineStr">
        <is>
          <t>Övriga Aktiebolag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25521-2020</t>
        </is>
      </c>
      <c r="B2002" s="1" t="n">
        <v>43983</v>
      </c>
      <c r="C2002" s="1" t="n">
        <v>45710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Allmännings- och besparingsskogar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25550-2020</t>
        </is>
      </c>
      <c r="B2003" s="1" t="n">
        <v>43983</v>
      </c>
      <c r="C2003" s="1" t="n">
        <v>45710</v>
      </c>
      <c r="D2003" t="inlineStr">
        <is>
          <t>ÖSTERGÖTLANDS LÄN</t>
        </is>
      </c>
      <c r="E2003" t="inlineStr">
        <is>
          <t>VALDEMARSVIK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25488-2020</t>
        </is>
      </c>
      <c r="B2004" s="1" t="n">
        <v>43983</v>
      </c>
      <c r="C2004" s="1" t="n">
        <v>45710</v>
      </c>
      <c r="D2004" t="inlineStr">
        <is>
          <t>ÖSTERGÖTLANDS LÄN</t>
        </is>
      </c>
      <c r="E2004" t="inlineStr">
        <is>
          <t>VALDEMARSVIK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25476-2020</t>
        </is>
      </c>
      <c r="B2005" s="1" t="n">
        <v>43983</v>
      </c>
      <c r="C2005" s="1" t="n">
        <v>45710</v>
      </c>
      <c r="D2005" t="inlineStr">
        <is>
          <t>ÖSTERGÖTLANDS LÄN</t>
        </is>
      </c>
      <c r="E2005" t="inlineStr">
        <is>
          <t>BOXHOLM</t>
        </is>
      </c>
      <c r="F2005" t="inlineStr">
        <is>
          <t>Övriga Aktiebolag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25643-2020</t>
        </is>
      </c>
      <c r="B2006" s="1" t="n">
        <v>43983</v>
      </c>
      <c r="C2006" s="1" t="n">
        <v>45710</v>
      </c>
      <c r="D2006" t="inlineStr">
        <is>
          <t>ÖSTERGÖTLANDS LÄN</t>
        </is>
      </c>
      <c r="E2006" t="inlineStr">
        <is>
          <t>ÅTVIDABERG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25724-2020</t>
        </is>
      </c>
      <c r="B2007" s="1" t="n">
        <v>43984</v>
      </c>
      <c r="C2007" s="1" t="n">
        <v>45710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Kyrkan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25685-2020</t>
        </is>
      </c>
      <c r="B2008" s="1" t="n">
        <v>43984</v>
      </c>
      <c r="C2008" s="1" t="n">
        <v>45710</v>
      </c>
      <c r="D2008" t="inlineStr">
        <is>
          <t>ÖSTERGÖTLANDS LÄN</t>
        </is>
      </c>
      <c r="E2008" t="inlineStr">
        <is>
          <t>NORRKÖPING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25866-2020</t>
        </is>
      </c>
      <c r="B2009" s="1" t="n">
        <v>43984</v>
      </c>
      <c r="C2009" s="1" t="n">
        <v>45710</v>
      </c>
      <c r="D2009" t="inlineStr">
        <is>
          <t>ÖSTERGÖTLANDS LÄN</t>
        </is>
      </c>
      <c r="E2009" t="inlineStr">
        <is>
          <t>ÖDESHÖG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25885-2020</t>
        </is>
      </c>
      <c r="B2010" s="1" t="n">
        <v>43984</v>
      </c>
      <c r="C2010" s="1" t="n">
        <v>45710</v>
      </c>
      <c r="D2010" t="inlineStr">
        <is>
          <t>ÖSTERGÖTLANDS LÄN</t>
        </is>
      </c>
      <c r="E2010" t="inlineStr">
        <is>
          <t>VALDEMARSVIK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25941-2020</t>
        </is>
      </c>
      <c r="B2011" s="1" t="n">
        <v>43985</v>
      </c>
      <c r="C2011" s="1" t="n">
        <v>45710</v>
      </c>
      <c r="D2011" t="inlineStr">
        <is>
          <t>ÖSTERGÖTLANDS LÄN</t>
        </is>
      </c>
      <c r="E2011" t="inlineStr">
        <is>
          <t>ÖDESHÖG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26134-2020</t>
        </is>
      </c>
      <c r="B2012" s="1" t="n">
        <v>43985</v>
      </c>
      <c r="C2012" s="1" t="n">
        <v>45710</v>
      </c>
      <c r="D2012" t="inlineStr">
        <is>
          <t>ÖSTERGÖTLANDS LÄN</t>
        </is>
      </c>
      <c r="E2012" t="inlineStr">
        <is>
          <t>MJÖLBY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26093-2020</t>
        </is>
      </c>
      <c r="B2013" s="1" t="n">
        <v>43985</v>
      </c>
      <c r="C2013" s="1" t="n">
        <v>45710</v>
      </c>
      <c r="D2013" t="inlineStr">
        <is>
          <t>ÖSTERGÖTLANDS LÄN</t>
        </is>
      </c>
      <c r="E2013" t="inlineStr">
        <is>
          <t>MJÖLBY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26136-2020</t>
        </is>
      </c>
      <c r="B2014" s="1" t="n">
        <v>43985</v>
      </c>
      <c r="C2014" s="1" t="n">
        <v>45710</v>
      </c>
      <c r="D2014" t="inlineStr">
        <is>
          <t>ÖSTERGÖTLANDS LÄN</t>
        </is>
      </c>
      <c r="E2014" t="inlineStr">
        <is>
          <t>MJÖLBY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26083-2020</t>
        </is>
      </c>
      <c r="B2015" s="1" t="n">
        <v>43985</v>
      </c>
      <c r="C2015" s="1" t="n">
        <v>45710</v>
      </c>
      <c r="D2015" t="inlineStr">
        <is>
          <t>ÖSTERGÖTLANDS LÄN</t>
        </is>
      </c>
      <c r="E2015" t="inlineStr">
        <is>
          <t>MJÖLBY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26346-2020</t>
        </is>
      </c>
      <c r="B2016" s="1" t="n">
        <v>43986</v>
      </c>
      <c r="C2016" s="1" t="n">
        <v>45710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26587-2020</t>
        </is>
      </c>
      <c r="B2017" s="1" t="n">
        <v>43987</v>
      </c>
      <c r="C2017" s="1" t="n">
        <v>45710</v>
      </c>
      <c r="D2017" t="inlineStr">
        <is>
          <t>ÖSTERGÖTLANDS LÄN</t>
        </is>
      </c>
      <c r="E2017" t="inlineStr">
        <is>
          <t>YDRE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26472-2020</t>
        </is>
      </c>
      <c r="B2018" s="1" t="n">
        <v>43987</v>
      </c>
      <c r="C2018" s="1" t="n">
        <v>45710</v>
      </c>
      <c r="D2018" t="inlineStr">
        <is>
          <t>ÖSTERGÖTLANDS LÄN</t>
        </is>
      </c>
      <c r="E2018" t="inlineStr">
        <is>
          <t>YDRE</t>
        </is>
      </c>
      <c r="G2018" t="n">
        <v>7.8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26591-2020</t>
        </is>
      </c>
      <c r="B2019" s="1" t="n">
        <v>43987</v>
      </c>
      <c r="C2019" s="1" t="n">
        <v>45710</v>
      </c>
      <c r="D2019" t="inlineStr">
        <is>
          <t>ÖSTERGÖTLANDS LÄN</t>
        </is>
      </c>
      <c r="E2019" t="inlineStr">
        <is>
          <t>YDRE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26724-2020</t>
        </is>
      </c>
      <c r="B2020" s="1" t="n">
        <v>43990</v>
      </c>
      <c r="C2020" s="1" t="n">
        <v>45710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Sveaskog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26811-2020</t>
        </is>
      </c>
      <c r="B2021" s="1" t="n">
        <v>43990</v>
      </c>
      <c r="C2021" s="1" t="n">
        <v>45710</v>
      </c>
      <c r="D2021" t="inlineStr">
        <is>
          <t>ÖSTERGÖTLANDS LÄN</t>
        </is>
      </c>
      <c r="E2021" t="inlineStr">
        <is>
          <t>YDRE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26907-2020</t>
        </is>
      </c>
      <c r="B2022" s="1" t="n">
        <v>43990</v>
      </c>
      <c r="C2022" s="1" t="n">
        <v>45710</v>
      </c>
      <c r="D2022" t="inlineStr">
        <is>
          <t>ÖSTERGÖTLANDS LÄN</t>
        </is>
      </c>
      <c r="E2022" t="inlineStr">
        <is>
          <t>LINKÖPING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26911-2020</t>
        </is>
      </c>
      <c r="B2023" s="1" t="n">
        <v>43990</v>
      </c>
      <c r="C2023" s="1" t="n">
        <v>45710</v>
      </c>
      <c r="D2023" t="inlineStr">
        <is>
          <t>ÖSTERGÖTLANDS LÄN</t>
        </is>
      </c>
      <c r="E2023" t="inlineStr">
        <is>
          <t>LINKÖPING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27156-2020</t>
        </is>
      </c>
      <c r="B2024" s="1" t="n">
        <v>43991</v>
      </c>
      <c r="C2024" s="1" t="n">
        <v>45710</v>
      </c>
      <c r="D2024" t="inlineStr">
        <is>
          <t>ÖSTERGÖTLANDS LÄN</t>
        </is>
      </c>
      <c r="E2024" t="inlineStr">
        <is>
          <t>LINKÖPING</t>
        </is>
      </c>
      <c r="F2024" t="inlineStr">
        <is>
          <t>Övriga Aktiebolag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27182-2020</t>
        </is>
      </c>
      <c r="B2025" s="1" t="n">
        <v>43991</v>
      </c>
      <c r="C2025" s="1" t="n">
        <v>45710</v>
      </c>
      <c r="D2025" t="inlineStr">
        <is>
          <t>ÖSTERGÖTLANDS LÄN</t>
        </is>
      </c>
      <c r="E2025" t="inlineStr">
        <is>
          <t>FINSPÅNG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27170-2020</t>
        </is>
      </c>
      <c r="B2026" s="1" t="n">
        <v>43991</v>
      </c>
      <c r="C2026" s="1" t="n">
        <v>45710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27088-2020</t>
        </is>
      </c>
      <c r="B2027" s="1" t="n">
        <v>43991</v>
      </c>
      <c r="C2027" s="1" t="n">
        <v>45710</v>
      </c>
      <c r="D2027" t="inlineStr">
        <is>
          <t>ÖSTERGÖTLANDS LÄN</t>
        </is>
      </c>
      <c r="E2027" t="inlineStr">
        <is>
          <t>NORRKÖPING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27160-2020</t>
        </is>
      </c>
      <c r="B2028" s="1" t="n">
        <v>43991</v>
      </c>
      <c r="C2028" s="1" t="n">
        <v>45710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27179-2020</t>
        </is>
      </c>
      <c r="B2029" s="1" t="n">
        <v>43991</v>
      </c>
      <c r="C2029" s="1" t="n">
        <v>45710</v>
      </c>
      <c r="D2029" t="inlineStr">
        <is>
          <t>ÖSTERGÖTLANDS LÄN</t>
        </is>
      </c>
      <c r="E2029" t="inlineStr">
        <is>
          <t>FINSPÅNG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27446-2020</t>
        </is>
      </c>
      <c r="B2030" s="1" t="n">
        <v>43993</v>
      </c>
      <c r="C2030" s="1" t="n">
        <v>45710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27456-2020</t>
        </is>
      </c>
      <c r="B2031" s="1" t="n">
        <v>43993</v>
      </c>
      <c r="C2031" s="1" t="n">
        <v>45710</v>
      </c>
      <c r="D2031" t="inlineStr">
        <is>
          <t>ÖSTERGÖTLANDS LÄN</t>
        </is>
      </c>
      <c r="E2031" t="inlineStr">
        <is>
          <t>FINSPÅNG</t>
        </is>
      </c>
      <c r="F2031" t="inlineStr">
        <is>
          <t>Holmen skog AB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27533-2020</t>
        </is>
      </c>
      <c r="B2032" s="1" t="n">
        <v>43993</v>
      </c>
      <c r="C2032" s="1" t="n">
        <v>45710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27425-2020</t>
        </is>
      </c>
      <c r="B2033" s="1" t="n">
        <v>43993</v>
      </c>
      <c r="C2033" s="1" t="n">
        <v>45710</v>
      </c>
      <c r="D2033" t="inlineStr">
        <is>
          <t>ÖSTERGÖTLANDS LÄN</t>
        </is>
      </c>
      <c r="E2033" t="inlineStr">
        <is>
          <t>MOTALA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28027-2020</t>
        </is>
      </c>
      <c r="B2034" s="1" t="n">
        <v>43993</v>
      </c>
      <c r="C2034" s="1" t="n">
        <v>45710</v>
      </c>
      <c r="D2034" t="inlineStr">
        <is>
          <t>ÖSTERGÖTLANDS LÄN</t>
        </is>
      </c>
      <c r="E2034" t="inlineStr">
        <is>
          <t>MOTALA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27542-2020</t>
        </is>
      </c>
      <c r="B2035" s="1" t="n">
        <v>43993</v>
      </c>
      <c r="C2035" s="1" t="n">
        <v>45710</v>
      </c>
      <c r="D2035" t="inlineStr">
        <is>
          <t>ÖSTERGÖTLANDS LÄN</t>
        </is>
      </c>
      <c r="E2035" t="inlineStr">
        <is>
          <t>NORRKÖPING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27560-2020</t>
        </is>
      </c>
      <c r="B2036" s="1" t="n">
        <v>43993</v>
      </c>
      <c r="C2036" s="1" t="n">
        <v>45710</v>
      </c>
      <c r="D2036" t="inlineStr">
        <is>
          <t>ÖSTERGÖTLANDS LÄN</t>
        </is>
      </c>
      <c r="E2036" t="inlineStr">
        <is>
          <t>LINKÖPING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27649-2020</t>
        </is>
      </c>
      <c r="B2037" s="1" t="n">
        <v>43993</v>
      </c>
      <c r="C2037" s="1" t="n">
        <v>45710</v>
      </c>
      <c r="D2037" t="inlineStr">
        <is>
          <t>ÖSTERGÖTLANDS LÄN</t>
        </is>
      </c>
      <c r="E2037" t="inlineStr">
        <is>
          <t>NORRKÖPING</t>
        </is>
      </c>
      <c r="G2037" t="n">
        <v>6.7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27779-2020</t>
        </is>
      </c>
      <c r="B2038" s="1" t="n">
        <v>43994</v>
      </c>
      <c r="C2038" s="1" t="n">
        <v>45710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27706-2020</t>
        </is>
      </c>
      <c r="B2039" s="1" t="n">
        <v>43994</v>
      </c>
      <c r="C2039" s="1" t="n">
        <v>45710</v>
      </c>
      <c r="D2039" t="inlineStr">
        <is>
          <t>ÖSTERGÖTLANDS LÄN</t>
        </is>
      </c>
      <c r="E2039" t="inlineStr">
        <is>
          <t>LINKÖPING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27715-2020</t>
        </is>
      </c>
      <c r="B2040" s="1" t="n">
        <v>43994</v>
      </c>
      <c r="C2040" s="1" t="n">
        <v>45710</v>
      </c>
      <c r="D2040" t="inlineStr">
        <is>
          <t>ÖSTERGÖTLANDS LÄN</t>
        </is>
      </c>
      <c r="E2040" t="inlineStr">
        <is>
          <t>MJÖLBY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27851-2020</t>
        </is>
      </c>
      <c r="B2041" s="1" t="n">
        <v>43994</v>
      </c>
      <c r="C2041" s="1" t="n">
        <v>45710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Holmen skog AB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27871-2020</t>
        </is>
      </c>
      <c r="B2042" s="1" t="n">
        <v>43994</v>
      </c>
      <c r="C2042" s="1" t="n">
        <v>45710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28044-2020</t>
        </is>
      </c>
      <c r="B2043" s="1" t="n">
        <v>43997</v>
      </c>
      <c r="C2043" s="1" t="n">
        <v>45710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28320-2020</t>
        </is>
      </c>
      <c r="B2044" s="1" t="n">
        <v>43998</v>
      </c>
      <c r="C2044" s="1" t="n">
        <v>45710</v>
      </c>
      <c r="D2044" t="inlineStr">
        <is>
          <t>ÖSTERGÖTLANDS LÄN</t>
        </is>
      </c>
      <c r="E2044" t="inlineStr">
        <is>
          <t>ÅTVIDABERG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28364-2020</t>
        </is>
      </c>
      <c r="B2045" s="1" t="n">
        <v>43998</v>
      </c>
      <c r="C2045" s="1" t="n">
        <v>45710</v>
      </c>
      <c r="D2045" t="inlineStr">
        <is>
          <t>ÖSTERGÖTLANDS LÄN</t>
        </is>
      </c>
      <c r="E2045" t="inlineStr">
        <is>
          <t>NORRKÖPING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28391-2020</t>
        </is>
      </c>
      <c r="B2046" s="1" t="n">
        <v>43998</v>
      </c>
      <c r="C2046" s="1" t="n">
        <v>45710</v>
      </c>
      <c r="D2046" t="inlineStr">
        <is>
          <t>ÖSTERGÖTLANDS LÄN</t>
        </is>
      </c>
      <c r="E2046" t="inlineStr">
        <is>
          <t>FINSPÅNG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28281-2020</t>
        </is>
      </c>
      <c r="B2047" s="1" t="n">
        <v>43998</v>
      </c>
      <c r="C2047" s="1" t="n">
        <v>45710</v>
      </c>
      <c r="D2047" t="inlineStr">
        <is>
          <t>ÖSTERGÖTLANDS LÄN</t>
        </is>
      </c>
      <c r="E2047" t="inlineStr">
        <is>
          <t>YDRE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28389-2020</t>
        </is>
      </c>
      <c r="B2048" s="1" t="n">
        <v>43998</v>
      </c>
      <c r="C2048" s="1" t="n">
        <v>45710</v>
      </c>
      <c r="D2048" t="inlineStr">
        <is>
          <t>ÖSTERGÖTLANDS LÄN</t>
        </is>
      </c>
      <c r="E2048" t="inlineStr">
        <is>
          <t>FINSPÅNG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28403-2020</t>
        </is>
      </c>
      <c r="B2049" s="1" t="n">
        <v>43998</v>
      </c>
      <c r="C2049" s="1" t="n">
        <v>45710</v>
      </c>
      <c r="D2049" t="inlineStr">
        <is>
          <t>ÖSTERGÖTLANDS LÄN</t>
        </is>
      </c>
      <c r="E2049" t="inlineStr">
        <is>
          <t>FINSPÅNG</t>
        </is>
      </c>
      <c r="F2049" t="inlineStr">
        <is>
          <t>Holmen skog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28677-2020</t>
        </is>
      </c>
      <c r="B2050" s="1" t="n">
        <v>43999</v>
      </c>
      <c r="C2050" s="1" t="n">
        <v>45710</v>
      </c>
      <c r="D2050" t="inlineStr">
        <is>
          <t>ÖSTERGÖTLANDS LÄN</t>
        </is>
      </c>
      <c r="E2050" t="inlineStr">
        <is>
          <t>NORRKÖPING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28689-2020</t>
        </is>
      </c>
      <c r="B2051" s="1" t="n">
        <v>43999</v>
      </c>
      <c r="C2051" s="1" t="n">
        <v>45710</v>
      </c>
      <c r="D2051" t="inlineStr">
        <is>
          <t>ÖSTERGÖTLANDS LÄN</t>
        </is>
      </c>
      <c r="E2051" t="inlineStr">
        <is>
          <t>ÅTVIDABERG</t>
        </is>
      </c>
      <c r="F2051" t="inlineStr">
        <is>
          <t>Övriga Aktiebolag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28680-2020</t>
        </is>
      </c>
      <c r="B2052" s="1" t="n">
        <v>43999</v>
      </c>
      <c r="C2052" s="1" t="n">
        <v>45710</v>
      </c>
      <c r="D2052" t="inlineStr">
        <is>
          <t>ÖSTERGÖTLANDS LÄN</t>
        </is>
      </c>
      <c r="E2052" t="inlineStr">
        <is>
          <t>LINKÖPING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29018-2020</t>
        </is>
      </c>
      <c r="B2053" s="1" t="n">
        <v>44000</v>
      </c>
      <c r="C2053" s="1" t="n">
        <v>45710</v>
      </c>
      <c r="D2053" t="inlineStr">
        <is>
          <t>ÖSTERGÖTLANDS LÄN</t>
        </is>
      </c>
      <c r="E2053" t="inlineStr">
        <is>
          <t>ÅTVIDABERG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28940-2020</t>
        </is>
      </c>
      <c r="B2054" s="1" t="n">
        <v>44000</v>
      </c>
      <c r="C2054" s="1" t="n">
        <v>45710</v>
      </c>
      <c r="D2054" t="inlineStr">
        <is>
          <t>ÖSTERGÖTLANDS LÄN</t>
        </is>
      </c>
      <c r="E2054" t="inlineStr">
        <is>
          <t>BOXHOLM</t>
        </is>
      </c>
      <c r="F2054" t="inlineStr">
        <is>
          <t>Övriga Aktiebolag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29045-2020</t>
        </is>
      </c>
      <c r="B2055" s="1" t="n">
        <v>44000</v>
      </c>
      <c r="C2055" s="1" t="n">
        <v>45710</v>
      </c>
      <c r="D2055" t="inlineStr">
        <is>
          <t>ÖSTERGÖTLANDS LÄN</t>
        </is>
      </c>
      <c r="E2055" t="inlineStr">
        <is>
          <t>KINDA</t>
        </is>
      </c>
      <c r="F2055" t="inlineStr">
        <is>
          <t>Sveaskog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29111-2020</t>
        </is>
      </c>
      <c r="B2056" s="1" t="n">
        <v>44003</v>
      </c>
      <c r="C2056" s="1" t="n">
        <v>45710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29149-2020</t>
        </is>
      </c>
      <c r="B2057" s="1" t="n">
        <v>44004</v>
      </c>
      <c r="C2057" s="1" t="n">
        <v>45710</v>
      </c>
      <c r="D2057" t="inlineStr">
        <is>
          <t>ÖSTERGÖTLANDS LÄN</t>
        </is>
      </c>
      <c r="E2057" t="inlineStr">
        <is>
          <t>ÅTVIDABERG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29878-2020</t>
        </is>
      </c>
      <c r="B2058" s="1" t="n">
        <v>44006</v>
      </c>
      <c r="C2058" s="1" t="n">
        <v>45710</v>
      </c>
      <c r="D2058" t="inlineStr">
        <is>
          <t>ÖSTERGÖTLANDS LÄN</t>
        </is>
      </c>
      <c r="E2058" t="inlineStr">
        <is>
          <t>MJÖLBY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29931-2020</t>
        </is>
      </c>
      <c r="B2059" s="1" t="n">
        <v>44006</v>
      </c>
      <c r="C2059" s="1" t="n">
        <v>45710</v>
      </c>
      <c r="D2059" t="inlineStr">
        <is>
          <t>ÖSTERGÖTLANDS LÄN</t>
        </is>
      </c>
      <c r="E2059" t="inlineStr">
        <is>
          <t>MOTALA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30057-2020</t>
        </is>
      </c>
      <c r="B2060" s="1" t="n">
        <v>44006</v>
      </c>
      <c r="C2060" s="1" t="n">
        <v>45710</v>
      </c>
      <c r="D2060" t="inlineStr">
        <is>
          <t>ÖSTERGÖTLANDS LÄN</t>
        </is>
      </c>
      <c r="E2060" t="inlineStr">
        <is>
          <t>NORRKÖPING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30034-2020</t>
        </is>
      </c>
      <c r="B2061" s="1" t="n">
        <v>44006</v>
      </c>
      <c r="C2061" s="1" t="n">
        <v>45710</v>
      </c>
      <c r="D2061" t="inlineStr">
        <is>
          <t>ÖSTERGÖTLANDS LÄN</t>
        </is>
      </c>
      <c r="E2061" t="inlineStr">
        <is>
          <t>NORRKÖPING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30042-2020</t>
        </is>
      </c>
      <c r="B2062" s="1" t="n">
        <v>44006</v>
      </c>
      <c r="C2062" s="1" t="n">
        <v>45710</v>
      </c>
      <c r="D2062" t="inlineStr">
        <is>
          <t>ÖSTERGÖTLANDS LÄN</t>
        </is>
      </c>
      <c r="E2062" t="inlineStr">
        <is>
          <t>NORRKÖPING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30045-2020</t>
        </is>
      </c>
      <c r="B2063" s="1" t="n">
        <v>44006</v>
      </c>
      <c r="C2063" s="1" t="n">
        <v>45710</v>
      </c>
      <c r="D2063" t="inlineStr">
        <is>
          <t>ÖSTERGÖTLANDS LÄN</t>
        </is>
      </c>
      <c r="E2063" t="inlineStr">
        <is>
          <t>NORRKÖPING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30055-2020</t>
        </is>
      </c>
      <c r="B2064" s="1" t="n">
        <v>44006</v>
      </c>
      <c r="C2064" s="1" t="n">
        <v>45710</v>
      </c>
      <c r="D2064" t="inlineStr">
        <is>
          <t>ÖSTERGÖTLANDS LÄN</t>
        </is>
      </c>
      <c r="E2064" t="inlineStr">
        <is>
          <t>NORRKÖPING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30040-2020</t>
        </is>
      </c>
      <c r="B2065" s="1" t="n">
        <v>44006</v>
      </c>
      <c r="C2065" s="1" t="n">
        <v>45710</v>
      </c>
      <c r="D2065" t="inlineStr">
        <is>
          <t>ÖSTERGÖTLANDS LÄN</t>
        </is>
      </c>
      <c r="E2065" t="inlineStr">
        <is>
          <t>NORRKÖPING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30036-2020</t>
        </is>
      </c>
      <c r="B2066" s="1" t="n">
        <v>44006</v>
      </c>
      <c r="C2066" s="1" t="n">
        <v>45710</v>
      </c>
      <c r="D2066" t="inlineStr">
        <is>
          <t>ÖSTERGÖTLANDS LÄN</t>
        </is>
      </c>
      <c r="E2066" t="inlineStr">
        <is>
          <t>NORRKÖPING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30322-2020</t>
        </is>
      </c>
      <c r="B2067" s="1" t="n">
        <v>44007</v>
      </c>
      <c r="C2067" s="1" t="n">
        <v>45710</v>
      </c>
      <c r="D2067" t="inlineStr">
        <is>
          <t>ÖSTERGÖTLANDS LÄN</t>
        </is>
      </c>
      <c r="E2067" t="inlineStr">
        <is>
          <t>MOTALA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30460-2020</t>
        </is>
      </c>
      <c r="B2068" s="1" t="n">
        <v>44007</v>
      </c>
      <c r="C2068" s="1" t="n">
        <v>45710</v>
      </c>
      <c r="D2068" t="inlineStr">
        <is>
          <t>ÖSTERGÖTLANDS LÄN</t>
        </is>
      </c>
      <c r="E2068" t="inlineStr">
        <is>
          <t>KINDA</t>
        </is>
      </c>
      <c r="F2068" t="inlineStr">
        <is>
          <t>Sveaskog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30559-2020</t>
        </is>
      </c>
      <c r="B2069" s="1" t="n">
        <v>44008</v>
      </c>
      <c r="C2069" s="1" t="n">
        <v>45710</v>
      </c>
      <c r="D2069" t="inlineStr">
        <is>
          <t>ÖSTERGÖTLANDS LÄN</t>
        </is>
      </c>
      <c r="E2069" t="inlineStr">
        <is>
          <t>KINDA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30647-2020</t>
        </is>
      </c>
      <c r="B2070" s="1" t="n">
        <v>44008</v>
      </c>
      <c r="C2070" s="1" t="n">
        <v>45710</v>
      </c>
      <c r="D2070" t="inlineStr">
        <is>
          <t>ÖSTERGÖTLANDS LÄN</t>
        </is>
      </c>
      <c r="E2070" t="inlineStr">
        <is>
          <t>NORRKÖPING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30615-2020</t>
        </is>
      </c>
      <c r="B2071" s="1" t="n">
        <v>44008</v>
      </c>
      <c r="C2071" s="1" t="n">
        <v>45710</v>
      </c>
      <c r="D2071" t="inlineStr">
        <is>
          <t>ÖSTERGÖTLANDS LÄN</t>
        </is>
      </c>
      <c r="E2071" t="inlineStr">
        <is>
          <t>NORRKÖPING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30643-2020</t>
        </is>
      </c>
      <c r="B2072" s="1" t="n">
        <v>44008</v>
      </c>
      <c r="C2072" s="1" t="n">
        <v>45710</v>
      </c>
      <c r="D2072" t="inlineStr">
        <is>
          <t>ÖSTERGÖTLANDS LÄN</t>
        </is>
      </c>
      <c r="E2072" t="inlineStr">
        <is>
          <t>NORRKÖPING</t>
        </is>
      </c>
      <c r="G2072" t="n">
        <v>8.699999999999999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30626-2020</t>
        </is>
      </c>
      <c r="B2073" s="1" t="n">
        <v>44008</v>
      </c>
      <c r="C2073" s="1" t="n">
        <v>45710</v>
      </c>
      <c r="D2073" t="inlineStr">
        <is>
          <t>ÖSTERGÖTLANDS LÄN</t>
        </is>
      </c>
      <c r="E2073" t="inlineStr">
        <is>
          <t>FINSPÅNG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30642-2020</t>
        </is>
      </c>
      <c r="B2074" s="1" t="n">
        <v>44008</v>
      </c>
      <c r="C2074" s="1" t="n">
        <v>45710</v>
      </c>
      <c r="D2074" t="inlineStr">
        <is>
          <t>ÖSTERGÖTLANDS LÄN</t>
        </is>
      </c>
      <c r="E2074" t="inlineStr">
        <is>
          <t>BOXHOLM</t>
        </is>
      </c>
      <c r="F2074" t="inlineStr">
        <is>
          <t>Övriga Aktiebolag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30717-2020</t>
        </is>
      </c>
      <c r="B2075" s="1" t="n">
        <v>44008</v>
      </c>
      <c r="C2075" s="1" t="n">
        <v>45710</v>
      </c>
      <c r="D2075" t="inlineStr">
        <is>
          <t>ÖSTERGÖTLANDS LÄN</t>
        </is>
      </c>
      <c r="E2075" t="inlineStr">
        <is>
          <t>NORRKÖPING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30624-2020</t>
        </is>
      </c>
      <c r="B2076" s="1" t="n">
        <v>44008</v>
      </c>
      <c r="C2076" s="1" t="n">
        <v>45710</v>
      </c>
      <c r="D2076" t="inlineStr">
        <is>
          <t>ÖSTERGÖTLANDS LÄN</t>
        </is>
      </c>
      <c r="E2076" t="inlineStr">
        <is>
          <t>FINSPÅNG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30932-2020</t>
        </is>
      </c>
      <c r="B2077" s="1" t="n">
        <v>44011</v>
      </c>
      <c r="C2077" s="1" t="n">
        <v>45710</v>
      </c>
      <c r="D2077" t="inlineStr">
        <is>
          <t>ÖSTERGÖTLANDS LÄN</t>
        </is>
      </c>
      <c r="E2077" t="inlineStr">
        <is>
          <t>KINDA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31047-2020</t>
        </is>
      </c>
      <c r="B2078" s="1" t="n">
        <v>44011</v>
      </c>
      <c r="C2078" s="1" t="n">
        <v>45710</v>
      </c>
      <c r="D2078" t="inlineStr">
        <is>
          <t>ÖSTERGÖTLANDS LÄN</t>
        </is>
      </c>
      <c r="E2078" t="inlineStr">
        <is>
          <t>NORRKÖPING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31278-2020</t>
        </is>
      </c>
      <c r="B2079" s="1" t="n">
        <v>44011</v>
      </c>
      <c r="C2079" s="1" t="n">
        <v>45710</v>
      </c>
      <c r="D2079" t="inlineStr">
        <is>
          <t>ÖSTERGÖTLANDS LÄN</t>
        </is>
      </c>
      <c r="E2079" t="inlineStr">
        <is>
          <t>FINSPÅNG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31046-2020</t>
        </is>
      </c>
      <c r="B2080" s="1" t="n">
        <v>44011</v>
      </c>
      <c r="C2080" s="1" t="n">
        <v>45710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31266-2020</t>
        </is>
      </c>
      <c r="B2081" s="1" t="n">
        <v>44011</v>
      </c>
      <c r="C2081" s="1" t="n">
        <v>45710</v>
      </c>
      <c r="D2081" t="inlineStr">
        <is>
          <t>ÖSTERGÖTLANDS LÄN</t>
        </is>
      </c>
      <c r="E2081" t="inlineStr">
        <is>
          <t>FINSPÅNG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31461-2020</t>
        </is>
      </c>
      <c r="B2082" s="1" t="n">
        <v>44012</v>
      </c>
      <c r="C2082" s="1" t="n">
        <v>45710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31479-2020</t>
        </is>
      </c>
      <c r="B2083" s="1" t="n">
        <v>44013</v>
      </c>
      <c r="C2083" s="1" t="n">
        <v>45710</v>
      </c>
      <c r="D2083" t="inlineStr">
        <is>
          <t>ÖSTERGÖTLANDS LÄN</t>
        </is>
      </c>
      <c r="E2083" t="inlineStr">
        <is>
          <t>MOTALA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31398-2020</t>
        </is>
      </c>
      <c r="B2084" s="1" t="n">
        <v>44013</v>
      </c>
      <c r="C2084" s="1" t="n">
        <v>45710</v>
      </c>
      <c r="D2084" t="inlineStr">
        <is>
          <t>ÖSTERGÖTLANDS LÄN</t>
        </is>
      </c>
      <c r="E2084" t="inlineStr">
        <is>
          <t>ÅTVIDABERG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31565-2020</t>
        </is>
      </c>
      <c r="B2085" s="1" t="n">
        <v>44013</v>
      </c>
      <c r="C2085" s="1" t="n">
        <v>45710</v>
      </c>
      <c r="D2085" t="inlineStr">
        <is>
          <t>ÖSTERGÖTLANDS LÄN</t>
        </is>
      </c>
      <c r="E2085" t="inlineStr">
        <is>
          <t>MOTALA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31611-2020</t>
        </is>
      </c>
      <c r="B2086" s="1" t="n">
        <v>44013</v>
      </c>
      <c r="C2086" s="1" t="n">
        <v>45710</v>
      </c>
      <c r="D2086" t="inlineStr">
        <is>
          <t>ÖSTERGÖTLANDS LÄN</t>
        </is>
      </c>
      <c r="E2086" t="inlineStr">
        <is>
          <t>FINSPÅNG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31612-2020</t>
        </is>
      </c>
      <c r="B2087" s="1" t="n">
        <v>44013</v>
      </c>
      <c r="C2087" s="1" t="n">
        <v>45710</v>
      </c>
      <c r="D2087" t="inlineStr">
        <is>
          <t>ÖSTERGÖTLANDS LÄN</t>
        </is>
      </c>
      <c r="E2087" t="inlineStr">
        <is>
          <t>FINSPÅNG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31775-2020</t>
        </is>
      </c>
      <c r="B2088" s="1" t="n">
        <v>44014</v>
      </c>
      <c r="C2088" s="1" t="n">
        <v>45710</v>
      </c>
      <c r="D2088" t="inlineStr">
        <is>
          <t>ÖSTERGÖTLANDS LÄN</t>
        </is>
      </c>
      <c r="E2088" t="inlineStr">
        <is>
          <t>SÖDERKÖPING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31773-2020</t>
        </is>
      </c>
      <c r="B2089" s="1" t="n">
        <v>44014</v>
      </c>
      <c r="C2089" s="1" t="n">
        <v>45710</v>
      </c>
      <c r="D2089" t="inlineStr">
        <is>
          <t>ÖSTERGÖTLANDS LÄN</t>
        </is>
      </c>
      <c r="E2089" t="inlineStr">
        <is>
          <t>SÖDERKÖPING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31903-2020</t>
        </is>
      </c>
      <c r="B2090" s="1" t="n">
        <v>44014</v>
      </c>
      <c r="C2090" s="1" t="n">
        <v>45710</v>
      </c>
      <c r="D2090" t="inlineStr">
        <is>
          <t>ÖSTERGÖTLANDS LÄN</t>
        </is>
      </c>
      <c r="E2090" t="inlineStr">
        <is>
          <t>MJÖLBY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31910-2020</t>
        </is>
      </c>
      <c r="B2091" s="1" t="n">
        <v>44014</v>
      </c>
      <c r="C2091" s="1" t="n">
        <v>45710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Kommuner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  <c r="U2091">
        <f>HYPERLINK("https://klasma.github.io/Logging_0583/knärot/A 31910-2020 karta knärot.png", "A 31910-2020")</f>
        <v/>
      </c>
      <c r="V2091">
        <f>HYPERLINK("https://klasma.github.io/Logging_0583/klagomål/A 31910-2020 FSC-klagomål.docx", "A 31910-2020")</f>
        <v/>
      </c>
      <c r="W2091">
        <f>HYPERLINK("https://klasma.github.io/Logging_0583/klagomålsmail/A 31910-2020 FSC-klagomål mail.docx", "A 31910-2020")</f>
        <v/>
      </c>
      <c r="X2091">
        <f>HYPERLINK("https://klasma.github.io/Logging_0583/tillsyn/A 31910-2020 tillsynsbegäran.docx", "A 31910-2020")</f>
        <v/>
      </c>
      <c r="Y2091">
        <f>HYPERLINK("https://klasma.github.io/Logging_0583/tillsynsmail/A 31910-2020 tillsynsbegäran mail.docx", "A 31910-2020")</f>
        <v/>
      </c>
    </row>
    <row r="2092" ht="15" customHeight="1">
      <c r="A2092" t="inlineStr">
        <is>
          <t>A 31954-2020</t>
        </is>
      </c>
      <c r="B2092" s="1" t="n">
        <v>44014</v>
      </c>
      <c r="C2092" s="1" t="n">
        <v>45710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31906-2020</t>
        </is>
      </c>
      <c r="B2093" s="1" t="n">
        <v>44014</v>
      </c>
      <c r="C2093" s="1" t="n">
        <v>45710</v>
      </c>
      <c r="D2093" t="inlineStr">
        <is>
          <t>ÖSTERGÖTLANDS LÄN</t>
        </is>
      </c>
      <c r="E2093" t="inlineStr">
        <is>
          <t>MJÖLBY</t>
        </is>
      </c>
      <c r="G2093" t="n">
        <v>17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32180-2020</t>
        </is>
      </c>
      <c r="B2094" s="1" t="n">
        <v>44015</v>
      </c>
      <c r="C2094" s="1" t="n">
        <v>45710</v>
      </c>
      <c r="D2094" t="inlineStr">
        <is>
          <t>ÖSTERGÖTLANDS LÄN</t>
        </is>
      </c>
      <c r="E2094" t="inlineStr">
        <is>
          <t>KINDA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32159-2020</t>
        </is>
      </c>
      <c r="B2095" s="1" t="n">
        <v>44015</v>
      </c>
      <c r="C2095" s="1" t="n">
        <v>45710</v>
      </c>
      <c r="D2095" t="inlineStr">
        <is>
          <t>ÖSTERGÖTLANDS LÄN</t>
        </is>
      </c>
      <c r="E2095" t="inlineStr">
        <is>
          <t>MJÖLBY</t>
        </is>
      </c>
      <c r="F2095" t="inlineStr">
        <is>
          <t>Kommuner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32288-2020</t>
        </is>
      </c>
      <c r="B2096" s="1" t="n">
        <v>44015</v>
      </c>
      <c r="C2096" s="1" t="n">
        <v>45710</v>
      </c>
      <c r="D2096" t="inlineStr">
        <is>
          <t>ÖSTERGÖTLANDS LÄN</t>
        </is>
      </c>
      <c r="E2096" t="inlineStr">
        <is>
          <t>FINSPÅNG</t>
        </is>
      </c>
      <c r="G2096" t="n">
        <v>5.2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32102-2020</t>
        </is>
      </c>
      <c r="B2097" s="1" t="n">
        <v>44015</v>
      </c>
      <c r="C2097" s="1" t="n">
        <v>45710</v>
      </c>
      <c r="D2097" t="inlineStr">
        <is>
          <t>ÖSTERGÖTLANDS LÄN</t>
        </is>
      </c>
      <c r="E2097" t="inlineStr">
        <is>
          <t>NORRKÖPING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32112-2020</t>
        </is>
      </c>
      <c r="B2098" s="1" t="n">
        <v>44015</v>
      </c>
      <c r="C2098" s="1" t="n">
        <v>45710</v>
      </c>
      <c r="D2098" t="inlineStr">
        <is>
          <t>ÖSTERGÖTLANDS LÄN</t>
        </is>
      </c>
      <c r="E2098" t="inlineStr">
        <is>
          <t>YDRE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32290-2020</t>
        </is>
      </c>
      <c r="B2099" s="1" t="n">
        <v>44015</v>
      </c>
      <c r="C2099" s="1" t="n">
        <v>45710</v>
      </c>
      <c r="D2099" t="inlineStr">
        <is>
          <t>ÖSTERGÖTLANDS LÄN</t>
        </is>
      </c>
      <c r="E2099" t="inlineStr">
        <is>
          <t>FINSPÅNG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32389-2020</t>
        </is>
      </c>
      <c r="B2100" s="1" t="n">
        <v>44018</v>
      </c>
      <c r="C2100" s="1" t="n">
        <v>45710</v>
      </c>
      <c r="D2100" t="inlineStr">
        <is>
          <t>ÖSTERGÖTLANDS LÄN</t>
        </is>
      </c>
      <c r="E2100" t="inlineStr">
        <is>
          <t>FINSPÅNG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32392-2020</t>
        </is>
      </c>
      <c r="B2101" s="1" t="n">
        <v>44018</v>
      </c>
      <c r="C2101" s="1" t="n">
        <v>45710</v>
      </c>
      <c r="D2101" t="inlineStr">
        <is>
          <t>ÖSTERGÖTLANDS LÄN</t>
        </is>
      </c>
      <c r="E2101" t="inlineStr">
        <is>
          <t>FINSPÅNG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32545-2020</t>
        </is>
      </c>
      <c r="B2102" s="1" t="n">
        <v>44018</v>
      </c>
      <c r="C2102" s="1" t="n">
        <v>45710</v>
      </c>
      <c r="D2102" t="inlineStr">
        <is>
          <t>ÖSTERGÖTLANDS LÄN</t>
        </is>
      </c>
      <c r="E2102" t="inlineStr">
        <is>
          <t>NORRKÖPING</t>
        </is>
      </c>
      <c r="G2102" t="n">
        <v>14.9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32637-2020</t>
        </is>
      </c>
      <c r="B2103" s="1" t="n">
        <v>44018</v>
      </c>
      <c r="C2103" s="1" t="n">
        <v>45710</v>
      </c>
      <c r="D2103" t="inlineStr">
        <is>
          <t>ÖSTERGÖTLANDS LÄN</t>
        </is>
      </c>
      <c r="E2103" t="inlineStr">
        <is>
          <t>NORRKÖPING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32432-2020</t>
        </is>
      </c>
      <c r="B2104" s="1" t="n">
        <v>44018</v>
      </c>
      <c r="C2104" s="1" t="n">
        <v>45710</v>
      </c>
      <c r="D2104" t="inlineStr">
        <is>
          <t>ÖSTERGÖTLANDS LÄN</t>
        </is>
      </c>
      <c r="E2104" t="inlineStr">
        <is>
          <t>YDRE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32436-2020</t>
        </is>
      </c>
      <c r="B2105" s="1" t="n">
        <v>44018</v>
      </c>
      <c r="C2105" s="1" t="n">
        <v>45710</v>
      </c>
      <c r="D2105" t="inlineStr">
        <is>
          <t>ÖSTERGÖTLANDS LÄN</t>
        </is>
      </c>
      <c r="E2105" t="inlineStr">
        <is>
          <t>YDRE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32641-2020</t>
        </is>
      </c>
      <c r="B2106" s="1" t="n">
        <v>44018</v>
      </c>
      <c r="C2106" s="1" t="n">
        <v>45710</v>
      </c>
      <c r="D2106" t="inlineStr">
        <is>
          <t>ÖSTERGÖTLANDS LÄN</t>
        </is>
      </c>
      <c r="E2106" t="inlineStr">
        <is>
          <t>NORRKÖPING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32555-2020</t>
        </is>
      </c>
      <c r="B2107" s="1" t="n">
        <v>44018</v>
      </c>
      <c r="C2107" s="1" t="n">
        <v>45710</v>
      </c>
      <c r="D2107" t="inlineStr">
        <is>
          <t>ÖSTERGÖTLANDS LÄN</t>
        </is>
      </c>
      <c r="E2107" t="inlineStr">
        <is>
          <t>NORRKÖPING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32537-2020</t>
        </is>
      </c>
      <c r="B2108" s="1" t="n">
        <v>44018</v>
      </c>
      <c r="C2108" s="1" t="n">
        <v>45710</v>
      </c>
      <c r="D2108" t="inlineStr">
        <is>
          <t>ÖSTERGÖTLANDS LÄN</t>
        </is>
      </c>
      <c r="E2108" t="inlineStr">
        <is>
          <t>MOTALA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32384-2020</t>
        </is>
      </c>
      <c r="B2109" s="1" t="n">
        <v>44018</v>
      </c>
      <c r="C2109" s="1" t="n">
        <v>45710</v>
      </c>
      <c r="D2109" t="inlineStr">
        <is>
          <t>ÖSTERGÖTLANDS LÄN</t>
        </is>
      </c>
      <c r="E2109" t="inlineStr">
        <is>
          <t>FINSPÅNG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32642-2020</t>
        </is>
      </c>
      <c r="B2110" s="1" t="n">
        <v>44018</v>
      </c>
      <c r="C2110" s="1" t="n">
        <v>45710</v>
      </c>
      <c r="D2110" t="inlineStr">
        <is>
          <t>ÖSTERGÖTLANDS LÄN</t>
        </is>
      </c>
      <c r="E2110" t="inlineStr">
        <is>
          <t>NORRKÖPING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32652-2020</t>
        </is>
      </c>
      <c r="B2111" s="1" t="n">
        <v>44019</v>
      </c>
      <c r="C2111" s="1" t="n">
        <v>45710</v>
      </c>
      <c r="D2111" t="inlineStr">
        <is>
          <t>ÖSTERGÖTLANDS LÄN</t>
        </is>
      </c>
      <c r="E2111" t="inlineStr">
        <is>
          <t>FINSPÅNG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32718-2020</t>
        </is>
      </c>
      <c r="B2112" s="1" t="n">
        <v>44019</v>
      </c>
      <c r="C2112" s="1" t="n">
        <v>45710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Övriga Aktiebolag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32923-2020</t>
        </is>
      </c>
      <c r="B2113" s="1" t="n">
        <v>44020</v>
      </c>
      <c r="C2113" s="1" t="n">
        <v>45710</v>
      </c>
      <c r="D2113" t="inlineStr">
        <is>
          <t>ÖSTERGÖTLANDS LÄN</t>
        </is>
      </c>
      <c r="E2113" t="inlineStr">
        <is>
          <t>ÖDESHÖG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32831-2020</t>
        </is>
      </c>
      <c r="B2114" s="1" t="n">
        <v>44020</v>
      </c>
      <c r="C2114" s="1" t="n">
        <v>45710</v>
      </c>
      <c r="D2114" t="inlineStr">
        <is>
          <t>ÖSTERGÖTLANDS LÄN</t>
        </is>
      </c>
      <c r="E2114" t="inlineStr">
        <is>
          <t>YDRE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32830-2020</t>
        </is>
      </c>
      <c r="B2115" s="1" t="n">
        <v>44020</v>
      </c>
      <c r="C2115" s="1" t="n">
        <v>45710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33090-2020</t>
        </is>
      </c>
      <c r="B2116" s="1" t="n">
        <v>44021</v>
      </c>
      <c r="C2116" s="1" t="n">
        <v>45710</v>
      </c>
      <c r="D2116" t="inlineStr">
        <is>
          <t>ÖSTERGÖTLANDS LÄN</t>
        </is>
      </c>
      <c r="E2116" t="inlineStr">
        <is>
          <t>FINSPÅNG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33148-2020</t>
        </is>
      </c>
      <c r="B2117" s="1" t="n">
        <v>44021</v>
      </c>
      <c r="C2117" s="1" t="n">
        <v>45710</v>
      </c>
      <c r="D2117" t="inlineStr">
        <is>
          <t>ÖSTERGÖTLANDS LÄN</t>
        </is>
      </c>
      <c r="E2117" t="inlineStr">
        <is>
          <t>VALDEMARSVIK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33240-2020</t>
        </is>
      </c>
      <c r="B2118" s="1" t="n">
        <v>44021</v>
      </c>
      <c r="C2118" s="1" t="n">
        <v>45710</v>
      </c>
      <c r="D2118" t="inlineStr">
        <is>
          <t>ÖSTERGÖTLANDS LÄN</t>
        </is>
      </c>
      <c r="E2118" t="inlineStr">
        <is>
          <t>MOTALA</t>
        </is>
      </c>
      <c r="G2118" t="n">
        <v>5.7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33225-2020</t>
        </is>
      </c>
      <c r="B2119" s="1" t="n">
        <v>44022</v>
      </c>
      <c r="C2119" s="1" t="n">
        <v>45710</v>
      </c>
      <c r="D2119" t="inlineStr">
        <is>
          <t>ÖSTERGÖTLANDS LÄN</t>
        </is>
      </c>
      <c r="E2119" t="inlineStr">
        <is>
          <t>MOTALA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33297-2020</t>
        </is>
      </c>
      <c r="B2120" s="1" t="n">
        <v>44022</v>
      </c>
      <c r="C2120" s="1" t="n">
        <v>45710</v>
      </c>
      <c r="D2120" t="inlineStr">
        <is>
          <t>ÖSTERGÖTLANDS LÄN</t>
        </is>
      </c>
      <c r="E2120" t="inlineStr">
        <is>
          <t>FINSPÅNG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33427-2020</t>
        </is>
      </c>
      <c r="B2121" s="1" t="n">
        <v>44022</v>
      </c>
      <c r="C2121" s="1" t="n">
        <v>45710</v>
      </c>
      <c r="D2121" t="inlineStr">
        <is>
          <t>ÖSTERGÖTLANDS LÄN</t>
        </is>
      </c>
      <c r="E2121" t="inlineStr">
        <is>
          <t>LINKÖPING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33475-2020</t>
        </is>
      </c>
      <c r="B2122" s="1" t="n">
        <v>44023</v>
      </c>
      <c r="C2122" s="1" t="n">
        <v>45710</v>
      </c>
      <c r="D2122" t="inlineStr">
        <is>
          <t>ÖSTERGÖTLANDS LÄN</t>
        </is>
      </c>
      <c r="E2122" t="inlineStr">
        <is>
          <t>FINSPÅNG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33562-2020</t>
        </is>
      </c>
      <c r="B2123" s="1" t="n">
        <v>44025</v>
      </c>
      <c r="C2123" s="1" t="n">
        <v>45710</v>
      </c>
      <c r="D2123" t="inlineStr">
        <is>
          <t>ÖSTERGÖTLANDS LÄN</t>
        </is>
      </c>
      <c r="E2123" t="inlineStr">
        <is>
          <t>LINKÖPING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33590-2020</t>
        </is>
      </c>
      <c r="B2124" s="1" t="n">
        <v>44025</v>
      </c>
      <c r="C2124" s="1" t="n">
        <v>45710</v>
      </c>
      <c r="D2124" t="inlineStr">
        <is>
          <t>ÖSTERGÖTLANDS LÄN</t>
        </is>
      </c>
      <c r="E2124" t="inlineStr">
        <is>
          <t>MJÖLBY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33761-2020</t>
        </is>
      </c>
      <c r="B2125" s="1" t="n">
        <v>44026</v>
      </c>
      <c r="C2125" s="1" t="n">
        <v>45710</v>
      </c>
      <c r="D2125" t="inlineStr">
        <is>
          <t>ÖSTERGÖTLANDS LÄN</t>
        </is>
      </c>
      <c r="E2125" t="inlineStr">
        <is>
          <t>ÖDESHÖG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33777-2020</t>
        </is>
      </c>
      <c r="B2126" s="1" t="n">
        <v>44026</v>
      </c>
      <c r="C2126" s="1" t="n">
        <v>45710</v>
      </c>
      <c r="D2126" t="inlineStr">
        <is>
          <t>ÖSTERGÖTLANDS LÄN</t>
        </is>
      </c>
      <c r="E2126" t="inlineStr">
        <is>
          <t>KINDA</t>
        </is>
      </c>
      <c r="F2126" t="inlineStr">
        <is>
          <t>Sveaskog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33832-2020</t>
        </is>
      </c>
      <c r="B2127" s="1" t="n">
        <v>44027</v>
      </c>
      <c r="C2127" s="1" t="n">
        <v>45710</v>
      </c>
      <c r="D2127" t="inlineStr">
        <is>
          <t>ÖSTERGÖTLANDS LÄN</t>
        </is>
      </c>
      <c r="E2127" t="inlineStr">
        <is>
          <t>LINKÖPING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33857-2020</t>
        </is>
      </c>
      <c r="B2128" s="1" t="n">
        <v>44027</v>
      </c>
      <c r="C2128" s="1" t="n">
        <v>45710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33906-2020</t>
        </is>
      </c>
      <c r="B2129" s="1" t="n">
        <v>44027</v>
      </c>
      <c r="C2129" s="1" t="n">
        <v>45710</v>
      </c>
      <c r="D2129" t="inlineStr">
        <is>
          <t>ÖSTERGÖTLANDS LÄN</t>
        </is>
      </c>
      <c r="E2129" t="inlineStr">
        <is>
          <t>FINSPÅNG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33918-2020</t>
        </is>
      </c>
      <c r="B2130" s="1" t="n">
        <v>44027</v>
      </c>
      <c r="C2130" s="1" t="n">
        <v>45710</v>
      </c>
      <c r="D2130" t="inlineStr">
        <is>
          <t>ÖSTERGÖTLANDS LÄN</t>
        </is>
      </c>
      <c r="E2130" t="inlineStr">
        <is>
          <t>LINKÖPING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33920-2020</t>
        </is>
      </c>
      <c r="B2131" s="1" t="n">
        <v>44027</v>
      </c>
      <c r="C2131" s="1" t="n">
        <v>45710</v>
      </c>
      <c r="D2131" t="inlineStr">
        <is>
          <t>ÖSTERGÖTLANDS LÄN</t>
        </is>
      </c>
      <c r="E2131" t="inlineStr">
        <is>
          <t>MOTALA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34385-2020</t>
        </is>
      </c>
      <c r="B2132" s="1" t="n">
        <v>44028</v>
      </c>
      <c r="C2132" s="1" t="n">
        <v>45710</v>
      </c>
      <c r="D2132" t="inlineStr">
        <is>
          <t>ÖSTERGÖTLANDS LÄN</t>
        </is>
      </c>
      <c r="E2132" t="inlineStr">
        <is>
          <t>YDRE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34250-2020</t>
        </is>
      </c>
      <c r="B2133" s="1" t="n">
        <v>44029</v>
      </c>
      <c r="C2133" s="1" t="n">
        <v>45710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34212-2020</t>
        </is>
      </c>
      <c r="B2134" s="1" t="n">
        <v>44029</v>
      </c>
      <c r="C2134" s="1" t="n">
        <v>45710</v>
      </c>
      <c r="D2134" t="inlineStr">
        <is>
          <t>ÖSTERGÖTLANDS LÄN</t>
        </is>
      </c>
      <c r="E2134" t="inlineStr">
        <is>
          <t>YDRE</t>
        </is>
      </c>
      <c r="F2134" t="inlineStr">
        <is>
          <t>Sveaskog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34239-2020</t>
        </is>
      </c>
      <c r="B2135" s="1" t="n">
        <v>44029</v>
      </c>
      <c r="C2135" s="1" t="n">
        <v>45710</v>
      </c>
      <c r="D2135" t="inlineStr">
        <is>
          <t>ÖSTERGÖTLANDS LÄN</t>
        </is>
      </c>
      <c r="E2135" t="inlineStr">
        <is>
          <t>VALDEMARSVIK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34213-2020</t>
        </is>
      </c>
      <c r="B2136" s="1" t="n">
        <v>44029</v>
      </c>
      <c r="C2136" s="1" t="n">
        <v>45710</v>
      </c>
      <c r="D2136" t="inlineStr">
        <is>
          <t>ÖSTERGÖTLANDS LÄN</t>
        </is>
      </c>
      <c r="E2136" t="inlineStr">
        <is>
          <t>YDRE</t>
        </is>
      </c>
      <c r="F2136" t="inlineStr">
        <is>
          <t>Sveaskog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34234-2020</t>
        </is>
      </c>
      <c r="B2137" s="1" t="n">
        <v>44029</v>
      </c>
      <c r="C2137" s="1" t="n">
        <v>45710</v>
      </c>
      <c r="D2137" t="inlineStr">
        <is>
          <t>ÖSTERGÖTLANDS LÄN</t>
        </is>
      </c>
      <c r="E2137" t="inlineStr">
        <is>
          <t>VALDEMARSVIK</t>
        </is>
      </c>
      <c r="G2137" t="n">
        <v>9.4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34448-2020</t>
        </is>
      </c>
      <c r="B2138" s="1" t="n">
        <v>44029</v>
      </c>
      <c r="C2138" s="1" t="n">
        <v>45710</v>
      </c>
      <c r="D2138" t="inlineStr">
        <is>
          <t>ÖSTERGÖTLANDS LÄN</t>
        </is>
      </c>
      <c r="E2138" t="inlineStr">
        <is>
          <t>LINKÖPING</t>
        </is>
      </c>
      <c r="F2138" t="inlineStr">
        <is>
          <t>Övriga statliga verk och myndigheter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34512-2020</t>
        </is>
      </c>
      <c r="B2139" s="1" t="n">
        <v>44029</v>
      </c>
      <c r="C2139" s="1" t="n">
        <v>45710</v>
      </c>
      <c r="D2139" t="inlineStr">
        <is>
          <t>ÖSTERGÖTLANDS LÄN</t>
        </is>
      </c>
      <c r="E2139" t="inlineStr">
        <is>
          <t>KINDA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34211-2020</t>
        </is>
      </c>
      <c r="B2140" s="1" t="n">
        <v>44029</v>
      </c>
      <c r="C2140" s="1" t="n">
        <v>45710</v>
      </c>
      <c r="D2140" t="inlineStr">
        <is>
          <t>ÖSTERGÖTLANDS LÄN</t>
        </is>
      </c>
      <c r="E2140" t="inlineStr">
        <is>
          <t>YDRE</t>
        </is>
      </c>
      <c r="F2140" t="inlineStr">
        <is>
          <t>Sveaskog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34621-2020</t>
        </is>
      </c>
      <c r="B2141" s="1" t="n">
        <v>44033</v>
      </c>
      <c r="C2141" s="1" t="n">
        <v>45710</v>
      </c>
      <c r="D2141" t="inlineStr">
        <is>
          <t>ÖSTERGÖTLANDS LÄN</t>
        </is>
      </c>
      <c r="E2141" t="inlineStr">
        <is>
          <t>LINKÖPING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34638-2020</t>
        </is>
      </c>
      <c r="B2142" s="1" t="n">
        <v>44034</v>
      </c>
      <c r="C2142" s="1" t="n">
        <v>45710</v>
      </c>
      <c r="D2142" t="inlineStr">
        <is>
          <t>ÖSTERGÖTLANDS LÄN</t>
        </is>
      </c>
      <c r="E2142" t="inlineStr">
        <is>
          <t>KINDA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34622-2020</t>
        </is>
      </c>
      <c r="B2143" s="1" t="n">
        <v>44034</v>
      </c>
      <c r="C2143" s="1" t="n">
        <v>45710</v>
      </c>
      <c r="D2143" t="inlineStr">
        <is>
          <t>ÖSTERGÖTLANDS LÄN</t>
        </is>
      </c>
      <c r="E2143" t="inlineStr">
        <is>
          <t>LINKÖPING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34718-2020</t>
        </is>
      </c>
      <c r="B2144" s="1" t="n">
        <v>44035</v>
      </c>
      <c r="C2144" s="1" t="n">
        <v>45710</v>
      </c>
      <c r="D2144" t="inlineStr">
        <is>
          <t>ÖSTERGÖTLANDS LÄN</t>
        </is>
      </c>
      <c r="E2144" t="inlineStr">
        <is>
          <t>LINKÖPING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34872-2020</t>
        </is>
      </c>
      <c r="B2145" s="1" t="n">
        <v>44036</v>
      </c>
      <c r="C2145" s="1" t="n">
        <v>45710</v>
      </c>
      <c r="D2145" t="inlineStr">
        <is>
          <t>ÖSTERGÖTLANDS LÄN</t>
        </is>
      </c>
      <c r="E2145" t="inlineStr">
        <is>
          <t>ÅTVIDABERG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34880-2020</t>
        </is>
      </c>
      <c r="B2146" s="1" t="n">
        <v>44036</v>
      </c>
      <c r="C2146" s="1" t="n">
        <v>45710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34828-2020</t>
        </is>
      </c>
      <c r="B2147" s="1" t="n">
        <v>44036</v>
      </c>
      <c r="C2147" s="1" t="n">
        <v>45710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Kyrkan</t>
        </is>
      </c>
      <c r="G2147" t="n">
        <v>10.4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34839-2020</t>
        </is>
      </c>
      <c r="B2148" s="1" t="n">
        <v>44036</v>
      </c>
      <c r="C2148" s="1" t="n">
        <v>45710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Kyrkan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35004-2020</t>
        </is>
      </c>
      <c r="B2149" s="1" t="n">
        <v>44039</v>
      </c>
      <c r="C2149" s="1" t="n">
        <v>45710</v>
      </c>
      <c r="D2149" t="inlineStr">
        <is>
          <t>ÖSTERGÖTLANDS LÄN</t>
        </is>
      </c>
      <c r="E2149" t="inlineStr">
        <is>
          <t>YDRE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35027-2020</t>
        </is>
      </c>
      <c r="B2150" s="1" t="n">
        <v>44039</v>
      </c>
      <c r="C2150" s="1" t="n">
        <v>45710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35063-2020</t>
        </is>
      </c>
      <c r="B2151" s="1" t="n">
        <v>44039</v>
      </c>
      <c r="C2151" s="1" t="n">
        <v>45710</v>
      </c>
      <c r="D2151" t="inlineStr">
        <is>
          <t>ÖSTERGÖTLANDS LÄN</t>
        </is>
      </c>
      <c r="E2151" t="inlineStr">
        <is>
          <t>KINDA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35050-2020</t>
        </is>
      </c>
      <c r="B2152" s="1" t="n">
        <v>44039</v>
      </c>
      <c r="C2152" s="1" t="n">
        <v>45710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35065-2020</t>
        </is>
      </c>
      <c r="B2153" s="1" t="n">
        <v>44039</v>
      </c>
      <c r="C2153" s="1" t="n">
        <v>45710</v>
      </c>
      <c r="D2153" t="inlineStr">
        <is>
          <t>ÖSTERGÖTLANDS LÄN</t>
        </is>
      </c>
      <c r="E2153" t="inlineStr">
        <is>
          <t>KINDA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35324-2020</t>
        </is>
      </c>
      <c r="B2154" s="1" t="n">
        <v>44041</v>
      </c>
      <c r="C2154" s="1" t="n">
        <v>45710</v>
      </c>
      <c r="D2154" t="inlineStr">
        <is>
          <t>ÖSTERGÖTLANDS LÄN</t>
        </is>
      </c>
      <c r="E2154" t="inlineStr">
        <is>
          <t>LINKÖPING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35539-2020</t>
        </is>
      </c>
      <c r="B2155" s="1" t="n">
        <v>44043</v>
      </c>
      <c r="C2155" s="1" t="n">
        <v>45710</v>
      </c>
      <c r="D2155" t="inlineStr">
        <is>
          <t>ÖSTERGÖTLANDS LÄN</t>
        </is>
      </c>
      <c r="E2155" t="inlineStr">
        <is>
          <t>ÖDESHÖG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35751-2020</t>
        </is>
      </c>
      <c r="B2156" s="1" t="n">
        <v>44046</v>
      </c>
      <c r="C2156" s="1" t="n">
        <v>45710</v>
      </c>
      <c r="D2156" t="inlineStr">
        <is>
          <t>ÖSTERGÖTLANDS LÄN</t>
        </is>
      </c>
      <c r="E2156" t="inlineStr">
        <is>
          <t>ÖDESHÖG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35820-2020</t>
        </is>
      </c>
      <c r="B2157" s="1" t="n">
        <v>44047</v>
      </c>
      <c r="C2157" s="1" t="n">
        <v>45710</v>
      </c>
      <c r="D2157" t="inlineStr">
        <is>
          <t>ÖSTERGÖTLANDS LÄN</t>
        </is>
      </c>
      <c r="E2157" t="inlineStr">
        <is>
          <t>MOTALA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35867-2020</t>
        </is>
      </c>
      <c r="B2158" s="1" t="n">
        <v>44047</v>
      </c>
      <c r="C2158" s="1" t="n">
        <v>45710</v>
      </c>
      <c r="D2158" t="inlineStr">
        <is>
          <t>ÖSTERGÖTLANDS LÄN</t>
        </is>
      </c>
      <c r="E2158" t="inlineStr">
        <is>
          <t>YDRE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35989-2020</t>
        </is>
      </c>
      <c r="B2159" s="1" t="n">
        <v>44047</v>
      </c>
      <c r="C2159" s="1" t="n">
        <v>45710</v>
      </c>
      <c r="D2159" t="inlineStr">
        <is>
          <t>ÖSTERGÖTLANDS LÄN</t>
        </is>
      </c>
      <c r="E2159" t="inlineStr">
        <is>
          <t>KINDA</t>
        </is>
      </c>
      <c r="F2159" t="inlineStr">
        <is>
          <t>Kyrkan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36237-2020</t>
        </is>
      </c>
      <c r="B2160" s="1" t="n">
        <v>44048</v>
      </c>
      <c r="C2160" s="1" t="n">
        <v>45710</v>
      </c>
      <c r="D2160" t="inlineStr">
        <is>
          <t>ÖSTERGÖTLANDS LÄN</t>
        </is>
      </c>
      <c r="E2160" t="inlineStr">
        <is>
          <t>NORRKÖPING</t>
        </is>
      </c>
      <c r="G2160" t="n">
        <v>7.2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36309-2020</t>
        </is>
      </c>
      <c r="B2161" s="1" t="n">
        <v>44049</v>
      </c>
      <c r="C2161" s="1" t="n">
        <v>45710</v>
      </c>
      <c r="D2161" t="inlineStr">
        <is>
          <t>ÖSTERGÖTLANDS LÄN</t>
        </is>
      </c>
      <c r="E2161" t="inlineStr">
        <is>
          <t>ÅTVIDABERG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36286-2020</t>
        </is>
      </c>
      <c r="B2162" s="1" t="n">
        <v>44049</v>
      </c>
      <c r="C2162" s="1" t="n">
        <v>45710</v>
      </c>
      <c r="D2162" t="inlineStr">
        <is>
          <t>ÖSTERGÖTLANDS LÄN</t>
        </is>
      </c>
      <c r="E2162" t="inlineStr">
        <is>
          <t>ÅTVIDABERG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36255-2020</t>
        </is>
      </c>
      <c r="B2163" s="1" t="n">
        <v>44049</v>
      </c>
      <c r="C2163" s="1" t="n">
        <v>45710</v>
      </c>
      <c r="D2163" t="inlineStr">
        <is>
          <t>ÖSTERGÖTLANDS LÄN</t>
        </is>
      </c>
      <c r="E2163" t="inlineStr">
        <is>
          <t>YDRE</t>
        </is>
      </c>
      <c r="G2163" t="n">
        <v>6.2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36425-2020</t>
        </is>
      </c>
      <c r="B2164" s="1" t="n">
        <v>44049</v>
      </c>
      <c r="C2164" s="1" t="n">
        <v>45710</v>
      </c>
      <c r="D2164" t="inlineStr">
        <is>
          <t>ÖSTERGÖTLANDS LÄN</t>
        </is>
      </c>
      <c r="E2164" t="inlineStr">
        <is>
          <t>YDRE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36274-2020</t>
        </is>
      </c>
      <c r="B2165" s="1" t="n">
        <v>44049</v>
      </c>
      <c r="C2165" s="1" t="n">
        <v>45710</v>
      </c>
      <c r="D2165" t="inlineStr">
        <is>
          <t>ÖSTERGÖTLANDS LÄN</t>
        </is>
      </c>
      <c r="E2165" t="inlineStr">
        <is>
          <t>LINKÖPING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36417-2020</t>
        </is>
      </c>
      <c r="B2166" s="1" t="n">
        <v>44049</v>
      </c>
      <c r="C2166" s="1" t="n">
        <v>45710</v>
      </c>
      <c r="D2166" t="inlineStr">
        <is>
          <t>ÖSTERGÖTLANDS LÄN</t>
        </is>
      </c>
      <c r="E2166" t="inlineStr">
        <is>
          <t>KINDA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36423-2020</t>
        </is>
      </c>
      <c r="B2167" s="1" t="n">
        <v>44049</v>
      </c>
      <c r="C2167" s="1" t="n">
        <v>45710</v>
      </c>
      <c r="D2167" t="inlineStr">
        <is>
          <t>ÖSTERGÖTLANDS LÄN</t>
        </is>
      </c>
      <c r="E2167" t="inlineStr">
        <is>
          <t>YDRE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36557-2020</t>
        </is>
      </c>
      <c r="B2168" s="1" t="n">
        <v>44050</v>
      </c>
      <c r="C2168" s="1" t="n">
        <v>45710</v>
      </c>
      <c r="D2168" t="inlineStr">
        <is>
          <t>ÖSTERGÖTLANDS LÄN</t>
        </is>
      </c>
      <c r="E2168" t="inlineStr">
        <is>
          <t>ÅTVIDABERG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36589-2020</t>
        </is>
      </c>
      <c r="B2169" s="1" t="n">
        <v>44050</v>
      </c>
      <c r="C2169" s="1" t="n">
        <v>45710</v>
      </c>
      <c r="D2169" t="inlineStr">
        <is>
          <t>ÖSTERGÖTLANDS LÄN</t>
        </is>
      </c>
      <c r="E2169" t="inlineStr">
        <is>
          <t>KINDA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36772-2020</t>
        </is>
      </c>
      <c r="B2170" s="1" t="n">
        <v>44053</v>
      </c>
      <c r="C2170" s="1" t="n">
        <v>45710</v>
      </c>
      <c r="D2170" t="inlineStr">
        <is>
          <t>ÖSTERGÖTLANDS LÄN</t>
        </is>
      </c>
      <c r="E2170" t="inlineStr">
        <is>
          <t>SÖDERKÖPING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36887-2020</t>
        </is>
      </c>
      <c r="B2171" s="1" t="n">
        <v>44053</v>
      </c>
      <c r="C2171" s="1" t="n">
        <v>45710</v>
      </c>
      <c r="D2171" t="inlineStr">
        <is>
          <t>ÖSTERGÖTLANDS LÄN</t>
        </is>
      </c>
      <c r="E2171" t="inlineStr">
        <is>
          <t>BOXHOLM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36763-2020</t>
        </is>
      </c>
      <c r="B2172" s="1" t="n">
        <v>44053</v>
      </c>
      <c r="C2172" s="1" t="n">
        <v>45710</v>
      </c>
      <c r="D2172" t="inlineStr">
        <is>
          <t>ÖSTERGÖTLANDS LÄN</t>
        </is>
      </c>
      <c r="E2172" t="inlineStr">
        <is>
          <t>SÖDERKÖPING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36784-2020</t>
        </is>
      </c>
      <c r="B2173" s="1" t="n">
        <v>44053</v>
      </c>
      <c r="C2173" s="1" t="n">
        <v>45710</v>
      </c>
      <c r="D2173" t="inlineStr">
        <is>
          <t>ÖSTERGÖTLANDS LÄN</t>
        </is>
      </c>
      <c r="E2173" t="inlineStr">
        <is>
          <t>FINSPÅNG</t>
        </is>
      </c>
      <c r="F2173" t="inlineStr">
        <is>
          <t>Holmen skog AB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36779-2020</t>
        </is>
      </c>
      <c r="B2174" s="1" t="n">
        <v>44053</v>
      </c>
      <c r="C2174" s="1" t="n">
        <v>45710</v>
      </c>
      <c r="D2174" t="inlineStr">
        <is>
          <t>ÖSTERGÖTLANDS LÄN</t>
        </is>
      </c>
      <c r="E2174" t="inlineStr">
        <is>
          <t>NORRKÖPING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36812-2020</t>
        </is>
      </c>
      <c r="B2175" s="1" t="n">
        <v>44053</v>
      </c>
      <c r="C2175" s="1" t="n">
        <v>45710</v>
      </c>
      <c r="D2175" t="inlineStr">
        <is>
          <t>ÖSTERGÖTLANDS LÄN</t>
        </is>
      </c>
      <c r="E2175" t="inlineStr">
        <is>
          <t>VALDEMARSVIK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36775-2020</t>
        </is>
      </c>
      <c r="B2176" s="1" t="n">
        <v>44053</v>
      </c>
      <c r="C2176" s="1" t="n">
        <v>45710</v>
      </c>
      <c r="D2176" t="inlineStr">
        <is>
          <t>ÖSTERGÖTLANDS LÄN</t>
        </is>
      </c>
      <c r="E2176" t="inlineStr">
        <is>
          <t>SÖDERKÖPING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36832-2020</t>
        </is>
      </c>
      <c r="B2177" s="1" t="n">
        <v>44053</v>
      </c>
      <c r="C2177" s="1" t="n">
        <v>45710</v>
      </c>
      <c r="D2177" t="inlineStr">
        <is>
          <t>ÖSTERGÖTLANDS LÄN</t>
        </is>
      </c>
      <c r="E2177" t="inlineStr">
        <is>
          <t>KINDA</t>
        </is>
      </c>
      <c r="G2177" t="n">
        <v>6.6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36925-2020</t>
        </is>
      </c>
      <c r="B2178" s="1" t="n">
        <v>44053</v>
      </c>
      <c r="C2178" s="1" t="n">
        <v>45710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Holmen skog AB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36915-2020</t>
        </is>
      </c>
      <c r="B2179" s="1" t="n">
        <v>44053</v>
      </c>
      <c r="C2179" s="1" t="n">
        <v>45710</v>
      </c>
      <c r="D2179" t="inlineStr">
        <is>
          <t>ÖSTERGÖTLANDS LÄN</t>
        </is>
      </c>
      <c r="E2179" t="inlineStr">
        <is>
          <t>MOTALA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36924-2020</t>
        </is>
      </c>
      <c r="B2180" s="1" t="n">
        <v>44053</v>
      </c>
      <c r="C2180" s="1" t="n">
        <v>45710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Holmen skog AB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36943-2020</t>
        </is>
      </c>
      <c r="B2181" s="1" t="n">
        <v>44053</v>
      </c>
      <c r="C2181" s="1" t="n">
        <v>45710</v>
      </c>
      <c r="D2181" t="inlineStr">
        <is>
          <t>ÖSTERGÖTLANDS LÄN</t>
        </is>
      </c>
      <c r="E2181" t="inlineStr">
        <is>
          <t>MOTALA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36855-2020</t>
        </is>
      </c>
      <c r="B2182" s="1" t="n">
        <v>44053</v>
      </c>
      <c r="C2182" s="1" t="n">
        <v>45710</v>
      </c>
      <c r="D2182" t="inlineStr">
        <is>
          <t>ÖSTERGÖTLANDS LÄN</t>
        </is>
      </c>
      <c r="E2182" t="inlineStr">
        <is>
          <t>SÖDERKÖPING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36920-2020</t>
        </is>
      </c>
      <c r="B2183" s="1" t="n">
        <v>44053</v>
      </c>
      <c r="C2183" s="1" t="n">
        <v>45710</v>
      </c>
      <c r="D2183" t="inlineStr">
        <is>
          <t>ÖSTERGÖTLANDS LÄN</t>
        </is>
      </c>
      <c r="E2183" t="inlineStr">
        <is>
          <t>FINSPÅNG</t>
        </is>
      </c>
      <c r="F2183" t="inlineStr">
        <is>
          <t>Holmen skog AB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37290-2020</t>
        </is>
      </c>
      <c r="B2184" s="1" t="n">
        <v>44055</v>
      </c>
      <c r="C2184" s="1" t="n">
        <v>45710</v>
      </c>
      <c r="D2184" t="inlineStr">
        <is>
          <t>ÖSTERGÖTLANDS LÄN</t>
        </is>
      </c>
      <c r="E2184" t="inlineStr">
        <is>
          <t>FINSPÅNG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37294-2020</t>
        </is>
      </c>
      <c r="B2185" s="1" t="n">
        <v>44055</v>
      </c>
      <c r="C2185" s="1" t="n">
        <v>45710</v>
      </c>
      <c r="D2185" t="inlineStr">
        <is>
          <t>ÖSTERGÖTLANDS LÄN</t>
        </is>
      </c>
      <c r="E2185" t="inlineStr">
        <is>
          <t>FINSPÅNG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37432-2020</t>
        </is>
      </c>
      <c r="B2186" s="1" t="n">
        <v>44055</v>
      </c>
      <c r="C2186" s="1" t="n">
        <v>45710</v>
      </c>
      <c r="D2186" t="inlineStr">
        <is>
          <t>ÖSTERGÖTLANDS LÄN</t>
        </is>
      </c>
      <c r="E2186" t="inlineStr">
        <is>
          <t>LINKÖPING</t>
        </is>
      </c>
      <c r="F2186" t="inlineStr">
        <is>
          <t>Kyrkan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37524-2020</t>
        </is>
      </c>
      <c r="B2187" s="1" t="n">
        <v>44055</v>
      </c>
      <c r="C2187" s="1" t="n">
        <v>45710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37529-2020</t>
        </is>
      </c>
      <c r="B2188" s="1" t="n">
        <v>44056</v>
      </c>
      <c r="C2188" s="1" t="n">
        <v>45710</v>
      </c>
      <c r="D2188" t="inlineStr">
        <is>
          <t>ÖSTERGÖTLANDS LÄN</t>
        </is>
      </c>
      <c r="E2188" t="inlineStr">
        <is>
          <t>FINSPÅNG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37528-2020</t>
        </is>
      </c>
      <c r="B2189" s="1" t="n">
        <v>44056</v>
      </c>
      <c r="C2189" s="1" t="n">
        <v>45710</v>
      </c>
      <c r="D2189" t="inlineStr">
        <is>
          <t>ÖSTERGÖTLANDS LÄN</t>
        </is>
      </c>
      <c r="E2189" t="inlineStr">
        <is>
          <t>FINSPÅNG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37714-2020</t>
        </is>
      </c>
      <c r="B2190" s="1" t="n">
        <v>44056</v>
      </c>
      <c r="C2190" s="1" t="n">
        <v>45710</v>
      </c>
      <c r="D2190" t="inlineStr">
        <is>
          <t>ÖSTERGÖTLANDS LÄN</t>
        </is>
      </c>
      <c r="E2190" t="inlineStr">
        <is>
          <t>BOXHOLM</t>
        </is>
      </c>
      <c r="F2190" t="inlineStr">
        <is>
          <t>Övriga Aktiebolag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37771-2020</t>
        </is>
      </c>
      <c r="B2191" s="1" t="n">
        <v>44056</v>
      </c>
      <c r="C2191" s="1" t="n">
        <v>45710</v>
      </c>
      <c r="D2191" t="inlineStr">
        <is>
          <t>ÖSTERGÖTLANDS LÄN</t>
        </is>
      </c>
      <c r="E2191" t="inlineStr">
        <is>
          <t>BOXHOLM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37821-2020</t>
        </is>
      </c>
      <c r="B2192" s="1" t="n">
        <v>44057</v>
      </c>
      <c r="C2192" s="1" t="n">
        <v>45710</v>
      </c>
      <c r="D2192" t="inlineStr">
        <is>
          <t>ÖSTERGÖTLANDS LÄN</t>
        </is>
      </c>
      <c r="E2192" t="inlineStr">
        <is>
          <t>NORRKÖPING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37896-2020</t>
        </is>
      </c>
      <c r="B2193" s="1" t="n">
        <v>44057</v>
      </c>
      <c r="C2193" s="1" t="n">
        <v>45710</v>
      </c>
      <c r="D2193" t="inlineStr">
        <is>
          <t>ÖSTERGÖTLANDS LÄN</t>
        </is>
      </c>
      <c r="E2193" t="inlineStr">
        <is>
          <t>MOTALA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37884-2020</t>
        </is>
      </c>
      <c r="B2194" s="1" t="n">
        <v>44057</v>
      </c>
      <c r="C2194" s="1" t="n">
        <v>45710</v>
      </c>
      <c r="D2194" t="inlineStr">
        <is>
          <t>ÖSTERGÖTLANDS LÄN</t>
        </is>
      </c>
      <c r="E2194" t="inlineStr">
        <is>
          <t>FINSPÅNG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37906-2020</t>
        </is>
      </c>
      <c r="B2195" s="1" t="n">
        <v>44057</v>
      </c>
      <c r="C2195" s="1" t="n">
        <v>45710</v>
      </c>
      <c r="D2195" t="inlineStr">
        <is>
          <t>ÖSTERGÖTLANDS LÄN</t>
        </is>
      </c>
      <c r="E2195" t="inlineStr">
        <is>
          <t>MOTALA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37928-2020</t>
        </is>
      </c>
      <c r="B2196" s="1" t="n">
        <v>44057</v>
      </c>
      <c r="C2196" s="1" t="n">
        <v>45710</v>
      </c>
      <c r="D2196" t="inlineStr">
        <is>
          <t>ÖSTERGÖTLANDS LÄN</t>
        </is>
      </c>
      <c r="E2196" t="inlineStr">
        <is>
          <t>LINKÖPING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37934-2020</t>
        </is>
      </c>
      <c r="B2197" s="1" t="n">
        <v>44057</v>
      </c>
      <c r="C2197" s="1" t="n">
        <v>45710</v>
      </c>
      <c r="D2197" t="inlineStr">
        <is>
          <t>ÖSTERGÖTLANDS LÄN</t>
        </is>
      </c>
      <c r="E2197" t="inlineStr">
        <is>
          <t>YDRE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37892-2020</t>
        </is>
      </c>
      <c r="B2198" s="1" t="n">
        <v>44057</v>
      </c>
      <c r="C2198" s="1" t="n">
        <v>45710</v>
      </c>
      <c r="D2198" t="inlineStr">
        <is>
          <t>ÖSTERGÖTLANDS LÄN</t>
        </is>
      </c>
      <c r="E2198" t="inlineStr">
        <is>
          <t>MOTALA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38031-2020</t>
        </is>
      </c>
      <c r="B2199" s="1" t="n">
        <v>44057</v>
      </c>
      <c r="C2199" s="1" t="n">
        <v>45710</v>
      </c>
      <c r="D2199" t="inlineStr">
        <is>
          <t>ÖSTERGÖTLANDS LÄN</t>
        </is>
      </c>
      <c r="E2199" t="inlineStr">
        <is>
          <t>KINDA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37898-2020</t>
        </is>
      </c>
      <c r="B2200" s="1" t="n">
        <v>44057</v>
      </c>
      <c r="C2200" s="1" t="n">
        <v>45710</v>
      </c>
      <c r="D2200" t="inlineStr">
        <is>
          <t>ÖSTERGÖTLANDS LÄN</t>
        </is>
      </c>
      <c r="E2200" t="inlineStr">
        <is>
          <t>MOTALA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38005-2020</t>
        </is>
      </c>
      <c r="B2201" s="1" t="n">
        <v>44057</v>
      </c>
      <c r="C2201" s="1" t="n">
        <v>45710</v>
      </c>
      <c r="D2201" t="inlineStr">
        <is>
          <t>ÖSTERGÖTLANDS LÄN</t>
        </is>
      </c>
      <c r="E2201" t="inlineStr">
        <is>
          <t>FINSPÅNG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38294-2020</t>
        </is>
      </c>
      <c r="B2202" s="1" t="n">
        <v>44060</v>
      </c>
      <c r="C2202" s="1" t="n">
        <v>45710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38308-2020</t>
        </is>
      </c>
      <c r="B2203" s="1" t="n">
        <v>44060</v>
      </c>
      <c r="C2203" s="1" t="n">
        <v>45710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38282-2020</t>
        </is>
      </c>
      <c r="B2204" s="1" t="n">
        <v>44060</v>
      </c>
      <c r="C2204" s="1" t="n">
        <v>45710</v>
      </c>
      <c r="D2204" t="inlineStr">
        <is>
          <t>ÖSTERGÖTLANDS LÄN</t>
        </is>
      </c>
      <c r="E2204" t="inlineStr">
        <is>
          <t>LINKÖPING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38287-2020</t>
        </is>
      </c>
      <c r="B2205" s="1" t="n">
        <v>44060</v>
      </c>
      <c r="C2205" s="1" t="n">
        <v>45710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Sveaskog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38286-2020</t>
        </is>
      </c>
      <c r="B2206" s="1" t="n">
        <v>44060</v>
      </c>
      <c r="C2206" s="1" t="n">
        <v>45710</v>
      </c>
      <c r="D2206" t="inlineStr">
        <is>
          <t>ÖSTERGÖTLANDS LÄN</t>
        </is>
      </c>
      <c r="E2206" t="inlineStr">
        <is>
          <t>MOTALA</t>
        </is>
      </c>
      <c r="F2206" t="inlineStr">
        <is>
          <t>Sveaskog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38289-2020</t>
        </is>
      </c>
      <c r="B2207" s="1" t="n">
        <v>44060</v>
      </c>
      <c r="C2207" s="1" t="n">
        <v>45710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38343-2020</t>
        </is>
      </c>
      <c r="B2208" s="1" t="n">
        <v>44060</v>
      </c>
      <c r="C2208" s="1" t="n">
        <v>45710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Allmännings- och besparingsskogar</t>
        </is>
      </c>
      <c r="G2208" t="n">
        <v>10.3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38355-2020</t>
        </is>
      </c>
      <c r="B2209" s="1" t="n">
        <v>44060</v>
      </c>
      <c r="C2209" s="1" t="n">
        <v>45710</v>
      </c>
      <c r="D2209" t="inlineStr">
        <is>
          <t>ÖSTERGÖTLANDS LÄN</t>
        </is>
      </c>
      <c r="E2209" t="inlineStr">
        <is>
          <t>LINKÖPING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38348-2020</t>
        </is>
      </c>
      <c r="B2210" s="1" t="n">
        <v>44060</v>
      </c>
      <c r="C2210" s="1" t="n">
        <v>45710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Allmännings- och besparingsskogar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38335-2020</t>
        </is>
      </c>
      <c r="B2211" s="1" t="n">
        <v>44060</v>
      </c>
      <c r="C2211" s="1" t="n">
        <v>45710</v>
      </c>
      <c r="D2211" t="inlineStr">
        <is>
          <t>ÖSTERGÖTLANDS LÄN</t>
        </is>
      </c>
      <c r="E2211" t="inlineStr">
        <is>
          <t>MJÖLBY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38352-2020</t>
        </is>
      </c>
      <c r="B2212" s="1" t="n">
        <v>44060</v>
      </c>
      <c r="C2212" s="1" t="n">
        <v>45710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38572-2020</t>
        </is>
      </c>
      <c r="B2213" s="1" t="n">
        <v>44061</v>
      </c>
      <c r="C2213" s="1" t="n">
        <v>45710</v>
      </c>
      <c r="D2213" t="inlineStr">
        <is>
          <t>ÖSTERGÖTLANDS LÄN</t>
        </is>
      </c>
      <c r="E2213" t="inlineStr">
        <is>
          <t>MOTALA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38503-2020</t>
        </is>
      </c>
      <c r="B2214" s="1" t="n">
        <v>44061</v>
      </c>
      <c r="C2214" s="1" t="n">
        <v>45710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Kyrkan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38528-2020</t>
        </is>
      </c>
      <c r="B2215" s="1" t="n">
        <v>44061</v>
      </c>
      <c r="C2215" s="1" t="n">
        <v>45710</v>
      </c>
      <c r="D2215" t="inlineStr">
        <is>
          <t>ÖSTERGÖTLANDS LÄN</t>
        </is>
      </c>
      <c r="E2215" t="inlineStr">
        <is>
          <t>MJÖLBY</t>
        </is>
      </c>
      <c r="F2215" t="inlineStr">
        <is>
          <t>Kyrkan</t>
        </is>
      </c>
      <c r="G2215" t="n">
        <v>12.4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38566-2020</t>
        </is>
      </c>
      <c r="B2216" s="1" t="n">
        <v>44061</v>
      </c>
      <c r="C2216" s="1" t="n">
        <v>45710</v>
      </c>
      <c r="D2216" t="inlineStr">
        <is>
          <t>ÖSTERGÖTLANDS LÄN</t>
        </is>
      </c>
      <c r="E2216" t="inlineStr">
        <is>
          <t>NORRKÖPING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38622-2020</t>
        </is>
      </c>
      <c r="B2217" s="1" t="n">
        <v>44061</v>
      </c>
      <c r="C2217" s="1" t="n">
        <v>45710</v>
      </c>
      <c r="D2217" t="inlineStr">
        <is>
          <t>ÖSTERGÖTLANDS LÄN</t>
        </is>
      </c>
      <c r="E2217" t="inlineStr">
        <is>
          <t>ÅTVIDABERG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38897-2020</t>
        </is>
      </c>
      <c r="B2218" s="1" t="n">
        <v>44062</v>
      </c>
      <c r="C2218" s="1" t="n">
        <v>45710</v>
      </c>
      <c r="D2218" t="inlineStr">
        <is>
          <t>ÖSTERGÖTLANDS LÄN</t>
        </is>
      </c>
      <c r="E2218" t="inlineStr">
        <is>
          <t>ÅTVIDABERG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38923-2020</t>
        </is>
      </c>
      <c r="B2219" s="1" t="n">
        <v>44062</v>
      </c>
      <c r="C2219" s="1" t="n">
        <v>45710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Sveaskog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38823-2020</t>
        </is>
      </c>
      <c r="B2220" s="1" t="n">
        <v>44062</v>
      </c>
      <c r="C2220" s="1" t="n">
        <v>45710</v>
      </c>
      <c r="D2220" t="inlineStr">
        <is>
          <t>ÖSTERGÖTLANDS LÄN</t>
        </is>
      </c>
      <c r="E2220" t="inlineStr">
        <is>
          <t>ÖDESHÖG</t>
        </is>
      </c>
      <c r="F2220" t="inlineStr">
        <is>
          <t>Kyrkan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39093-2020</t>
        </is>
      </c>
      <c r="B2221" s="1" t="n">
        <v>44063</v>
      </c>
      <c r="C2221" s="1" t="n">
        <v>45710</v>
      </c>
      <c r="D2221" t="inlineStr">
        <is>
          <t>ÖSTERGÖTLANDS LÄN</t>
        </is>
      </c>
      <c r="E2221" t="inlineStr">
        <is>
          <t>KINDA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39094-2020</t>
        </is>
      </c>
      <c r="B2222" s="1" t="n">
        <v>44063</v>
      </c>
      <c r="C2222" s="1" t="n">
        <v>45710</v>
      </c>
      <c r="D2222" t="inlineStr">
        <is>
          <t>ÖSTERGÖTLANDS LÄN</t>
        </is>
      </c>
      <c r="E2222" t="inlineStr">
        <is>
          <t>KINDA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39164-2020</t>
        </is>
      </c>
      <c r="B2223" s="1" t="n">
        <v>44063</v>
      </c>
      <c r="C2223" s="1" t="n">
        <v>45710</v>
      </c>
      <c r="D2223" t="inlineStr">
        <is>
          <t>ÖSTERGÖTLANDS LÄN</t>
        </is>
      </c>
      <c r="E2223" t="inlineStr">
        <is>
          <t>NORRKÖPING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39294-2020</t>
        </is>
      </c>
      <c r="B2224" s="1" t="n">
        <v>44063</v>
      </c>
      <c r="C2224" s="1" t="n">
        <v>45710</v>
      </c>
      <c r="D2224" t="inlineStr">
        <is>
          <t>ÖSTERGÖTLANDS LÄN</t>
        </is>
      </c>
      <c r="E2224" t="inlineStr">
        <is>
          <t>NORRKÖPING</t>
        </is>
      </c>
      <c r="F2224" t="inlineStr">
        <is>
          <t>Holmen skog AB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39310-2020</t>
        </is>
      </c>
      <c r="B2225" s="1" t="n">
        <v>44063</v>
      </c>
      <c r="C2225" s="1" t="n">
        <v>45710</v>
      </c>
      <c r="D2225" t="inlineStr">
        <is>
          <t>ÖSTERGÖTLANDS LÄN</t>
        </is>
      </c>
      <c r="E2225" t="inlineStr">
        <is>
          <t>MOTALA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39401-2020</t>
        </is>
      </c>
      <c r="B2226" s="1" t="n">
        <v>44063</v>
      </c>
      <c r="C2226" s="1" t="n">
        <v>45710</v>
      </c>
      <c r="D2226" t="inlineStr">
        <is>
          <t>ÖSTERGÖTLANDS LÄN</t>
        </is>
      </c>
      <c r="E2226" t="inlineStr">
        <is>
          <t>MOTALA</t>
        </is>
      </c>
      <c r="G2226" t="n">
        <v>5.4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39386-2020</t>
        </is>
      </c>
      <c r="B2227" s="1" t="n">
        <v>44063</v>
      </c>
      <c r="C2227" s="1" t="n">
        <v>45710</v>
      </c>
      <c r="D2227" t="inlineStr">
        <is>
          <t>ÖSTERGÖTLANDS LÄN</t>
        </is>
      </c>
      <c r="E2227" t="inlineStr">
        <is>
          <t>MOTALA</t>
        </is>
      </c>
      <c r="G2227" t="n">
        <v>11.6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39324-2020</t>
        </is>
      </c>
      <c r="B2228" s="1" t="n">
        <v>44063</v>
      </c>
      <c r="C2228" s="1" t="n">
        <v>45710</v>
      </c>
      <c r="D2228" t="inlineStr">
        <is>
          <t>ÖSTERGÖTLANDS LÄN</t>
        </is>
      </c>
      <c r="E2228" t="inlineStr">
        <is>
          <t>KINDA</t>
        </is>
      </c>
      <c r="G2228" t="n">
        <v>5.2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39369-2020</t>
        </is>
      </c>
      <c r="B2229" s="1" t="n">
        <v>44064</v>
      </c>
      <c r="C2229" s="1" t="n">
        <v>45710</v>
      </c>
      <c r="D2229" t="inlineStr">
        <is>
          <t>ÖSTERGÖTLANDS LÄN</t>
        </is>
      </c>
      <c r="E2229" t="inlineStr">
        <is>
          <t>SÖDERKÖPING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39496-2020</t>
        </is>
      </c>
      <c r="B2230" s="1" t="n">
        <v>44064</v>
      </c>
      <c r="C2230" s="1" t="n">
        <v>45710</v>
      </c>
      <c r="D2230" t="inlineStr">
        <is>
          <t>ÖSTERGÖTLANDS LÄN</t>
        </is>
      </c>
      <c r="E2230" t="inlineStr">
        <is>
          <t>NORRKÖPING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39446-2020</t>
        </is>
      </c>
      <c r="B2231" s="1" t="n">
        <v>44064</v>
      </c>
      <c r="C2231" s="1" t="n">
        <v>45710</v>
      </c>
      <c r="D2231" t="inlineStr">
        <is>
          <t>ÖSTERGÖTLANDS LÄN</t>
        </is>
      </c>
      <c r="E2231" t="inlineStr">
        <is>
          <t>YDRE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39510-2020</t>
        </is>
      </c>
      <c r="B2232" s="1" t="n">
        <v>44064</v>
      </c>
      <c r="C2232" s="1" t="n">
        <v>45710</v>
      </c>
      <c r="D2232" t="inlineStr">
        <is>
          <t>ÖSTERGÖTLANDS LÄN</t>
        </is>
      </c>
      <c r="E2232" t="inlineStr">
        <is>
          <t>ÅTVIDABERG</t>
        </is>
      </c>
      <c r="F2232" t="inlineStr">
        <is>
          <t>Holmen skog AB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39601-2020</t>
        </is>
      </c>
      <c r="B2233" s="1" t="n">
        <v>44064</v>
      </c>
      <c r="C2233" s="1" t="n">
        <v>45710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Övriga Aktiebolag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39608-2020</t>
        </is>
      </c>
      <c r="B2234" s="1" t="n">
        <v>44064</v>
      </c>
      <c r="C2234" s="1" t="n">
        <v>45710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Övriga Aktiebolag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39600-2020</t>
        </is>
      </c>
      <c r="B2235" s="1" t="n">
        <v>44064</v>
      </c>
      <c r="C2235" s="1" t="n">
        <v>45710</v>
      </c>
      <c r="D2235" t="inlineStr">
        <is>
          <t>ÖSTERGÖTLANDS LÄN</t>
        </is>
      </c>
      <c r="E2235" t="inlineStr">
        <is>
          <t>MOTALA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39606-2020</t>
        </is>
      </c>
      <c r="B2236" s="1" t="n">
        <v>44064</v>
      </c>
      <c r="C2236" s="1" t="n">
        <v>45710</v>
      </c>
      <c r="D2236" t="inlineStr">
        <is>
          <t>ÖSTERGÖTLANDS LÄN</t>
        </is>
      </c>
      <c r="E2236" t="inlineStr">
        <is>
          <t>MOTALA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39503-2020</t>
        </is>
      </c>
      <c r="B2237" s="1" t="n">
        <v>44064</v>
      </c>
      <c r="C2237" s="1" t="n">
        <v>45710</v>
      </c>
      <c r="D2237" t="inlineStr">
        <is>
          <t>ÖSTERGÖTLANDS LÄN</t>
        </is>
      </c>
      <c r="E2237" t="inlineStr">
        <is>
          <t>VALDEMARSVIK</t>
        </is>
      </c>
      <c r="F2237" t="inlineStr">
        <is>
          <t>Holmen skog AB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40125-2020</t>
        </is>
      </c>
      <c r="B2238" s="1" t="n">
        <v>44064</v>
      </c>
      <c r="C2238" s="1" t="n">
        <v>45710</v>
      </c>
      <c r="D2238" t="inlineStr">
        <is>
          <t>ÖSTERGÖTLANDS LÄN</t>
        </is>
      </c>
      <c r="E2238" t="inlineStr">
        <is>
          <t>FINSPÅNG</t>
        </is>
      </c>
      <c r="G2238" t="n">
        <v>11.5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39869-2020</t>
        </is>
      </c>
      <c r="B2239" s="1" t="n">
        <v>44067</v>
      </c>
      <c r="C2239" s="1" t="n">
        <v>45710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Sveaskog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39954-2020</t>
        </is>
      </c>
      <c r="B2240" s="1" t="n">
        <v>44067</v>
      </c>
      <c r="C2240" s="1" t="n">
        <v>45710</v>
      </c>
      <c r="D2240" t="inlineStr">
        <is>
          <t>ÖSTERGÖTLANDS LÄN</t>
        </is>
      </c>
      <c r="E2240" t="inlineStr">
        <is>
          <t>NORRKÖPING</t>
        </is>
      </c>
      <c r="F2240" t="inlineStr">
        <is>
          <t>Allmännings- och besparingsskogar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39870-2020</t>
        </is>
      </c>
      <c r="B2241" s="1" t="n">
        <v>44067</v>
      </c>
      <c r="C2241" s="1" t="n">
        <v>45710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Sveaskog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39955-2020</t>
        </is>
      </c>
      <c r="B2242" s="1" t="n">
        <v>44067</v>
      </c>
      <c r="C2242" s="1" t="n">
        <v>45710</v>
      </c>
      <c r="D2242" t="inlineStr">
        <is>
          <t>ÖSTERGÖTLANDS LÄN</t>
        </is>
      </c>
      <c r="E2242" t="inlineStr">
        <is>
          <t>KINDA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39927-2020</t>
        </is>
      </c>
      <c r="B2243" s="1" t="n">
        <v>44067</v>
      </c>
      <c r="C2243" s="1" t="n">
        <v>45710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Sveaskog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39970-2020</t>
        </is>
      </c>
      <c r="B2244" s="1" t="n">
        <v>44067</v>
      </c>
      <c r="C2244" s="1" t="n">
        <v>45710</v>
      </c>
      <c r="D2244" t="inlineStr">
        <is>
          <t>ÖSTERGÖTLANDS LÄN</t>
        </is>
      </c>
      <c r="E2244" t="inlineStr">
        <is>
          <t>NORRKÖPING</t>
        </is>
      </c>
      <c r="F2244" t="inlineStr">
        <is>
          <t>Allmännings- och besparingsskogar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39957-2020</t>
        </is>
      </c>
      <c r="B2245" s="1" t="n">
        <v>44067</v>
      </c>
      <c r="C2245" s="1" t="n">
        <v>45710</v>
      </c>
      <c r="D2245" t="inlineStr">
        <is>
          <t>ÖSTERGÖTLANDS LÄN</t>
        </is>
      </c>
      <c r="E2245" t="inlineStr">
        <is>
          <t>NORRKÖPING</t>
        </is>
      </c>
      <c r="F2245" t="inlineStr">
        <is>
          <t>Allmännings- och besparingsskogar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39966-2020</t>
        </is>
      </c>
      <c r="B2246" s="1" t="n">
        <v>44067</v>
      </c>
      <c r="C2246" s="1" t="n">
        <v>45710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Allmännings- och besparingsskogar</t>
        </is>
      </c>
      <c r="G2246" t="n">
        <v>5.6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40651-2020</t>
        </is>
      </c>
      <c r="B2247" s="1" t="n">
        <v>44067</v>
      </c>
      <c r="C2247" s="1" t="n">
        <v>45710</v>
      </c>
      <c r="D2247" t="inlineStr">
        <is>
          <t>ÖSTERGÖTLANDS LÄN</t>
        </is>
      </c>
      <c r="E2247" t="inlineStr">
        <is>
          <t>ÅTVIDABERG</t>
        </is>
      </c>
      <c r="G2247" t="n">
        <v>11.1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40281-2020</t>
        </is>
      </c>
      <c r="B2248" s="1" t="n">
        <v>44068</v>
      </c>
      <c r="C2248" s="1" t="n">
        <v>45710</v>
      </c>
      <c r="D2248" t="inlineStr">
        <is>
          <t>ÖSTERGÖTLANDS LÄN</t>
        </is>
      </c>
      <c r="E2248" t="inlineStr">
        <is>
          <t>MOTALA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40300-2020</t>
        </is>
      </c>
      <c r="B2249" s="1" t="n">
        <v>44068</v>
      </c>
      <c r="C2249" s="1" t="n">
        <v>45710</v>
      </c>
      <c r="D2249" t="inlineStr">
        <is>
          <t>ÖSTERGÖTLANDS LÄN</t>
        </is>
      </c>
      <c r="E2249" t="inlineStr">
        <is>
          <t>MJÖLBY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40357-2020</t>
        </is>
      </c>
      <c r="B2250" s="1" t="n">
        <v>44068</v>
      </c>
      <c r="C2250" s="1" t="n">
        <v>45710</v>
      </c>
      <c r="D2250" t="inlineStr">
        <is>
          <t>ÖSTERGÖTLANDS LÄN</t>
        </is>
      </c>
      <c r="E2250" t="inlineStr">
        <is>
          <t>KINDA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40365-2020</t>
        </is>
      </c>
      <c r="B2251" s="1" t="n">
        <v>44068</v>
      </c>
      <c r="C2251" s="1" t="n">
        <v>45710</v>
      </c>
      <c r="D2251" t="inlineStr">
        <is>
          <t>ÖSTERGÖTLANDS LÄN</t>
        </is>
      </c>
      <c r="E2251" t="inlineStr">
        <is>
          <t>SÖDERKÖPING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40635-2020</t>
        </is>
      </c>
      <c r="B2252" s="1" t="n">
        <v>44069</v>
      </c>
      <c r="C2252" s="1" t="n">
        <v>45710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40546-2020</t>
        </is>
      </c>
      <c r="B2253" s="1" t="n">
        <v>44069</v>
      </c>
      <c r="C2253" s="1" t="n">
        <v>45710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40560-2020</t>
        </is>
      </c>
      <c r="B2254" s="1" t="n">
        <v>44069</v>
      </c>
      <c r="C2254" s="1" t="n">
        <v>45710</v>
      </c>
      <c r="D2254" t="inlineStr">
        <is>
          <t>ÖSTERGÖTLANDS LÄN</t>
        </is>
      </c>
      <c r="E2254" t="inlineStr">
        <is>
          <t>YDRE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40731-2020</t>
        </is>
      </c>
      <c r="B2255" s="1" t="n">
        <v>44069</v>
      </c>
      <c r="C2255" s="1" t="n">
        <v>45710</v>
      </c>
      <c r="D2255" t="inlineStr">
        <is>
          <t>ÖSTERGÖTLANDS LÄN</t>
        </is>
      </c>
      <c r="E2255" t="inlineStr">
        <is>
          <t>KINDA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40665-2020</t>
        </is>
      </c>
      <c r="B2256" s="1" t="n">
        <v>44069</v>
      </c>
      <c r="C2256" s="1" t="n">
        <v>45710</v>
      </c>
      <c r="D2256" t="inlineStr">
        <is>
          <t>ÖSTERGÖTLANDS LÄN</t>
        </is>
      </c>
      <c r="E2256" t="inlineStr">
        <is>
          <t>MOTALA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40732-2020</t>
        </is>
      </c>
      <c r="B2257" s="1" t="n">
        <v>44069</v>
      </c>
      <c r="C2257" s="1" t="n">
        <v>45710</v>
      </c>
      <c r="D2257" t="inlineStr">
        <is>
          <t>ÖSTERGÖTLANDS LÄN</t>
        </is>
      </c>
      <c r="E2257" t="inlineStr">
        <is>
          <t>KINDA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41071-2020</t>
        </is>
      </c>
      <c r="B2258" s="1" t="n">
        <v>44071</v>
      </c>
      <c r="C2258" s="1" t="n">
        <v>45710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Övriga Aktiebolag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41042-2020</t>
        </is>
      </c>
      <c r="B2259" s="1" t="n">
        <v>44071</v>
      </c>
      <c r="C2259" s="1" t="n">
        <v>45710</v>
      </c>
      <c r="D2259" t="inlineStr">
        <is>
          <t>ÖSTERGÖTLANDS LÄN</t>
        </is>
      </c>
      <c r="E2259" t="inlineStr">
        <is>
          <t>MJÖLBY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41078-2020</t>
        </is>
      </c>
      <c r="B2260" s="1" t="n">
        <v>44071</v>
      </c>
      <c r="C2260" s="1" t="n">
        <v>45710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Övriga Aktiebolag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41084-2020</t>
        </is>
      </c>
      <c r="B2261" s="1" t="n">
        <v>44071</v>
      </c>
      <c r="C2261" s="1" t="n">
        <v>45710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41247-2020</t>
        </is>
      </c>
      <c r="B2262" s="1" t="n">
        <v>44071</v>
      </c>
      <c r="C2262" s="1" t="n">
        <v>45710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41331-2020</t>
        </is>
      </c>
      <c r="B2263" s="1" t="n">
        <v>44071</v>
      </c>
      <c r="C2263" s="1" t="n">
        <v>45710</v>
      </c>
      <c r="D2263" t="inlineStr">
        <is>
          <t>ÖSTERGÖTLANDS LÄN</t>
        </is>
      </c>
      <c r="E2263" t="inlineStr">
        <is>
          <t>FINSPÅNG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41387-2020</t>
        </is>
      </c>
      <c r="B2264" s="1" t="n">
        <v>44072</v>
      </c>
      <c r="C2264" s="1" t="n">
        <v>45710</v>
      </c>
      <c r="D2264" t="inlineStr">
        <is>
          <t>ÖSTERGÖTLANDS LÄN</t>
        </is>
      </c>
      <c r="E2264" t="inlineStr">
        <is>
          <t>ÅTVIDABERG</t>
        </is>
      </c>
      <c r="F2264" t="inlineStr">
        <is>
          <t>Sveaskog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41516-2020</t>
        </is>
      </c>
      <c r="B2265" s="1" t="n">
        <v>44074</v>
      </c>
      <c r="C2265" s="1" t="n">
        <v>45710</v>
      </c>
      <c r="D2265" t="inlineStr">
        <is>
          <t>ÖSTERGÖTLANDS LÄN</t>
        </is>
      </c>
      <c r="E2265" t="inlineStr">
        <is>
          <t>ÖDESHÖG</t>
        </is>
      </c>
      <c r="F2265" t="inlineStr">
        <is>
          <t>Allmännings- och besparingsskogar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41522-2020</t>
        </is>
      </c>
      <c r="B2266" s="1" t="n">
        <v>44074</v>
      </c>
      <c r="C2266" s="1" t="n">
        <v>45710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41533-2020</t>
        </is>
      </c>
      <c r="B2267" s="1" t="n">
        <v>44074</v>
      </c>
      <c r="C2267" s="1" t="n">
        <v>45710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Allmännings- och besparingsskogar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41599-2020</t>
        </is>
      </c>
      <c r="B2268" s="1" t="n">
        <v>44074</v>
      </c>
      <c r="C2268" s="1" t="n">
        <v>45710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Kyrkan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41530-2020</t>
        </is>
      </c>
      <c r="B2269" s="1" t="n">
        <v>44074</v>
      </c>
      <c r="C2269" s="1" t="n">
        <v>45710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Allmännings- och besparingsskogar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41506-2020</t>
        </is>
      </c>
      <c r="B2270" s="1" t="n">
        <v>44074</v>
      </c>
      <c r="C2270" s="1" t="n">
        <v>45710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41528-2020</t>
        </is>
      </c>
      <c r="B2271" s="1" t="n">
        <v>44074</v>
      </c>
      <c r="C2271" s="1" t="n">
        <v>45710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Allmännings- och besparingsskogar</t>
        </is>
      </c>
      <c r="G2271" t="n">
        <v>10.8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41540-2020</t>
        </is>
      </c>
      <c r="B2272" s="1" t="n">
        <v>44074</v>
      </c>
      <c r="C2272" s="1" t="n">
        <v>45710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Allmännings- och besparingsskogar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41663-2020</t>
        </is>
      </c>
      <c r="B2273" s="1" t="n">
        <v>44074</v>
      </c>
      <c r="C2273" s="1" t="n">
        <v>45710</v>
      </c>
      <c r="D2273" t="inlineStr">
        <is>
          <t>ÖSTERGÖTLANDS LÄN</t>
        </is>
      </c>
      <c r="E2273" t="inlineStr">
        <is>
          <t>ÖDESHÖG</t>
        </is>
      </c>
      <c r="G2273" t="n">
        <v>6.4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41518-2020</t>
        </is>
      </c>
      <c r="B2274" s="1" t="n">
        <v>44074</v>
      </c>
      <c r="C2274" s="1" t="n">
        <v>45710</v>
      </c>
      <c r="D2274" t="inlineStr">
        <is>
          <t>ÖSTERGÖTLANDS LÄN</t>
        </is>
      </c>
      <c r="E2274" t="inlineStr">
        <is>
          <t>ÖDESHÖG</t>
        </is>
      </c>
      <c r="F2274" t="inlineStr">
        <is>
          <t>Allmännings- och besparingsskogar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41538-2020</t>
        </is>
      </c>
      <c r="B2275" s="1" t="n">
        <v>44074</v>
      </c>
      <c r="C2275" s="1" t="n">
        <v>45710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Allmännings- och besparingsskogar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41641-2020</t>
        </is>
      </c>
      <c r="B2276" s="1" t="n">
        <v>44074</v>
      </c>
      <c r="C2276" s="1" t="n">
        <v>45710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Allmännings- och besparingsskogar</t>
        </is>
      </c>
      <c r="G2276" t="n">
        <v>20.9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41804-2020</t>
        </is>
      </c>
      <c r="B2277" s="1" t="n">
        <v>44074</v>
      </c>
      <c r="C2277" s="1" t="n">
        <v>45710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41819-2020</t>
        </is>
      </c>
      <c r="B2278" s="1" t="n">
        <v>44074</v>
      </c>
      <c r="C2278" s="1" t="n">
        <v>45710</v>
      </c>
      <c r="D2278" t="inlineStr">
        <is>
          <t>ÖSTERGÖTLANDS LÄN</t>
        </is>
      </c>
      <c r="E2278" t="inlineStr">
        <is>
          <t>ÖDESHÖG</t>
        </is>
      </c>
      <c r="F2278" t="inlineStr">
        <is>
          <t>Allmännings- och besparingsskogar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41759-2020</t>
        </is>
      </c>
      <c r="B2279" s="1" t="n">
        <v>44074</v>
      </c>
      <c r="C2279" s="1" t="n">
        <v>45710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Allmännings- och besparingsskogar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41809-2020</t>
        </is>
      </c>
      <c r="B2280" s="1" t="n">
        <v>44074</v>
      </c>
      <c r="C2280" s="1" t="n">
        <v>45710</v>
      </c>
      <c r="D2280" t="inlineStr">
        <is>
          <t>ÖSTERGÖTLANDS LÄN</t>
        </is>
      </c>
      <c r="E2280" t="inlineStr">
        <is>
          <t>YDRE</t>
        </is>
      </c>
      <c r="F2280" t="inlineStr">
        <is>
          <t>Sveaskog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41816-2020</t>
        </is>
      </c>
      <c r="B2281" s="1" t="n">
        <v>44074</v>
      </c>
      <c r="C2281" s="1" t="n">
        <v>45710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41754-2020</t>
        </is>
      </c>
      <c r="B2282" s="1" t="n">
        <v>44074</v>
      </c>
      <c r="C2282" s="1" t="n">
        <v>45710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Allmännings- och besparingsskogar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41770-2020</t>
        </is>
      </c>
      <c r="B2283" s="1" t="n">
        <v>44074</v>
      </c>
      <c r="C2283" s="1" t="n">
        <v>45710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41806-2020</t>
        </is>
      </c>
      <c r="B2284" s="1" t="n">
        <v>44074</v>
      </c>
      <c r="C2284" s="1" t="n">
        <v>45710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41815-2020</t>
        </is>
      </c>
      <c r="B2285" s="1" t="n">
        <v>44074</v>
      </c>
      <c r="C2285" s="1" t="n">
        <v>45710</v>
      </c>
      <c r="D2285" t="inlineStr">
        <is>
          <t>ÖSTERGÖTLANDS LÄN</t>
        </is>
      </c>
      <c r="E2285" t="inlineStr">
        <is>
          <t>YDRE</t>
        </is>
      </c>
      <c r="F2285" t="inlineStr">
        <is>
          <t>Sveaskog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41810-2020</t>
        </is>
      </c>
      <c r="B2286" s="1" t="n">
        <v>44074</v>
      </c>
      <c r="C2286" s="1" t="n">
        <v>45710</v>
      </c>
      <c r="D2286" t="inlineStr">
        <is>
          <t>ÖSTERGÖTLANDS LÄN</t>
        </is>
      </c>
      <c r="E2286" t="inlineStr">
        <is>
          <t>ÖDESHÖG</t>
        </is>
      </c>
      <c r="F2286" t="inlineStr">
        <is>
          <t>Allmännings- och besparingsskogar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41650-2020</t>
        </is>
      </c>
      <c r="B2287" s="1" t="n">
        <v>44074</v>
      </c>
      <c r="C2287" s="1" t="n">
        <v>45710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Allmännings- och besparingsskogar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41514-2020</t>
        </is>
      </c>
      <c r="B2288" s="1" t="n">
        <v>44074</v>
      </c>
      <c r="C2288" s="1" t="n">
        <v>45710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Allmännings- och besparingsskogar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41968-2020</t>
        </is>
      </c>
      <c r="B2289" s="1" t="n">
        <v>44075</v>
      </c>
      <c r="C2289" s="1" t="n">
        <v>45710</v>
      </c>
      <c r="D2289" t="inlineStr">
        <is>
          <t>ÖSTERGÖTLANDS LÄN</t>
        </is>
      </c>
      <c r="E2289" t="inlineStr">
        <is>
          <t>FINSPÅNG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42195-2020</t>
        </is>
      </c>
      <c r="B2290" s="1" t="n">
        <v>44075</v>
      </c>
      <c r="C2290" s="1" t="n">
        <v>45710</v>
      </c>
      <c r="D2290" t="inlineStr">
        <is>
          <t>ÖSTERGÖTLANDS LÄN</t>
        </is>
      </c>
      <c r="E2290" t="inlineStr">
        <is>
          <t>FINSPÅNG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42156-2020</t>
        </is>
      </c>
      <c r="B2291" s="1" t="n">
        <v>44075</v>
      </c>
      <c r="C2291" s="1" t="n">
        <v>45710</v>
      </c>
      <c r="D2291" t="inlineStr">
        <is>
          <t>ÖSTERGÖTLANDS LÄN</t>
        </is>
      </c>
      <c r="E2291" t="inlineStr">
        <is>
          <t>ÅTVIDABERG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42194-2020</t>
        </is>
      </c>
      <c r="B2292" s="1" t="n">
        <v>44075</v>
      </c>
      <c r="C2292" s="1" t="n">
        <v>45710</v>
      </c>
      <c r="D2292" t="inlineStr">
        <is>
          <t>ÖSTERGÖTLANDS LÄN</t>
        </is>
      </c>
      <c r="E2292" t="inlineStr">
        <is>
          <t>FINSPÅNG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42218-2020</t>
        </is>
      </c>
      <c r="B2293" s="1" t="n">
        <v>44076</v>
      </c>
      <c r="C2293" s="1" t="n">
        <v>45710</v>
      </c>
      <c r="D2293" t="inlineStr">
        <is>
          <t>ÖSTERGÖTLANDS LÄN</t>
        </is>
      </c>
      <c r="E2293" t="inlineStr">
        <is>
          <t>MJÖLBY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42235-2020</t>
        </is>
      </c>
      <c r="B2294" s="1" t="n">
        <v>44076</v>
      </c>
      <c r="C2294" s="1" t="n">
        <v>45710</v>
      </c>
      <c r="D2294" t="inlineStr">
        <is>
          <t>ÖSTERGÖTLANDS LÄN</t>
        </is>
      </c>
      <c r="E2294" t="inlineStr">
        <is>
          <t>FINSPÅNG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42408-2020</t>
        </is>
      </c>
      <c r="B2295" s="1" t="n">
        <v>44076</v>
      </c>
      <c r="C2295" s="1" t="n">
        <v>45710</v>
      </c>
      <c r="D2295" t="inlineStr">
        <is>
          <t>ÖSTERGÖTLANDS LÄN</t>
        </is>
      </c>
      <c r="E2295" t="inlineStr">
        <is>
          <t>ÖDESHÖG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42451-2020</t>
        </is>
      </c>
      <c r="B2296" s="1" t="n">
        <v>44076</v>
      </c>
      <c r="C2296" s="1" t="n">
        <v>45710</v>
      </c>
      <c r="D2296" t="inlineStr">
        <is>
          <t>ÖSTERGÖTLANDS LÄN</t>
        </is>
      </c>
      <c r="E2296" t="inlineStr">
        <is>
          <t>FINSPÅNG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42239-2020</t>
        </is>
      </c>
      <c r="B2297" s="1" t="n">
        <v>44076</v>
      </c>
      <c r="C2297" s="1" t="n">
        <v>45710</v>
      </c>
      <c r="D2297" t="inlineStr">
        <is>
          <t>ÖSTERGÖTLANDS LÄN</t>
        </is>
      </c>
      <c r="E2297" t="inlineStr">
        <is>
          <t>ÖDESHÖG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42413-2020</t>
        </is>
      </c>
      <c r="B2298" s="1" t="n">
        <v>44076</v>
      </c>
      <c r="C2298" s="1" t="n">
        <v>45710</v>
      </c>
      <c r="D2298" t="inlineStr">
        <is>
          <t>ÖSTERGÖTLANDS LÄN</t>
        </is>
      </c>
      <c r="E2298" t="inlineStr">
        <is>
          <t>LINKÖPING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42315-2020</t>
        </is>
      </c>
      <c r="B2299" s="1" t="n">
        <v>44076</v>
      </c>
      <c r="C2299" s="1" t="n">
        <v>45710</v>
      </c>
      <c r="D2299" t="inlineStr">
        <is>
          <t>ÖSTERGÖTLANDS LÄN</t>
        </is>
      </c>
      <c r="E2299" t="inlineStr">
        <is>
          <t>FINSPÅNG</t>
        </is>
      </c>
      <c r="F2299" t="inlineStr">
        <is>
          <t>Övriga Aktiebolag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42459-2020</t>
        </is>
      </c>
      <c r="B2300" s="1" t="n">
        <v>44076</v>
      </c>
      <c r="C2300" s="1" t="n">
        <v>45710</v>
      </c>
      <c r="D2300" t="inlineStr">
        <is>
          <t>ÖSTERGÖTLANDS LÄN</t>
        </is>
      </c>
      <c r="E2300" t="inlineStr">
        <is>
          <t>FINSPÅNG</t>
        </is>
      </c>
      <c r="G2300" t="n">
        <v>12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42379-2020</t>
        </is>
      </c>
      <c r="B2301" s="1" t="n">
        <v>44076</v>
      </c>
      <c r="C2301" s="1" t="n">
        <v>45710</v>
      </c>
      <c r="D2301" t="inlineStr">
        <is>
          <t>ÖSTERGÖTLANDS LÄN</t>
        </is>
      </c>
      <c r="E2301" t="inlineStr">
        <is>
          <t>KINDA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42452-2020</t>
        </is>
      </c>
      <c r="B2302" s="1" t="n">
        <v>44076</v>
      </c>
      <c r="C2302" s="1" t="n">
        <v>45710</v>
      </c>
      <c r="D2302" t="inlineStr">
        <is>
          <t>ÖSTERGÖTLANDS LÄN</t>
        </is>
      </c>
      <c r="E2302" t="inlineStr">
        <is>
          <t>FINSPÅNG</t>
        </is>
      </c>
      <c r="G2302" t="n">
        <v>8.4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42511-2020</t>
        </is>
      </c>
      <c r="B2303" s="1" t="n">
        <v>44077</v>
      </c>
      <c r="C2303" s="1" t="n">
        <v>45710</v>
      </c>
      <c r="D2303" t="inlineStr">
        <is>
          <t>ÖSTERGÖTLANDS LÄN</t>
        </is>
      </c>
      <c r="E2303" t="inlineStr">
        <is>
          <t>KINDA</t>
        </is>
      </c>
      <c r="F2303" t="inlineStr">
        <is>
          <t>Övriga Aktiebolag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42557-2020</t>
        </is>
      </c>
      <c r="B2304" s="1" t="n">
        <v>44077</v>
      </c>
      <c r="C2304" s="1" t="n">
        <v>45710</v>
      </c>
      <c r="D2304" t="inlineStr">
        <is>
          <t>ÖSTERGÖTLANDS LÄN</t>
        </is>
      </c>
      <c r="E2304" t="inlineStr">
        <is>
          <t>LINKÖPING</t>
        </is>
      </c>
      <c r="G2304" t="n">
        <v>0.2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42649-2020</t>
        </is>
      </c>
      <c r="B2305" s="1" t="n">
        <v>44077</v>
      </c>
      <c r="C2305" s="1" t="n">
        <v>45710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Övriga Aktiebolag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42516-2020</t>
        </is>
      </c>
      <c r="B2306" s="1" t="n">
        <v>44077</v>
      </c>
      <c r="C2306" s="1" t="n">
        <v>45710</v>
      </c>
      <c r="D2306" t="inlineStr">
        <is>
          <t>ÖSTERGÖTLANDS LÄN</t>
        </is>
      </c>
      <c r="E2306" t="inlineStr">
        <is>
          <t>ÅTVIDABERG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42502-2020</t>
        </is>
      </c>
      <c r="B2307" s="1" t="n">
        <v>44077</v>
      </c>
      <c r="C2307" s="1" t="n">
        <v>45710</v>
      </c>
      <c r="D2307" t="inlineStr">
        <is>
          <t>ÖSTERGÖTLANDS LÄN</t>
        </is>
      </c>
      <c r="E2307" t="inlineStr">
        <is>
          <t>LINKÖPING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42513-2020</t>
        </is>
      </c>
      <c r="B2308" s="1" t="n">
        <v>44077</v>
      </c>
      <c r="C2308" s="1" t="n">
        <v>45710</v>
      </c>
      <c r="D2308" t="inlineStr">
        <is>
          <t>ÖSTERGÖTLANDS LÄN</t>
        </is>
      </c>
      <c r="E2308" t="inlineStr">
        <is>
          <t>ÅTVIDABERG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42722-2020</t>
        </is>
      </c>
      <c r="B2309" s="1" t="n">
        <v>44077</v>
      </c>
      <c r="C2309" s="1" t="n">
        <v>45710</v>
      </c>
      <c r="D2309" t="inlineStr">
        <is>
          <t>ÖSTERGÖTLANDS LÄN</t>
        </is>
      </c>
      <c r="E2309" t="inlineStr">
        <is>
          <t>MJÖLBY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42720-2020</t>
        </is>
      </c>
      <c r="B2310" s="1" t="n">
        <v>44077</v>
      </c>
      <c r="C2310" s="1" t="n">
        <v>45710</v>
      </c>
      <c r="D2310" t="inlineStr">
        <is>
          <t>ÖSTERGÖTLANDS LÄN</t>
        </is>
      </c>
      <c r="E2310" t="inlineStr">
        <is>
          <t>ÖDESHÖG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42574-2020</t>
        </is>
      </c>
      <c r="B2311" s="1" t="n">
        <v>44077</v>
      </c>
      <c r="C2311" s="1" t="n">
        <v>45710</v>
      </c>
      <c r="D2311" t="inlineStr">
        <is>
          <t>ÖSTERGÖTLANDS LÄN</t>
        </is>
      </c>
      <c r="E2311" t="inlineStr">
        <is>
          <t>SÖDERKÖPING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42590-2020</t>
        </is>
      </c>
      <c r="B2312" s="1" t="n">
        <v>44077</v>
      </c>
      <c r="C2312" s="1" t="n">
        <v>45710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Kyrkan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42697-2020</t>
        </is>
      </c>
      <c r="B2313" s="1" t="n">
        <v>44077</v>
      </c>
      <c r="C2313" s="1" t="n">
        <v>45710</v>
      </c>
      <c r="D2313" t="inlineStr">
        <is>
          <t>ÖSTERGÖTLANDS LÄN</t>
        </is>
      </c>
      <c r="E2313" t="inlineStr">
        <is>
          <t>LINKÖPING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43339-2020</t>
        </is>
      </c>
      <c r="B2314" s="1" t="n">
        <v>44077</v>
      </c>
      <c r="C2314" s="1" t="n">
        <v>45710</v>
      </c>
      <c r="D2314" t="inlineStr">
        <is>
          <t>ÖSTERGÖTLANDS LÄN</t>
        </is>
      </c>
      <c r="E2314" t="inlineStr">
        <is>
          <t>LINKÖPING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43040-2020</t>
        </is>
      </c>
      <c r="B2315" s="1" t="n">
        <v>44078</v>
      </c>
      <c r="C2315" s="1" t="n">
        <v>45710</v>
      </c>
      <c r="D2315" t="inlineStr">
        <is>
          <t>ÖSTERGÖTLANDS LÄN</t>
        </is>
      </c>
      <c r="E2315" t="inlineStr">
        <is>
          <t>ÖDESHÖG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43706-2020</t>
        </is>
      </c>
      <c r="B2316" s="1" t="n">
        <v>44078</v>
      </c>
      <c r="C2316" s="1" t="n">
        <v>45710</v>
      </c>
      <c r="D2316" t="inlineStr">
        <is>
          <t>ÖSTERGÖTLANDS LÄN</t>
        </is>
      </c>
      <c r="E2316" t="inlineStr">
        <is>
          <t>KINDA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43118-2020</t>
        </is>
      </c>
      <c r="B2317" s="1" t="n">
        <v>44079</v>
      </c>
      <c r="C2317" s="1" t="n">
        <v>45710</v>
      </c>
      <c r="D2317" t="inlineStr">
        <is>
          <t>ÖSTERGÖTLANDS LÄN</t>
        </is>
      </c>
      <c r="E2317" t="inlineStr">
        <is>
          <t>FINSPÅNG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43113-2020</t>
        </is>
      </c>
      <c r="B2318" s="1" t="n">
        <v>44079</v>
      </c>
      <c r="C2318" s="1" t="n">
        <v>45710</v>
      </c>
      <c r="D2318" t="inlineStr">
        <is>
          <t>ÖSTERGÖTLANDS LÄN</t>
        </is>
      </c>
      <c r="E2318" t="inlineStr">
        <is>
          <t>FINSPÅNG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43240-2020</t>
        </is>
      </c>
      <c r="B2319" s="1" t="n">
        <v>44081</v>
      </c>
      <c r="C2319" s="1" t="n">
        <v>45710</v>
      </c>
      <c r="D2319" t="inlineStr">
        <is>
          <t>ÖSTERGÖTLANDS LÄN</t>
        </is>
      </c>
      <c r="E2319" t="inlineStr">
        <is>
          <t>ÅTVIDABERG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43256-2020</t>
        </is>
      </c>
      <c r="B2320" s="1" t="n">
        <v>44081</v>
      </c>
      <c r="C2320" s="1" t="n">
        <v>45710</v>
      </c>
      <c r="D2320" t="inlineStr">
        <is>
          <t>ÖSTERGÖTLANDS LÄN</t>
        </is>
      </c>
      <c r="E2320" t="inlineStr">
        <is>
          <t>MJÖLBY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43315-2020</t>
        </is>
      </c>
      <c r="B2321" s="1" t="n">
        <v>44081</v>
      </c>
      <c r="C2321" s="1" t="n">
        <v>45710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Övriga Aktiebolag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43715-2020</t>
        </is>
      </c>
      <c r="B2322" s="1" t="n">
        <v>44082</v>
      </c>
      <c r="C2322" s="1" t="n">
        <v>45710</v>
      </c>
      <c r="D2322" t="inlineStr">
        <is>
          <t>ÖSTERGÖTLANDS LÄN</t>
        </is>
      </c>
      <c r="E2322" t="inlineStr">
        <is>
          <t>SÖDERKÖPING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43742-2020</t>
        </is>
      </c>
      <c r="B2323" s="1" t="n">
        <v>44082</v>
      </c>
      <c r="C2323" s="1" t="n">
        <v>45710</v>
      </c>
      <c r="D2323" t="inlineStr">
        <is>
          <t>ÖSTERGÖTLANDS LÄN</t>
        </is>
      </c>
      <c r="E2323" t="inlineStr">
        <is>
          <t>ÅTVIDABERG</t>
        </is>
      </c>
      <c r="F2323" t="inlineStr">
        <is>
          <t>Övriga Aktiebolag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43793-2020</t>
        </is>
      </c>
      <c r="B2324" s="1" t="n">
        <v>44082</v>
      </c>
      <c r="C2324" s="1" t="n">
        <v>45710</v>
      </c>
      <c r="D2324" t="inlineStr">
        <is>
          <t>ÖSTERGÖTLANDS LÄN</t>
        </is>
      </c>
      <c r="E2324" t="inlineStr">
        <is>
          <t>VALDEMARSVIK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43726-2020</t>
        </is>
      </c>
      <c r="B2325" s="1" t="n">
        <v>44082</v>
      </c>
      <c r="C2325" s="1" t="n">
        <v>45710</v>
      </c>
      <c r="D2325" t="inlineStr">
        <is>
          <t>ÖSTERGÖTLANDS LÄN</t>
        </is>
      </c>
      <c r="E2325" t="inlineStr">
        <is>
          <t>LINKÖPING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43731-2020</t>
        </is>
      </c>
      <c r="B2326" s="1" t="n">
        <v>44082</v>
      </c>
      <c r="C2326" s="1" t="n">
        <v>45710</v>
      </c>
      <c r="D2326" t="inlineStr">
        <is>
          <t>ÖSTERGÖTLANDS LÄN</t>
        </is>
      </c>
      <c r="E2326" t="inlineStr">
        <is>
          <t>ÅTVIDABERG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43752-2020</t>
        </is>
      </c>
      <c r="B2327" s="1" t="n">
        <v>44082</v>
      </c>
      <c r="C2327" s="1" t="n">
        <v>45710</v>
      </c>
      <c r="D2327" t="inlineStr">
        <is>
          <t>ÖSTERGÖTLANDS LÄN</t>
        </is>
      </c>
      <c r="E2327" t="inlineStr">
        <is>
          <t>BOXHOLM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43581-2020</t>
        </is>
      </c>
      <c r="B2328" s="1" t="n">
        <v>44082</v>
      </c>
      <c r="C2328" s="1" t="n">
        <v>45710</v>
      </c>
      <c r="D2328" t="inlineStr">
        <is>
          <t>ÖSTERGÖTLANDS LÄN</t>
        </is>
      </c>
      <c r="E2328" t="inlineStr">
        <is>
          <t>LINKÖPING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43712-2020</t>
        </is>
      </c>
      <c r="B2329" s="1" t="n">
        <v>44082</v>
      </c>
      <c r="C2329" s="1" t="n">
        <v>45710</v>
      </c>
      <c r="D2329" t="inlineStr">
        <is>
          <t>ÖSTERGÖTLANDS LÄN</t>
        </is>
      </c>
      <c r="E2329" t="inlineStr">
        <is>
          <t>SÖDERKÖPING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43740-2020</t>
        </is>
      </c>
      <c r="B2330" s="1" t="n">
        <v>44082</v>
      </c>
      <c r="C2330" s="1" t="n">
        <v>45710</v>
      </c>
      <c r="D2330" t="inlineStr">
        <is>
          <t>ÖSTERGÖTLANDS LÄN</t>
        </is>
      </c>
      <c r="E2330" t="inlineStr">
        <is>
          <t>ÅTVIDABERG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44040-2020</t>
        </is>
      </c>
      <c r="B2331" s="1" t="n">
        <v>44083</v>
      </c>
      <c r="C2331" s="1" t="n">
        <v>45710</v>
      </c>
      <c r="D2331" t="inlineStr">
        <is>
          <t>ÖSTERGÖTLANDS LÄN</t>
        </is>
      </c>
      <c r="E2331" t="inlineStr">
        <is>
          <t>NORRKÖPING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43956-2020</t>
        </is>
      </c>
      <c r="B2332" s="1" t="n">
        <v>44083</v>
      </c>
      <c r="C2332" s="1" t="n">
        <v>45710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Sveaskog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44069-2020</t>
        </is>
      </c>
      <c r="B2333" s="1" t="n">
        <v>44083</v>
      </c>
      <c r="C2333" s="1" t="n">
        <v>45710</v>
      </c>
      <c r="D2333" t="inlineStr">
        <is>
          <t>ÖSTERGÖTLANDS LÄN</t>
        </is>
      </c>
      <c r="E2333" t="inlineStr">
        <is>
          <t>MOTALA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44036-2020</t>
        </is>
      </c>
      <c r="B2334" s="1" t="n">
        <v>44083</v>
      </c>
      <c r="C2334" s="1" t="n">
        <v>45710</v>
      </c>
      <c r="D2334" t="inlineStr">
        <is>
          <t>ÖSTERGÖTLANDS LÄN</t>
        </is>
      </c>
      <c r="E2334" t="inlineStr">
        <is>
          <t>BOXHOLM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44147-2020</t>
        </is>
      </c>
      <c r="B2335" s="1" t="n">
        <v>44083</v>
      </c>
      <c r="C2335" s="1" t="n">
        <v>45710</v>
      </c>
      <c r="D2335" t="inlineStr">
        <is>
          <t>ÖSTERGÖTLANDS LÄN</t>
        </is>
      </c>
      <c r="E2335" t="inlineStr">
        <is>
          <t>MOTALA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44177-2020</t>
        </is>
      </c>
      <c r="B2336" s="1" t="n">
        <v>44083</v>
      </c>
      <c r="C2336" s="1" t="n">
        <v>45710</v>
      </c>
      <c r="D2336" t="inlineStr">
        <is>
          <t>ÖSTERGÖTLANDS LÄN</t>
        </is>
      </c>
      <c r="E2336" t="inlineStr">
        <is>
          <t>ÅTVIDABERG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44125-2020</t>
        </is>
      </c>
      <c r="B2337" s="1" t="n">
        <v>44083</v>
      </c>
      <c r="C2337" s="1" t="n">
        <v>45710</v>
      </c>
      <c r="D2337" t="inlineStr">
        <is>
          <t>ÖSTERGÖTLANDS LÄN</t>
        </is>
      </c>
      <c r="E2337" t="inlineStr">
        <is>
          <t>YDRE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44295-2020</t>
        </is>
      </c>
      <c r="B2338" s="1" t="n">
        <v>44084</v>
      </c>
      <c r="C2338" s="1" t="n">
        <v>45710</v>
      </c>
      <c r="D2338" t="inlineStr">
        <is>
          <t>ÖSTERGÖTLANDS LÄN</t>
        </is>
      </c>
      <c r="E2338" t="inlineStr">
        <is>
          <t>KINDA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44373-2020</t>
        </is>
      </c>
      <c r="B2339" s="1" t="n">
        <v>44084</v>
      </c>
      <c r="C2339" s="1" t="n">
        <v>45710</v>
      </c>
      <c r="D2339" t="inlineStr">
        <is>
          <t>ÖSTERGÖTLANDS LÄN</t>
        </is>
      </c>
      <c r="E2339" t="inlineStr">
        <is>
          <t>BOXHOLM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44394-2020</t>
        </is>
      </c>
      <c r="B2340" s="1" t="n">
        <v>44084</v>
      </c>
      <c r="C2340" s="1" t="n">
        <v>45710</v>
      </c>
      <c r="D2340" t="inlineStr">
        <is>
          <t>ÖSTERGÖTLANDS LÄN</t>
        </is>
      </c>
      <c r="E2340" t="inlineStr">
        <is>
          <t>KINDA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44389-2020</t>
        </is>
      </c>
      <c r="B2341" s="1" t="n">
        <v>44084</v>
      </c>
      <c r="C2341" s="1" t="n">
        <v>45710</v>
      </c>
      <c r="D2341" t="inlineStr">
        <is>
          <t>ÖSTERGÖTLANDS LÄN</t>
        </is>
      </c>
      <c r="E2341" t="inlineStr">
        <is>
          <t>LINKÖPING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44480-2020</t>
        </is>
      </c>
      <c r="B2342" s="1" t="n">
        <v>44084</v>
      </c>
      <c r="C2342" s="1" t="n">
        <v>45710</v>
      </c>
      <c r="D2342" t="inlineStr">
        <is>
          <t>ÖSTERGÖTLANDS LÄN</t>
        </is>
      </c>
      <c r="E2342" t="inlineStr">
        <is>
          <t>FINSPÅNG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44467-2020</t>
        </is>
      </c>
      <c r="B2343" s="1" t="n">
        <v>44084</v>
      </c>
      <c r="C2343" s="1" t="n">
        <v>45710</v>
      </c>
      <c r="D2343" t="inlineStr">
        <is>
          <t>ÖSTERGÖTLANDS LÄN</t>
        </is>
      </c>
      <c r="E2343" t="inlineStr">
        <is>
          <t>NORRKÖPING</t>
        </is>
      </c>
      <c r="G2343" t="n">
        <v>13.5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44395-2020</t>
        </is>
      </c>
      <c r="B2344" s="1" t="n">
        <v>44084</v>
      </c>
      <c r="C2344" s="1" t="n">
        <v>45710</v>
      </c>
      <c r="D2344" t="inlineStr">
        <is>
          <t>ÖSTERGÖTLANDS LÄN</t>
        </is>
      </c>
      <c r="E2344" t="inlineStr">
        <is>
          <t>ÖDESHÖG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44477-2020</t>
        </is>
      </c>
      <c r="B2345" s="1" t="n">
        <v>44084</v>
      </c>
      <c r="C2345" s="1" t="n">
        <v>45710</v>
      </c>
      <c r="D2345" t="inlineStr">
        <is>
          <t>ÖSTERGÖTLANDS LÄN</t>
        </is>
      </c>
      <c r="E2345" t="inlineStr">
        <is>
          <t>FINSPÅNG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44465-2020</t>
        </is>
      </c>
      <c r="B2346" s="1" t="n">
        <v>44084</v>
      </c>
      <c r="C2346" s="1" t="n">
        <v>45710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Kyrkan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44478-2020</t>
        </is>
      </c>
      <c r="B2347" s="1" t="n">
        <v>44084</v>
      </c>
      <c r="C2347" s="1" t="n">
        <v>45710</v>
      </c>
      <c r="D2347" t="inlineStr">
        <is>
          <t>ÖSTERGÖTLANDS LÄN</t>
        </is>
      </c>
      <c r="E2347" t="inlineStr">
        <is>
          <t>FINSPÅNG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44485-2020</t>
        </is>
      </c>
      <c r="B2348" s="1" t="n">
        <v>44084</v>
      </c>
      <c r="C2348" s="1" t="n">
        <v>45710</v>
      </c>
      <c r="D2348" t="inlineStr">
        <is>
          <t>ÖSTERGÖTLANDS LÄN</t>
        </is>
      </c>
      <c r="E2348" t="inlineStr">
        <is>
          <t>FINSPÅNG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44535-2020</t>
        </is>
      </c>
      <c r="B2349" s="1" t="n">
        <v>44085</v>
      </c>
      <c r="C2349" s="1" t="n">
        <v>45710</v>
      </c>
      <c r="D2349" t="inlineStr">
        <is>
          <t>ÖSTERGÖTLANDS LÄN</t>
        </is>
      </c>
      <c r="E2349" t="inlineStr">
        <is>
          <t>LINKÖPING</t>
        </is>
      </c>
      <c r="F2349" t="inlineStr">
        <is>
          <t>Övriga Aktiebolag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44674-2020</t>
        </is>
      </c>
      <c r="B2350" s="1" t="n">
        <v>44085</v>
      </c>
      <c r="C2350" s="1" t="n">
        <v>45710</v>
      </c>
      <c r="D2350" t="inlineStr">
        <is>
          <t>ÖSTERGÖTLANDS LÄN</t>
        </is>
      </c>
      <c r="E2350" t="inlineStr">
        <is>
          <t>LINKÖPING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44739-2020</t>
        </is>
      </c>
      <c r="B2351" s="1" t="n">
        <v>44085</v>
      </c>
      <c r="C2351" s="1" t="n">
        <v>45710</v>
      </c>
      <c r="D2351" t="inlineStr">
        <is>
          <t>ÖSTERGÖTLANDS LÄN</t>
        </is>
      </c>
      <c r="E2351" t="inlineStr">
        <is>
          <t>LINKÖPING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44776-2020</t>
        </is>
      </c>
      <c r="B2352" s="1" t="n">
        <v>44085</v>
      </c>
      <c r="C2352" s="1" t="n">
        <v>45710</v>
      </c>
      <c r="D2352" t="inlineStr">
        <is>
          <t>ÖSTERGÖTLANDS LÄN</t>
        </is>
      </c>
      <c r="E2352" t="inlineStr">
        <is>
          <t>MOTALA</t>
        </is>
      </c>
      <c r="F2352" t="inlineStr">
        <is>
          <t>Övriga statliga verk och myndigheter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44735-2020</t>
        </is>
      </c>
      <c r="B2353" s="1" t="n">
        <v>44085</v>
      </c>
      <c r="C2353" s="1" t="n">
        <v>45710</v>
      </c>
      <c r="D2353" t="inlineStr">
        <is>
          <t>ÖSTERGÖTLANDS LÄN</t>
        </is>
      </c>
      <c r="E2353" t="inlineStr">
        <is>
          <t>LINKÖPING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44817-2020</t>
        </is>
      </c>
      <c r="B2354" s="1" t="n">
        <v>44085</v>
      </c>
      <c r="C2354" s="1" t="n">
        <v>45710</v>
      </c>
      <c r="D2354" t="inlineStr">
        <is>
          <t>ÖSTERGÖTLANDS LÄN</t>
        </is>
      </c>
      <c r="E2354" t="inlineStr">
        <is>
          <t>FINSPÅNG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44821-2020</t>
        </is>
      </c>
      <c r="B2355" s="1" t="n">
        <v>44085</v>
      </c>
      <c r="C2355" s="1" t="n">
        <v>45710</v>
      </c>
      <c r="D2355" t="inlineStr">
        <is>
          <t>ÖSTERGÖTLANDS LÄN</t>
        </is>
      </c>
      <c r="E2355" t="inlineStr">
        <is>
          <t>FINSPÅNG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44813-2020</t>
        </is>
      </c>
      <c r="B2356" s="1" t="n">
        <v>44085</v>
      </c>
      <c r="C2356" s="1" t="n">
        <v>45710</v>
      </c>
      <c r="D2356" t="inlineStr">
        <is>
          <t>ÖSTERGÖTLANDS LÄN</t>
        </is>
      </c>
      <c r="E2356" t="inlineStr">
        <is>
          <t>ÅTVIDABERG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44819-2020</t>
        </is>
      </c>
      <c r="B2357" s="1" t="n">
        <v>44085</v>
      </c>
      <c r="C2357" s="1" t="n">
        <v>45710</v>
      </c>
      <c r="D2357" t="inlineStr">
        <is>
          <t>ÖSTERGÖTLANDS LÄN</t>
        </is>
      </c>
      <c r="E2357" t="inlineStr">
        <is>
          <t>FINSPÅNG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44772-2020</t>
        </is>
      </c>
      <c r="B2358" s="1" t="n">
        <v>44085</v>
      </c>
      <c r="C2358" s="1" t="n">
        <v>45710</v>
      </c>
      <c r="D2358" t="inlineStr">
        <is>
          <t>ÖSTERGÖTLANDS LÄN</t>
        </is>
      </c>
      <c r="E2358" t="inlineStr">
        <is>
          <t>MOTALA</t>
        </is>
      </c>
      <c r="F2358" t="inlineStr">
        <is>
          <t>Övriga statliga verk och myndigheter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44827-2020</t>
        </is>
      </c>
      <c r="B2359" s="1" t="n">
        <v>44086</v>
      </c>
      <c r="C2359" s="1" t="n">
        <v>45710</v>
      </c>
      <c r="D2359" t="inlineStr">
        <is>
          <t>ÖSTERGÖTLANDS LÄN</t>
        </is>
      </c>
      <c r="E2359" t="inlineStr">
        <is>
          <t>LINKÖPING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44829-2020</t>
        </is>
      </c>
      <c r="B2360" s="1" t="n">
        <v>44086</v>
      </c>
      <c r="C2360" s="1" t="n">
        <v>45710</v>
      </c>
      <c r="D2360" t="inlineStr">
        <is>
          <t>ÖSTERGÖTLANDS LÄN</t>
        </is>
      </c>
      <c r="E2360" t="inlineStr">
        <is>
          <t>LINKÖPING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44879-2020</t>
        </is>
      </c>
      <c r="B2361" s="1" t="n">
        <v>44087</v>
      </c>
      <c r="C2361" s="1" t="n">
        <v>45710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Övriga Aktiebolag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44875-2020</t>
        </is>
      </c>
      <c r="B2362" s="1" t="n">
        <v>44087</v>
      </c>
      <c r="C2362" s="1" t="n">
        <v>45710</v>
      </c>
      <c r="D2362" t="inlineStr">
        <is>
          <t>ÖSTERGÖTLANDS LÄN</t>
        </is>
      </c>
      <c r="E2362" t="inlineStr">
        <is>
          <t>YDRE</t>
        </is>
      </c>
      <c r="F2362" t="inlineStr">
        <is>
          <t>Sveaskog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44878-2020</t>
        </is>
      </c>
      <c r="B2363" s="1" t="n">
        <v>44087</v>
      </c>
      <c r="C2363" s="1" t="n">
        <v>45710</v>
      </c>
      <c r="D2363" t="inlineStr">
        <is>
          <t>ÖSTERGÖTLANDS LÄN</t>
        </is>
      </c>
      <c r="E2363" t="inlineStr">
        <is>
          <t>YDRE</t>
        </is>
      </c>
      <c r="F2363" t="inlineStr">
        <is>
          <t>Sveaskog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44917-2020</t>
        </is>
      </c>
      <c r="B2364" s="1" t="n">
        <v>44088</v>
      </c>
      <c r="C2364" s="1" t="n">
        <v>45710</v>
      </c>
      <c r="D2364" t="inlineStr">
        <is>
          <t>ÖSTERGÖTLANDS LÄN</t>
        </is>
      </c>
      <c r="E2364" t="inlineStr">
        <is>
          <t>LINKÖPING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45194-2020</t>
        </is>
      </c>
      <c r="B2365" s="1" t="n">
        <v>44088</v>
      </c>
      <c r="C2365" s="1" t="n">
        <v>45710</v>
      </c>
      <c r="D2365" t="inlineStr">
        <is>
          <t>ÖSTERGÖTLANDS LÄN</t>
        </is>
      </c>
      <c r="E2365" t="inlineStr">
        <is>
          <t>KINDA</t>
        </is>
      </c>
      <c r="F2365" t="inlineStr">
        <is>
          <t>Övriga Aktiebolag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46063-2020</t>
        </is>
      </c>
      <c r="B2366" s="1" t="n">
        <v>44088</v>
      </c>
      <c r="C2366" s="1" t="n">
        <v>45710</v>
      </c>
      <c r="D2366" t="inlineStr">
        <is>
          <t>ÖSTERGÖTLANDS LÄN</t>
        </is>
      </c>
      <c r="E2366" t="inlineStr">
        <is>
          <t>FINSPÅNG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45275-2020</t>
        </is>
      </c>
      <c r="B2367" s="1" t="n">
        <v>44089</v>
      </c>
      <c r="C2367" s="1" t="n">
        <v>45710</v>
      </c>
      <c r="D2367" t="inlineStr">
        <is>
          <t>ÖSTERGÖTLANDS LÄN</t>
        </is>
      </c>
      <c r="E2367" t="inlineStr">
        <is>
          <t>YDRE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45457-2020</t>
        </is>
      </c>
      <c r="B2368" s="1" t="n">
        <v>44089</v>
      </c>
      <c r="C2368" s="1" t="n">
        <v>45710</v>
      </c>
      <c r="D2368" t="inlineStr">
        <is>
          <t>ÖSTERGÖTLANDS LÄN</t>
        </is>
      </c>
      <c r="E2368" t="inlineStr">
        <is>
          <t>VALDEMARSVIK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45506-2020</t>
        </is>
      </c>
      <c r="B2369" s="1" t="n">
        <v>44089</v>
      </c>
      <c r="C2369" s="1" t="n">
        <v>45710</v>
      </c>
      <c r="D2369" t="inlineStr">
        <is>
          <t>ÖSTERGÖTLANDS LÄN</t>
        </is>
      </c>
      <c r="E2369" t="inlineStr">
        <is>
          <t>LINKÖPING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45273-2020</t>
        </is>
      </c>
      <c r="B2370" s="1" t="n">
        <v>44089</v>
      </c>
      <c r="C2370" s="1" t="n">
        <v>45710</v>
      </c>
      <c r="D2370" t="inlineStr">
        <is>
          <t>ÖSTERGÖTLANDS LÄN</t>
        </is>
      </c>
      <c r="E2370" t="inlineStr">
        <is>
          <t>YDRE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45482-2020</t>
        </is>
      </c>
      <c r="B2371" s="1" t="n">
        <v>44089</v>
      </c>
      <c r="C2371" s="1" t="n">
        <v>45710</v>
      </c>
      <c r="D2371" t="inlineStr">
        <is>
          <t>ÖSTERGÖTLANDS LÄN</t>
        </is>
      </c>
      <c r="E2371" t="inlineStr">
        <is>
          <t>VALDEMARSVIK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45522-2020</t>
        </is>
      </c>
      <c r="B2372" s="1" t="n">
        <v>44089</v>
      </c>
      <c r="C2372" s="1" t="n">
        <v>45710</v>
      </c>
      <c r="D2372" t="inlineStr">
        <is>
          <t>ÖSTERGÖTLANDS LÄN</t>
        </is>
      </c>
      <c r="E2372" t="inlineStr">
        <is>
          <t>KINDA</t>
        </is>
      </c>
      <c r="F2372" t="inlineStr">
        <is>
          <t>Allmännings- och besparingsskogar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46803-2020</t>
        </is>
      </c>
      <c r="B2373" s="1" t="n">
        <v>44089</v>
      </c>
      <c r="C2373" s="1" t="n">
        <v>45710</v>
      </c>
      <c r="D2373" t="inlineStr">
        <is>
          <t>ÖSTERGÖTLANDS LÄN</t>
        </is>
      </c>
      <c r="E2373" t="inlineStr">
        <is>
          <t>LINKÖPING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45622-2020</t>
        </is>
      </c>
      <c r="B2374" s="1" t="n">
        <v>44090</v>
      </c>
      <c r="C2374" s="1" t="n">
        <v>45710</v>
      </c>
      <c r="D2374" t="inlineStr">
        <is>
          <t>ÖSTERGÖTLANDS LÄN</t>
        </is>
      </c>
      <c r="E2374" t="inlineStr">
        <is>
          <t>KINDA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46969-2020</t>
        </is>
      </c>
      <c r="B2375" s="1" t="n">
        <v>44090</v>
      </c>
      <c r="C2375" s="1" t="n">
        <v>45710</v>
      </c>
      <c r="D2375" t="inlineStr">
        <is>
          <t>ÖSTERGÖTLANDS LÄN</t>
        </is>
      </c>
      <c r="E2375" t="inlineStr">
        <is>
          <t>LINKÖPING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46975-2020</t>
        </is>
      </c>
      <c r="B2376" s="1" t="n">
        <v>44090</v>
      </c>
      <c r="C2376" s="1" t="n">
        <v>45710</v>
      </c>
      <c r="D2376" t="inlineStr">
        <is>
          <t>ÖSTERGÖTLANDS LÄN</t>
        </is>
      </c>
      <c r="E2376" t="inlineStr">
        <is>
          <t>LINKÖPING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46980-2020</t>
        </is>
      </c>
      <c r="B2377" s="1" t="n">
        <v>44090</v>
      </c>
      <c r="C2377" s="1" t="n">
        <v>45710</v>
      </c>
      <c r="D2377" t="inlineStr">
        <is>
          <t>ÖSTERGÖTLANDS LÄN</t>
        </is>
      </c>
      <c r="E2377" t="inlineStr">
        <is>
          <t>LINKÖPING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46038-2020</t>
        </is>
      </c>
      <c r="B2378" s="1" t="n">
        <v>44091</v>
      </c>
      <c r="C2378" s="1" t="n">
        <v>45710</v>
      </c>
      <c r="D2378" t="inlineStr">
        <is>
          <t>ÖSTERGÖTLANDS LÄN</t>
        </is>
      </c>
      <c r="E2378" t="inlineStr">
        <is>
          <t>MJÖLBY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46316-2020</t>
        </is>
      </c>
      <c r="B2379" s="1" t="n">
        <v>44092</v>
      </c>
      <c r="C2379" s="1" t="n">
        <v>45710</v>
      </c>
      <c r="D2379" t="inlineStr">
        <is>
          <t>ÖSTERGÖTLANDS LÄN</t>
        </is>
      </c>
      <c r="E2379" t="inlineStr">
        <is>
          <t>YDRE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46263-2020</t>
        </is>
      </c>
      <c r="B2380" s="1" t="n">
        <v>44092</v>
      </c>
      <c r="C2380" s="1" t="n">
        <v>45710</v>
      </c>
      <c r="D2380" t="inlineStr">
        <is>
          <t>ÖSTERGÖTLANDS LÄN</t>
        </is>
      </c>
      <c r="E2380" t="inlineStr">
        <is>
          <t>KINDA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46588-2020</t>
        </is>
      </c>
      <c r="B2381" s="1" t="n">
        <v>44095</v>
      </c>
      <c r="C2381" s="1" t="n">
        <v>45710</v>
      </c>
      <c r="D2381" t="inlineStr">
        <is>
          <t>ÖSTERGÖTLANDS LÄN</t>
        </is>
      </c>
      <c r="E2381" t="inlineStr">
        <is>
          <t>MOTALA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46590-2020</t>
        </is>
      </c>
      <c r="B2382" s="1" t="n">
        <v>44095</v>
      </c>
      <c r="C2382" s="1" t="n">
        <v>45710</v>
      </c>
      <c r="D2382" t="inlineStr">
        <is>
          <t>ÖSTERGÖTLANDS LÄN</t>
        </is>
      </c>
      <c r="E2382" t="inlineStr">
        <is>
          <t>MOTALA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46523-2020</t>
        </is>
      </c>
      <c r="B2383" s="1" t="n">
        <v>44095</v>
      </c>
      <c r="C2383" s="1" t="n">
        <v>45710</v>
      </c>
      <c r="D2383" t="inlineStr">
        <is>
          <t>ÖSTERGÖTLANDS LÄN</t>
        </is>
      </c>
      <c r="E2383" t="inlineStr">
        <is>
          <t>VALDEMARSVIK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46528-2020</t>
        </is>
      </c>
      <c r="B2384" s="1" t="n">
        <v>44095</v>
      </c>
      <c r="C2384" s="1" t="n">
        <v>45710</v>
      </c>
      <c r="D2384" t="inlineStr">
        <is>
          <t>ÖSTERGÖTLANDS LÄN</t>
        </is>
      </c>
      <c r="E2384" t="inlineStr">
        <is>
          <t>YDRE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46571-2020</t>
        </is>
      </c>
      <c r="B2385" s="1" t="n">
        <v>44095</v>
      </c>
      <c r="C2385" s="1" t="n">
        <v>45710</v>
      </c>
      <c r="D2385" t="inlineStr">
        <is>
          <t>ÖSTERGÖTLANDS LÄN</t>
        </is>
      </c>
      <c r="E2385" t="inlineStr">
        <is>
          <t>NORRKÖPING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46591-2020</t>
        </is>
      </c>
      <c r="B2386" s="1" t="n">
        <v>44095</v>
      </c>
      <c r="C2386" s="1" t="n">
        <v>45710</v>
      </c>
      <c r="D2386" t="inlineStr">
        <is>
          <t>ÖSTERGÖTLANDS LÄN</t>
        </is>
      </c>
      <c r="E2386" t="inlineStr">
        <is>
          <t>KINDA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46724-2020</t>
        </is>
      </c>
      <c r="B2387" s="1" t="n">
        <v>44095</v>
      </c>
      <c r="C2387" s="1" t="n">
        <v>45710</v>
      </c>
      <c r="D2387" t="inlineStr">
        <is>
          <t>ÖSTERGÖTLANDS LÄN</t>
        </is>
      </c>
      <c r="E2387" t="inlineStr">
        <is>
          <t>MOTALA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46753-2020</t>
        </is>
      </c>
      <c r="B2388" s="1" t="n">
        <v>44095</v>
      </c>
      <c r="C2388" s="1" t="n">
        <v>45710</v>
      </c>
      <c r="D2388" t="inlineStr">
        <is>
          <t>ÖSTERGÖTLANDS LÄN</t>
        </is>
      </c>
      <c r="E2388" t="inlineStr">
        <is>
          <t>ÅTVIDABERG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46720-2020</t>
        </is>
      </c>
      <c r="B2389" s="1" t="n">
        <v>44095</v>
      </c>
      <c r="C2389" s="1" t="n">
        <v>45710</v>
      </c>
      <c r="D2389" t="inlineStr">
        <is>
          <t>ÖSTERGÖTLANDS LÄN</t>
        </is>
      </c>
      <c r="E2389" t="inlineStr">
        <is>
          <t>ÅTVIDABERG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46739-2020</t>
        </is>
      </c>
      <c r="B2390" s="1" t="n">
        <v>44095</v>
      </c>
      <c r="C2390" s="1" t="n">
        <v>45710</v>
      </c>
      <c r="D2390" t="inlineStr">
        <is>
          <t>ÖSTERGÖTLANDS LÄN</t>
        </is>
      </c>
      <c r="E2390" t="inlineStr">
        <is>
          <t>YDRE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47319-2020</t>
        </is>
      </c>
      <c r="B2391" s="1" t="n">
        <v>44095</v>
      </c>
      <c r="C2391" s="1" t="n">
        <v>45710</v>
      </c>
      <c r="D2391" t="inlineStr">
        <is>
          <t>ÖSTERGÖTLANDS LÄN</t>
        </is>
      </c>
      <c r="E2391" t="inlineStr">
        <is>
          <t>LINKÖPING</t>
        </is>
      </c>
      <c r="F2391" t="inlineStr">
        <is>
          <t>Kommuner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47067-2020</t>
        </is>
      </c>
      <c r="B2392" s="1" t="n">
        <v>44096</v>
      </c>
      <c r="C2392" s="1" t="n">
        <v>45710</v>
      </c>
      <c r="D2392" t="inlineStr">
        <is>
          <t>ÖSTERGÖTLANDS LÄN</t>
        </is>
      </c>
      <c r="E2392" t="inlineStr">
        <is>
          <t>NORRKÖPING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46841-2020</t>
        </is>
      </c>
      <c r="B2393" s="1" t="n">
        <v>44096</v>
      </c>
      <c r="C2393" s="1" t="n">
        <v>45710</v>
      </c>
      <c r="D2393" t="inlineStr">
        <is>
          <t>ÖSTERGÖTLANDS LÄN</t>
        </is>
      </c>
      <c r="E2393" t="inlineStr">
        <is>
          <t>NORRKÖPING</t>
        </is>
      </c>
      <c r="G2393" t="n">
        <v>11.5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47552-2020</t>
        </is>
      </c>
      <c r="B2394" s="1" t="n">
        <v>44096</v>
      </c>
      <c r="C2394" s="1" t="n">
        <v>45710</v>
      </c>
      <c r="D2394" t="inlineStr">
        <is>
          <t>ÖSTERGÖTLANDS LÄN</t>
        </is>
      </c>
      <c r="E2394" t="inlineStr">
        <is>
          <t>NORRKÖPING</t>
        </is>
      </c>
      <c r="G2394" t="n">
        <v>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47262-2020</t>
        </is>
      </c>
      <c r="B2395" s="1" t="n">
        <v>44097</v>
      </c>
      <c r="C2395" s="1" t="n">
        <v>45710</v>
      </c>
      <c r="D2395" t="inlineStr">
        <is>
          <t>ÖSTERGÖTLANDS LÄN</t>
        </is>
      </c>
      <c r="E2395" t="inlineStr">
        <is>
          <t>MOTALA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47418-2020</t>
        </is>
      </c>
      <c r="B2396" s="1" t="n">
        <v>44097</v>
      </c>
      <c r="C2396" s="1" t="n">
        <v>45710</v>
      </c>
      <c r="D2396" t="inlineStr">
        <is>
          <t>ÖSTERGÖTLANDS LÄN</t>
        </is>
      </c>
      <c r="E2396" t="inlineStr">
        <is>
          <t>VALDEMARSVIK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47364-2020</t>
        </is>
      </c>
      <c r="B2397" s="1" t="n">
        <v>44097</v>
      </c>
      <c r="C2397" s="1" t="n">
        <v>45710</v>
      </c>
      <c r="D2397" t="inlineStr">
        <is>
          <t>ÖSTERGÖTLANDS LÄN</t>
        </is>
      </c>
      <c r="E2397" t="inlineStr">
        <is>
          <t>LINKÖPING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47390-2020</t>
        </is>
      </c>
      <c r="B2398" s="1" t="n">
        <v>44097</v>
      </c>
      <c r="C2398" s="1" t="n">
        <v>45710</v>
      </c>
      <c r="D2398" t="inlineStr">
        <is>
          <t>ÖSTERGÖTLANDS LÄN</t>
        </is>
      </c>
      <c r="E2398" t="inlineStr">
        <is>
          <t>FINSPÅNG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47404-2020</t>
        </is>
      </c>
      <c r="B2399" s="1" t="n">
        <v>44097</v>
      </c>
      <c r="C2399" s="1" t="n">
        <v>45710</v>
      </c>
      <c r="D2399" t="inlineStr">
        <is>
          <t>ÖSTERGÖTLANDS LÄN</t>
        </is>
      </c>
      <c r="E2399" t="inlineStr">
        <is>
          <t>VALDEMARSVIK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47421-2020</t>
        </is>
      </c>
      <c r="B2400" s="1" t="n">
        <v>44097</v>
      </c>
      <c r="C2400" s="1" t="n">
        <v>45710</v>
      </c>
      <c r="D2400" t="inlineStr">
        <is>
          <t>ÖSTERGÖTLANDS LÄN</t>
        </is>
      </c>
      <c r="E2400" t="inlineStr">
        <is>
          <t>VALDEMARSVIK</t>
        </is>
      </c>
      <c r="G2400" t="n">
        <v>4.3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47651-2020</t>
        </is>
      </c>
      <c r="B2401" s="1" t="n">
        <v>44098</v>
      </c>
      <c r="C2401" s="1" t="n">
        <v>45710</v>
      </c>
      <c r="D2401" t="inlineStr">
        <is>
          <t>ÖSTERGÖTLANDS LÄN</t>
        </is>
      </c>
      <c r="E2401" t="inlineStr">
        <is>
          <t>NORRKÖPING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47655-2020</t>
        </is>
      </c>
      <c r="B2402" s="1" t="n">
        <v>44098</v>
      </c>
      <c r="C2402" s="1" t="n">
        <v>45710</v>
      </c>
      <c r="D2402" t="inlineStr">
        <is>
          <t>ÖSTERGÖTLANDS LÄN</t>
        </is>
      </c>
      <c r="E2402" t="inlineStr">
        <is>
          <t>BOXHOLM</t>
        </is>
      </c>
      <c r="F2402" t="inlineStr">
        <is>
          <t>Övriga Aktiebolag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47876-2020</t>
        </is>
      </c>
      <c r="B2403" s="1" t="n">
        <v>44099</v>
      </c>
      <c r="C2403" s="1" t="n">
        <v>45710</v>
      </c>
      <c r="D2403" t="inlineStr">
        <is>
          <t>ÖSTERGÖTLANDS LÄN</t>
        </is>
      </c>
      <c r="E2403" t="inlineStr">
        <is>
          <t>LINKÖPING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47959-2020</t>
        </is>
      </c>
      <c r="B2404" s="1" t="n">
        <v>44099</v>
      </c>
      <c r="C2404" s="1" t="n">
        <v>45710</v>
      </c>
      <c r="D2404" t="inlineStr">
        <is>
          <t>ÖSTERGÖTLANDS LÄN</t>
        </is>
      </c>
      <c r="E2404" t="inlineStr">
        <is>
          <t>KINDA</t>
        </is>
      </c>
      <c r="F2404" t="inlineStr">
        <is>
          <t>Övriga Aktiebolag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48015-2020</t>
        </is>
      </c>
      <c r="B2405" s="1" t="n">
        <v>44099</v>
      </c>
      <c r="C2405" s="1" t="n">
        <v>45710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48012-2020</t>
        </is>
      </c>
      <c r="B2406" s="1" t="n">
        <v>44099</v>
      </c>
      <c r="C2406" s="1" t="n">
        <v>45710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48070-2020</t>
        </is>
      </c>
      <c r="B2407" s="1" t="n">
        <v>44100</v>
      </c>
      <c r="C2407" s="1" t="n">
        <v>45710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Övriga Aktiebolag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48429-2020</t>
        </is>
      </c>
      <c r="B2408" s="1" t="n">
        <v>44102</v>
      </c>
      <c r="C2408" s="1" t="n">
        <v>45710</v>
      </c>
      <c r="D2408" t="inlineStr">
        <is>
          <t>ÖSTERGÖTLANDS LÄN</t>
        </is>
      </c>
      <c r="E2408" t="inlineStr">
        <is>
          <t>SÖDERKÖPING</t>
        </is>
      </c>
      <c r="F2408" t="inlineStr">
        <is>
          <t>Allmännings- och besparingsskogar</t>
        </is>
      </c>
      <c r="G2408" t="n">
        <v>6.5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48273-2020</t>
        </is>
      </c>
      <c r="B2409" s="1" t="n">
        <v>44102</v>
      </c>
      <c r="C2409" s="1" t="n">
        <v>45710</v>
      </c>
      <c r="D2409" t="inlineStr">
        <is>
          <t>ÖSTERGÖTLANDS LÄN</t>
        </is>
      </c>
      <c r="E2409" t="inlineStr">
        <is>
          <t>FINSPÅNG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48341-2020</t>
        </is>
      </c>
      <c r="B2410" s="1" t="n">
        <v>44102</v>
      </c>
      <c r="C2410" s="1" t="n">
        <v>45710</v>
      </c>
      <c r="D2410" t="inlineStr">
        <is>
          <t>ÖSTERGÖTLANDS LÄN</t>
        </is>
      </c>
      <c r="E2410" t="inlineStr">
        <is>
          <t>YDRE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48427-2020</t>
        </is>
      </c>
      <c r="B2411" s="1" t="n">
        <v>44102</v>
      </c>
      <c r="C2411" s="1" t="n">
        <v>45710</v>
      </c>
      <c r="D2411" t="inlineStr">
        <is>
          <t>ÖSTERGÖTLANDS LÄN</t>
        </is>
      </c>
      <c r="E2411" t="inlineStr">
        <is>
          <t>SÖDERKÖPING</t>
        </is>
      </c>
      <c r="F2411" t="inlineStr">
        <is>
          <t>Allmännings- och besparingsskogar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48497-2020</t>
        </is>
      </c>
      <c r="B2412" s="1" t="n">
        <v>44102</v>
      </c>
      <c r="C2412" s="1" t="n">
        <v>45710</v>
      </c>
      <c r="D2412" t="inlineStr">
        <is>
          <t>ÖSTERGÖTLANDS LÄN</t>
        </is>
      </c>
      <c r="E2412" t="inlineStr">
        <is>
          <t>ÅTVIDABERG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48621-2020</t>
        </is>
      </c>
      <c r="B2413" s="1" t="n">
        <v>44103</v>
      </c>
      <c r="C2413" s="1" t="n">
        <v>45710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Kommuner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48674-2020</t>
        </is>
      </c>
      <c r="B2414" s="1" t="n">
        <v>44103</v>
      </c>
      <c r="C2414" s="1" t="n">
        <v>45710</v>
      </c>
      <c r="D2414" t="inlineStr">
        <is>
          <t>ÖSTERGÖTLANDS LÄN</t>
        </is>
      </c>
      <c r="E2414" t="inlineStr">
        <is>
          <t>FINSPÅNG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48756-2020</t>
        </is>
      </c>
      <c r="B2415" s="1" t="n">
        <v>44103</v>
      </c>
      <c r="C2415" s="1" t="n">
        <v>45710</v>
      </c>
      <c r="D2415" t="inlineStr">
        <is>
          <t>ÖSTERGÖTLANDS LÄN</t>
        </is>
      </c>
      <c r="E2415" t="inlineStr">
        <is>
          <t>ÅTVIDABERG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48510-2020</t>
        </is>
      </c>
      <c r="B2416" s="1" t="n">
        <v>44103</v>
      </c>
      <c r="C2416" s="1" t="n">
        <v>45710</v>
      </c>
      <c r="D2416" t="inlineStr">
        <is>
          <t>ÖSTERGÖTLANDS LÄN</t>
        </is>
      </c>
      <c r="E2416" t="inlineStr">
        <is>
          <t>MJÖLBY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48655-2020</t>
        </is>
      </c>
      <c r="B2417" s="1" t="n">
        <v>44103</v>
      </c>
      <c r="C2417" s="1" t="n">
        <v>45710</v>
      </c>
      <c r="D2417" t="inlineStr">
        <is>
          <t>ÖSTERGÖTLANDS LÄN</t>
        </is>
      </c>
      <c r="E2417" t="inlineStr">
        <is>
          <t>NORRKÖPING</t>
        </is>
      </c>
      <c r="F2417" t="inlineStr">
        <is>
          <t>Allmännings- och besparingsskogar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48669-2020</t>
        </is>
      </c>
      <c r="B2418" s="1" t="n">
        <v>44103</v>
      </c>
      <c r="C2418" s="1" t="n">
        <v>45710</v>
      </c>
      <c r="D2418" t="inlineStr">
        <is>
          <t>ÖSTERGÖTLANDS LÄN</t>
        </is>
      </c>
      <c r="E2418" t="inlineStr">
        <is>
          <t>FINSPÅNG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49676-2020</t>
        </is>
      </c>
      <c r="B2419" s="1" t="n">
        <v>44103</v>
      </c>
      <c r="C2419" s="1" t="n">
        <v>45710</v>
      </c>
      <c r="D2419" t="inlineStr">
        <is>
          <t>ÖSTERGÖTLANDS LÄN</t>
        </is>
      </c>
      <c r="E2419" t="inlineStr">
        <is>
          <t>LINKÖPING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49620-2020</t>
        </is>
      </c>
      <c r="B2420" s="1" t="n">
        <v>44103</v>
      </c>
      <c r="C2420" s="1" t="n">
        <v>45710</v>
      </c>
      <c r="D2420" t="inlineStr">
        <is>
          <t>ÖSTERGÖTLANDS LÄN</t>
        </is>
      </c>
      <c r="E2420" t="inlineStr">
        <is>
          <t>FINSPÅNG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48978-2020</t>
        </is>
      </c>
      <c r="B2421" s="1" t="n">
        <v>44104</v>
      </c>
      <c r="C2421" s="1" t="n">
        <v>45710</v>
      </c>
      <c r="D2421" t="inlineStr">
        <is>
          <t>ÖSTERGÖTLANDS LÄN</t>
        </is>
      </c>
      <c r="E2421" t="inlineStr">
        <is>
          <t>ÅTVIDABERG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49055-2020</t>
        </is>
      </c>
      <c r="B2422" s="1" t="n">
        <v>44104</v>
      </c>
      <c r="C2422" s="1" t="n">
        <v>45710</v>
      </c>
      <c r="D2422" t="inlineStr">
        <is>
          <t>ÖSTERGÖTLANDS LÄN</t>
        </is>
      </c>
      <c r="E2422" t="inlineStr">
        <is>
          <t>YDRE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49006-2020</t>
        </is>
      </c>
      <c r="B2423" s="1" t="n">
        <v>44104</v>
      </c>
      <c r="C2423" s="1" t="n">
        <v>45710</v>
      </c>
      <c r="D2423" t="inlineStr">
        <is>
          <t>ÖSTERGÖTLANDS LÄN</t>
        </is>
      </c>
      <c r="E2423" t="inlineStr">
        <is>
          <t>KINDA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49053-2020</t>
        </is>
      </c>
      <c r="B2424" s="1" t="n">
        <v>44104</v>
      </c>
      <c r="C2424" s="1" t="n">
        <v>45710</v>
      </c>
      <c r="D2424" t="inlineStr">
        <is>
          <t>ÖSTERGÖTLANDS LÄN</t>
        </is>
      </c>
      <c r="E2424" t="inlineStr">
        <is>
          <t>YDRE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49088-2020</t>
        </is>
      </c>
      <c r="B2425" s="1" t="n">
        <v>44104</v>
      </c>
      <c r="C2425" s="1" t="n">
        <v>45710</v>
      </c>
      <c r="D2425" t="inlineStr">
        <is>
          <t>ÖSTERGÖTLANDS LÄN</t>
        </is>
      </c>
      <c r="E2425" t="inlineStr">
        <is>
          <t>LINKÖPING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49060-2020</t>
        </is>
      </c>
      <c r="B2426" s="1" t="n">
        <v>44104</v>
      </c>
      <c r="C2426" s="1" t="n">
        <v>45710</v>
      </c>
      <c r="D2426" t="inlineStr">
        <is>
          <t>ÖSTERGÖTLANDS LÄN</t>
        </is>
      </c>
      <c r="E2426" t="inlineStr">
        <is>
          <t>YDRE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49039-2020</t>
        </is>
      </c>
      <c r="B2427" s="1" t="n">
        <v>44104</v>
      </c>
      <c r="C2427" s="1" t="n">
        <v>45710</v>
      </c>
      <c r="D2427" t="inlineStr">
        <is>
          <t>ÖSTERGÖTLANDS LÄN</t>
        </is>
      </c>
      <c r="E2427" t="inlineStr">
        <is>
          <t>MJÖLBY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49057-2020</t>
        </is>
      </c>
      <c r="B2428" s="1" t="n">
        <v>44104</v>
      </c>
      <c r="C2428" s="1" t="n">
        <v>45710</v>
      </c>
      <c r="D2428" t="inlineStr">
        <is>
          <t>ÖSTERGÖTLANDS LÄN</t>
        </is>
      </c>
      <c r="E2428" t="inlineStr">
        <is>
          <t>YDRE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49238-2020</t>
        </is>
      </c>
      <c r="B2429" s="1" t="n">
        <v>44105</v>
      </c>
      <c r="C2429" s="1" t="n">
        <v>45710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Holmen skog AB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49451-2020</t>
        </is>
      </c>
      <c r="B2430" s="1" t="n">
        <v>44105</v>
      </c>
      <c r="C2430" s="1" t="n">
        <v>45710</v>
      </c>
      <c r="D2430" t="inlineStr">
        <is>
          <t>ÖSTERGÖTLANDS LÄN</t>
        </is>
      </c>
      <c r="E2430" t="inlineStr">
        <is>
          <t>SÖDERKÖPING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49524-2020</t>
        </is>
      </c>
      <c r="B2431" s="1" t="n">
        <v>44105</v>
      </c>
      <c r="C2431" s="1" t="n">
        <v>45710</v>
      </c>
      <c r="D2431" t="inlineStr">
        <is>
          <t>ÖSTERGÖTLANDS LÄN</t>
        </is>
      </c>
      <c r="E2431" t="inlineStr">
        <is>
          <t>KINDA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49549-2020</t>
        </is>
      </c>
      <c r="B2432" s="1" t="n">
        <v>44106</v>
      </c>
      <c r="C2432" s="1" t="n">
        <v>45710</v>
      </c>
      <c r="D2432" t="inlineStr">
        <is>
          <t>ÖSTERGÖTLANDS LÄN</t>
        </is>
      </c>
      <c r="E2432" t="inlineStr">
        <is>
          <t>VALDEMARSVIK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49749-2020</t>
        </is>
      </c>
      <c r="B2433" s="1" t="n">
        <v>44106</v>
      </c>
      <c r="C2433" s="1" t="n">
        <v>45710</v>
      </c>
      <c r="D2433" t="inlineStr">
        <is>
          <t>ÖSTERGÖTLANDS LÄN</t>
        </is>
      </c>
      <c r="E2433" t="inlineStr">
        <is>
          <t>ÖDESHÖG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49820-2020</t>
        </is>
      </c>
      <c r="B2434" s="1" t="n">
        <v>44106</v>
      </c>
      <c r="C2434" s="1" t="n">
        <v>45710</v>
      </c>
      <c r="D2434" t="inlineStr">
        <is>
          <t>ÖSTERGÖTLANDS LÄN</t>
        </is>
      </c>
      <c r="E2434" t="inlineStr">
        <is>
          <t>MOTALA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49752-2020</t>
        </is>
      </c>
      <c r="B2435" s="1" t="n">
        <v>44106</v>
      </c>
      <c r="C2435" s="1" t="n">
        <v>45710</v>
      </c>
      <c r="D2435" t="inlineStr">
        <is>
          <t>ÖSTERGÖTLANDS LÄN</t>
        </is>
      </c>
      <c r="E2435" t="inlineStr">
        <is>
          <t>ÖDESHÖG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49861-2020</t>
        </is>
      </c>
      <c r="B2436" s="1" t="n">
        <v>44107</v>
      </c>
      <c r="C2436" s="1" t="n">
        <v>45710</v>
      </c>
      <c r="D2436" t="inlineStr">
        <is>
          <t>ÖSTERGÖTLANDS LÄN</t>
        </is>
      </c>
      <c r="E2436" t="inlineStr">
        <is>
          <t>FINSPÅNG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49862-2020</t>
        </is>
      </c>
      <c r="B2437" s="1" t="n">
        <v>44107</v>
      </c>
      <c r="C2437" s="1" t="n">
        <v>45710</v>
      </c>
      <c r="D2437" t="inlineStr">
        <is>
          <t>ÖSTERGÖTLANDS LÄN</t>
        </is>
      </c>
      <c r="E2437" t="inlineStr">
        <is>
          <t>FINSPÅNG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49867-2020</t>
        </is>
      </c>
      <c r="B2438" s="1" t="n">
        <v>44107</v>
      </c>
      <c r="C2438" s="1" t="n">
        <v>45710</v>
      </c>
      <c r="D2438" t="inlineStr">
        <is>
          <t>ÖSTERGÖTLANDS LÄN</t>
        </is>
      </c>
      <c r="E2438" t="inlineStr">
        <is>
          <t>NORRKÖPING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50207-2020</t>
        </is>
      </c>
      <c r="B2439" s="1" t="n">
        <v>44109</v>
      </c>
      <c r="C2439" s="1" t="n">
        <v>45710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Övriga Aktiebolag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50035-2020</t>
        </is>
      </c>
      <c r="B2440" s="1" t="n">
        <v>44109</v>
      </c>
      <c r="C2440" s="1" t="n">
        <v>45710</v>
      </c>
      <c r="D2440" t="inlineStr">
        <is>
          <t>ÖSTERGÖTLANDS LÄN</t>
        </is>
      </c>
      <c r="E2440" t="inlineStr">
        <is>
          <t>LINKÖPING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50161-2020</t>
        </is>
      </c>
      <c r="B2441" s="1" t="n">
        <v>44109</v>
      </c>
      <c r="C2441" s="1" t="n">
        <v>45710</v>
      </c>
      <c r="D2441" t="inlineStr">
        <is>
          <t>ÖSTERGÖTLANDS LÄN</t>
        </is>
      </c>
      <c r="E2441" t="inlineStr">
        <is>
          <t>ÅTVIDABERG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51887-2020</t>
        </is>
      </c>
      <c r="B2442" s="1" t="n">
        <v>44109</v>
      </c>
      <c r="C2442" s="1" t="n">
        <v>45710</v>
      </c>
      <c r="D2442" t="inlineStr">
        <is>
          <t>ÖSTERGÖTLANDS LÄN</t>
        </is>
      </c>
      <c r="E2442" t="inlineStr">
        <is>
          <t>YDRE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49961-2020</t>
        </is>
      </c>
      <c r="B2443" s="1" t="n">
        <v>44109</v>
      </c>
      <c r="C2443" s="1" t="n">
        <v>45710</v>
      </c>
      <c r="D2443" t="inlineStr">
        <is>
          <t>ÖSTERGÖTLANDS LÄN</t>
        </is>
      </c>
      <c r="E2443" t="inlineStr">
        <is>
          <t>MOTALA</t>
        </is>
      </c>
      <c r="F2443" t="inlineStr">
        <is>
          <t>Kommuner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50284-2020</t>
        </is>
      </c>
      <c r="B2444" s="1" t="n">
        <v>44109</v>
      </c>
      <c r="C2444" s="1" t="n">
        <v>45710</v>
      </c>
      <c r="D2444" t="inlineStr">
        <is>
          <t>ÖSTERGÖTLANDS LÄN</t>
        </is>
      </c>
      <c r="E2444" t="inlineStr">
        <is>
          <t>FINSPÅNG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50401-2020</t>
        </is>
      </c>
      <c r="B2445" s="1" t="n">
        <v>44110</v>
      </c>
      <c r="C2445" s="1" t="n">
        <v>45710</v>
      </c>
      <c r="D2445" t="inlineStr">
        <is>
          <t>ÖSTERGÖTLANDS LÄN</t>
        </is>
      </c>
      <c r="E2445" t="inlineStr">
        <is>
          <t>LINKÖPING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50454-2020</t>
        </is>
      </c>
      <c r="B2446" s="1" t="n">
        <v>44110</v>
      </c>
      <c r="C2446" s="1" t="n">
        <v>45710</v>
      </c>
      <c r="D2446" t="inlineStr">
        <is>
          <t>ÖSTERGÖTLANDS LÄN</t>
        </is>
      </c>
      <c r="E2446" t="inlineStr">
        <is>
          <t>BOXHOLM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50595-2020</t>
        </is>
      </c>
      <c r="B2447" s="1" t="n">
        <v>44110</v>
      </c>
      <c r="C2447" s="1" t="n">
        <v>45710</v>
      </c>
      <c r="D2447" t="inlineStr">
        <is>
          <t>ÖSTERGÖTLANDS LÄN</t>
        </is>
      </c>
      <c r="E2447" t="inlineStr">
        <is>
          <t>ÖDESHÖG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50288-2020</t>
        </is>
      </c>
      <c r="B2448" s="1" t="n">
        <v>44110</v>
      </c>
      <c r="C2448" s="1" t="n">
        <v>45710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50853-2020</t>
        </is>
      </c>
      <c r="B2449" s="1" t="n">
        <v>44111</v>
      </c>
      <c r="C2449" s="1" t="n">
        <v>45710</v>
      </c>
      <c r="D2449" t="inlineStr">
        <is>
          <t>ÖSTERGÖTLANDS LÄN</t>
        </is>
      </c>
      <c r="E2449" t="inlineStr">
        <is>
          <t>VALDEMARSVIK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50971-2020</t>
        </is>
      </c>
      <c r="B2450" s="1" t="n">
        <v>44111</v>
      </c>
      <c r="C2450" s="1" t="n">
        <v>45710</v>
      </c>
      <c r="D2450" t="inlineStr">
        <is>
          <t>ÖSTERGÖTLANDS LÄN</t>
        </is>
      </c>
      <c r="E2450" t="inlineStr">
        <is>
          <t>LINKÖPING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51048-2020</t>
        </is>
      </c>
      <c r="B2451" s="1" t="n">
        <v>44112</v>
      </c>
      <c r="C2451" s="1" t="n">
        <v>45710</v>
      </c>
      <c r="D2451" t="inlineStr">
        <is>
          <t>ÖSTERGÖTLANDS LÄN</t>
        </is>
      </c>
      <c r="E2451" t="inlineStr">
        <is>
          <t>ÅTVIDABERG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51047-2020</t>
        </is>
      </c>
      <c r="B2452" s="1" t="n">
        <v>44112</v>
      </c>
      <c r="C2452" s="1" t="n">
        <v>45710</v>
      </c>
      <c r="D2452" t="inlineStr">
        <is>
          <t>ÖSTERGÖTLANDS LÄN</t>
        </is>
      </c>
      <c r="E2452" t="inlineStr">
        <is>
          <t>ÅTVIDABERG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51055-2020</t>
        </is>
      </c>
      <c r="B2453" s="1" t="n">
        <v>44112</v>
      </c>
      <c r="C2453" s="1" t="n">
        <v>45710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Övriga statliga verk och myndigheter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51200-2020</t>
        </is>
      </c>
      <c r="B2454" s="1" t="n">
        <v>44112</v>
      </c>
      <c r="C2454" s="1" t="n">
        <v>45710</v>
      </c>
      <c r="D2454" t="inlineStr">
        <is>
          <t>ÖSTERGÖTLANDS LÄN</t>
        </is>
      </c>
      <c r="E2454" t="inlineStr">
        <is>
          <t>ÖDESHÖG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51234-2020</t>
        </is>
      </c>
      <c r="B2455" s="1" t="n">
        <v>44112</v>
      </c>
      <c r="C2455" s="1" t="n">
        <v>45710</v>
      </c>
      <c r="D2455" t="inlineStr">
        <is>
          <t>ÖSTERGÖTLANDS LÄN</t>
        </is>
      </c>
      <c r="E2455" t="inlineStr">
        <is>
          <t>FINSPÅNG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51193-2020</t>
        </is>
      </c>
      <c r="B2456" s="1" t="n">
        <v>44112</v>
      </c>
      <c r="C2456" s="1" t="n">
        <v>45710</v>
      </c>
      <c r="D2456" t="inlineStr">
        <is>
          <t>ÖSTERGÖTLANDS LÄN</t>
        </is>
      </c>
      <c r="E2456" t="inlineStr">
        <is>
          <t>ÖDESHÖG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51202-2020</t>
        </is>
      </c>
      <c r="B2457" s="1" t="n">
        <v>44112</v>
      </c>
      <c r="C2457" s="1" t="n">
        <v>45710</v>
      </c>
      <c r="D2457" t="inlineStr">
        <is>
          <t>ÖSTERGÖTLANDS LÄN</t>
        </is>
      </c>
      <c r="E2457" t="inlineStr">
        <is>
          <t>MOTALA</t>
        </is>
      </c>
      <c r="F2457" t="inlineStr">
        <is>
          <t>Allmännings- och besparingsskogar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52210-2020</t>
        </is>
      </c>
      <c r="B2458" s="1" t="n">
        <v>44112</v>
      </c>
      <c r="C2458" s="1" t="n">
        <v>45710</v>
      </c>
      <c r="D2458" t="inlineStr">
        <is>
          <t>ÖSTERGÖTLANDS LÄN</t>
        </is>
      </c>
      <c r="E2458" t="inlineStr">
        <is>
          <t>KINDA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52255-2020</t>
        </is>
      </c>
      <c r="B2459" s="1" t="n">
        <v>44112</v>
      </c>
      <c r="C2459" s="1" t="n">
        <v>45710</v>
      </c>
      <c r="D2459" t="inlineStr">
        <is>
          <t>ÖSTERGÖTLANDS LÄN</t>
        </is>
      </c>
      <c r="E2459" t="inlineStr">
        <is>
          <t>KINDA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52245-2020</t>
        </is>
      </c>
      <c r="B2460" s="1" t="n">
        <v>44112</v>
      </c>
      <c r="C2460" s="1" t="n">
        <v>45710</v>
      </c>
      <c r="D2460" t="inlineStr">
        <is>
          <t>ÖSTERGÖTLANDS LÄN</t>
        </is>
      </c>
      <c r="E2460" t="inlineStr">
        <is>
          <t>KINDA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52363-2020</t>
        </is>
      </c>
      <c r="B2461" s="1" t="n">
        <v>44112</v>
      </c>
      <c r="C2461" s="1" t="n">
        <v>45710</v>
      </c>
      <c r="D2461" t="inlineStr">
        <is>
          <t>ÖSTERGÖTLANDS LÄN</t>
        </is>
      </c>
      <c r="E2461" t="inlineStr">
        <is>
          <t>ÅTVIDABERG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52230-2020</t>
        </is>
      </c>
      <c r="B2462" s="1" t="n">
        <v>44112</v>
      </c>
      <c r="C2462" s="1" t="n">
        <v>45710</v>
      </c>
      <c r="D2462" t="inlineStr">
        <is>
          <t>ÖSTERGÖTLANDS LÄN</t>
        </is>
      </c>
      <c r="E2462" t="inlineStr">
        <is>
          <t>KINDA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52249-2020</t>
        </is>
      </c>
      <c r="B2463" s="1" t="n">
        <v>44112</v>
      </c>
      <c r="C2463" s="1" t="n">
        <v>45710</v>
      </c>
      <c r="D2463" t="inlineStr">
        <is>
          <t>ÖSTERGÖTLANDS LÄN</t>
        </is>
      </c>
      <c r="E2463" t="inlineStr">
        <is>
          <t>KINDA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51517-2020</t>
        </is>
      </c>
      <c r="B2464" s="1" t="n">
        <v>44113</v>
      </c>
      <c r="C2464" s="1" t="n">
        <v>45710</v>
      </c>
      <c r="D2464" t="inlineStr">
        <is>
          <t>ÖSTERGÖTLANDS LÄN</t>
        </is>
      </c>
      <c r="E2464" t="inlineStr">
        <is>
          <t>ÅTVIDABERG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51575-2020</t>
        </is>
      </c>
      <c r="B2465" s="1" t="n">
        <v>44113</v>
      </c>
      <c r="C2465" s="1" t="n">
        <v>45710</v>
      </c>
      <c r="D2465" t="inlineStr">
        <is>
          <t>ÖSTERGÖTLANDS LÄN</t>
        </is>
      </c>
      <c r="E2465" t="inlineStr">
        <is>
          <t>KINDA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51796-2020</t>
        </is>
      </c>
      <c r="B2466" s="1" t="n">
        <v>44115</v>
      </c>
      <c r="C2466" s="1" t="n">
        <v>45710</v>
      </c>
      <c r="D2466" t="inlineStr">
        <is>
          <t>ÖSTERGÖTLANDS LÄN</t>
        </is>
      </c>
      <c r="E2466" t="inlineStr">
        <is>
          <t>ÅTVIDABERG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51912-2020</t>
        </is>
      </c>
      <c r="B2467" s="1" t="n">
        <v>44116</v>
      </c>
      <c r="C2467" s="1" t="n">
        <v>45710</v>
      </c>
      <c r="D2467" t="inlineStr">
        <is>
          <t>ÖSTERGÖTLANDS LÄN</t>
        </is>
      </c>
      <c r="E2467" t="inlineStr">
        <is>
          <t>LINKÖPING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52021-2020</t>
        </is>
      </c>
      <c r="B2468" s="1" t="n">
        <v>44116</v>
      </c>
      <c r="C2468" s="1" t="n">
        <v>45710</v>
      </c>
      <c r="D2468" t="inlineStr">
        <is>
          <t>ÖSTERGÖTLANDS LÄN</t>
        </is>
      </c>
      <c r="E2468" t="inlineStr">
        <is>
          <t>YDRE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52280-2020</t>
        </is>
      </c>
      <c r="B2469" s="1" t="n">
        <v>44117</v>
      </c>
      <c r="C2469" s="1" t="n">
        <v>45710</v>
      </c>
      <c r="D2469" t="inlineStr">
        <is>
          <t>ÖSTERGÖTLANDS LÄN</t>
        </is>
      </c>
      <c r="E2469" t="inlineStr">
        <is>
          <t>ÖDESHÖG</t>
        </is>
      </c>
      <c r="F2469" t="inlineStr">
        <is>
          <t>Allmännings- och besparingsskogar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52315-2020</t>
        </is>
      </c>
      <c r="B2470" s="1" t="n">
        <v>44117</v>
      </c>
      <c r="C2470" s="1" t="n">
        <v>45710</v>
      </c>
      <c r="D2470" t="inlineStr">
        <is>
          <t>ÖSTERGÖTLANDS LÄN</t>
        </is>
      </c>
      <c r="E2470" t="inlineStr">
        <is>
          <t>ÅTVIDABERG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52183-2020</t>
        </is>
      </c>
      <c r="B2471" s="1" t="n">
        <v>44117</v>
      </c>
      <c r="C2471" s="1" t="n">
        <v>45710</v>
      </c>
      <c r="D2471" t="inlineStr">
        <is>
          <t>ÖSTERGÖTLANDS LÄN</t>
        </is>
      </c>
      <c r="E2471" t="inlineStr">
        <is>
          <t>FINSPÅNG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52239-2020</t>
        </is>
      </c>
      <c r="B2472" s="1" t="n">
        <v>44117</v>
      </c>
      <c r="C2472" s="1" t="n">
        <v>45710</v>
      </c>
      <c r="D2472" t="inlineStr">
        <is>
          <t>ÖSTERGÖTLANDS LÄN</t>
        </is>
      </c>
      <c r="E2472" t="inlineStr">
        <is>
          <t>ÖDESHÖG</t>
        </is>
      </c>
      <c r="F2472" t="inlineStr">
        <is>
          <t>Allmännings- och besparingsskogar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52691-2020</t>
        </is>
      </c>
      <c r="B2473" s="1" t="n">
        <v>44117</v>
      </c>
      <c r="C2473" s="1" t="n">
        <v>45710</v>
      </c>
      <c r="D2473" t="inlineStr">
        <is>
          <t>ÖSTERGÖTLANDS LÄN</t>
        </is>
      </c>
      <c r="E2473" t="inlineStr">
        <is>
          <t>BOXHOLM</t>
        </is>
      </c>
      <c r="G2473" t="n">
        <v>4.4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52284-2020</t>
        </is>
      </c>
      <c r="B2474" s="1" t="n">
        <v>44117</v>
      </c>
      <c r="C2474" s="1" t="n">
        <v>45710</v>
      </c>
      <c r="D2474" t="inlineStr">
        <is>
          <t>ÖSTERGÖTLANDS LÄN</t>
        </is>
      </c>
      <c r="E2474" t="inlineStr">
        <is>
          <t>ÖDESHÖG</t>
        </is>
      </c>
      <c r="F2474" t="inlineStr">
        <is>
          <t>Allmännings- och besparingsskogar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52604-2020</t>
        </is>
      </c>
      <c r="B2475" s="1" t="n">
        <v>44118</v>
      </c>
      <c r="C2475" s="1" t="n">
        <v>45710</v>
      </c>
      <c r="D2475" t="inlineStr">
        <is>
          <t>ÖSTERGÖTLANDS LÄN</t>
        </is>
      </c>
      <c r="E2475" t="inlineStr">
        <is>
          <t>FINSPÅNG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52721-2020</t>
        </is>
      </c>
      <c r="B2476" s="1" t="n">
        <v>44118</v>
      </c>
      <c r="C2476" s="1" t="n">
        <v>45710</v>
      </c>
      <c r="D2476" t="inlineStr">
        <is>
          <t>ÖSTERGÖTLANDS LÄN</t>
        </is>
      </c>
      <c r="E2476" t="inlineStr">
        <is>
          <t>ÅTVIDABERG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52724-2020</t>
        </is>
      </c>
      <c r="B2477" s="1" t="n">
        <v>44118</v>
      </c>
      <c r="C2477" s="1" t="n">
        <v>45710</v>
      </c>
      <c r="D2477" t="inlineStr">
        <is>
          <t>ÖSTERGÖTLANDS LÄN</t>
        </is>
      </c>
      <c r="E2477" t="inlineStr">
        <is>
          <t>ÅTVIDABERG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52605-2020</t>
        </is>
      </c>
      <c r="B2478" s="1" t="n">
        <v>44118</v>
      </c>
      <c r="C2478" s="1" t="n">
        <v>45710</v>
      </c>
      <c r="D2478" t="inlineStr">
        <is>
          <t>ÖSTERGÖTLANDS LÄN</t>
        </is>
      </c>
      <c r="E2478" t="inlineStr">
        <is>
          <t>FINSPÅNG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52723-2020</t>
        </is>
      </c>
      <c r="B2479" s="1" t="n">
        <v>44118</v>
      </c>
      <c r="C2479" s="1" t="n">
        <v>45710</v>
      </c>
      <c r="D2479" t="inlineStr">
        <is>
          <t>ÖSTERGÖTLANDS LÄN</t>
        </is>
      </c>
      <c r="E2479" t="inlineStr">
        <is>
          <t>ÅTVIDABERG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52705-2020</t>
        </is>
      </c>
      <c r="B2480" s="1" t="n">
        <v>44119</v>
      </c>
      <c r="C2480" s="1" t="n">
        <v>45710</v>
      </c>
      <c r="D2480" t="inlineStr">
        <is>
          <t>ÖSTERGÖTLANDS LÄN</t>
        </is>
      </c>
      <c r="E2480" t="inlineStr">
        <is>
          <t>FINSPÅNG</t>
        </is>
      </c>
      <c r="F2480" t="inlineStr">
        <is>
          <t>Övriga Aktiebolag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52755-2020</t>
        </is>
      </c>
      <c r="B2481" s="1" t="n">
        <v>44119</v>
      </c>
      <c r="C2481" s="1" t="n">
        <v>45710</v>
      </c>
      <c r="D2481" t="inlineStr">
        <is>
          <t>ÖSTERGÖTLANDS LÄN</t>
        </is>
      </c>
      <c r="E2481" t="inlineStr">
        <is>
          <t>MJÖLBY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52845-2020</t>
        </is>
      </c>
      <c r="B2482" s="1" t="n">
        <v>44119</v>
      </c>
      <c r="C2482" s="1" t="n">
        <v>45710</v>
      </c>
      <c r="D2482" t="inlineStr">
        <is>
          <t>ÖSTERGÖTLANDS LÄN</t>
        </is>
      </c>
      <c r="E2482" t="inlineStr">
        <is>
          <t>BOXHOLM</t>
        </is>
      </c>
      <c r="F2482" t="inlineStr">
        <is>
          <t>Allmännings- och besparingsskogar</t>
        </is>
      </c>
      <c r="G2482" t="n">
        <v>10.1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52913-2020</t>
        </is>
      </c>
      <c r="B2483" s="1" t="n">
        <v>44120</v>
      </c>
      <c r="C2483" s="1" t="n">
        <v>45710</v>
      </c>
      <c r="D2483" t="inlineStr">
        <is>
          <t>ÖSTERGÖTLANDS LÄN</t>
        </is>
      </c>
      <c r="E2483" t="inlineStr">
        <is>
          <t>VALDEMARSVIK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53439-2020</t>
        </is>
      </c>
      <c r="B2484" s="1" t="n">
        <v>44120</v>
      </c>
      <c r="C2484" s="1" t="n">
        <v>45710</v>
      </c>
      <c r="D2484" t="inlineStr">
        <is>
          <t>ÖSTERGÖTLANDS LÄN</t>
        </is>
      </c>
      <c r="E2484" t="inlineStr">
        <is>
          <t>KINDA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52931-2020</t>
        </is>
      </c>
      <c r="B2485" s="1" t="n">
        <v>44120</v>
      </c>
      <c r="C2485" s="1" t="n">
        <v>45710</v>
      </c>
      <c r="D2485" t="inlineStr">
        <is>
          <t>ÖSTERGÖTLANDS LÄN</t>
        </is>
      </c>
      <c r="E2485" t="inlineStr">
        <is>
          <t>YDRE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53230-2020</t>
        </is>
      </c>
      <c r="B2486" s="1" t="n">
        <v>44123</v>
      </c>
      <c r="C2486" s="1" t="n">
        <v>45710</v>
      </c>
      <c r="D2486" t="inlineStr">
        <is>
          <t>ÖSTERGÖTLANDS LÄN</t>
        </is>
      </c>
      <c r="E2486" t="inlineStr">
        <is>
          <t>ÅTVIDABERG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53248-2020</t>
        </is>
      </c>
      <c r="B2487" s="1" t="n">
        <v>44123</v>
      </c>
      <c r="C2487" s="1" t="n">
        <v>45710</v>
      </c>
      <c r="D2487" t="inlineStr">
        <is>
          <t>ÖSTERGÖTLANDS LÄN</t>
        </is>
      </c>
      <c r="E2487" t="inlineStr">
        <is>
          <t>ÅTVIDABERG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53281-2020</t>
        </is>
      </c>
      <c r="B2488" s="1" t="n">
        <v>44123</v>
      </c>
      <c r="C2488" s="1" t="n">
        <v>45710</v>
      </c>
      <c r="D2488" t="inlineStr">
        <is>
          <t>ÖSTERGÖTLANDS LÄN</t>
        </is>
      </c>
      <c r="E2488" t="inlineStr">
        <is>
          <t>VALDEMARSVIK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53403-2020</t>
        </is>
      </c>
      <c r="B2489" s="1" t="n">
        <v>44123</v>
      </c>
      <c r="C2489" s="1" t="n">
        <v>45710</v>
      </c>
      <c r="D2489" t="inlineStr">
        <is>
          <t>ÖSTERGÖTLANDS LÄN</t>
        </is>
      </c>
      <c r="E2489" t="inlineStr">
        <is>
          <t>FINSPÅNG</t>
        </is>
      </c>
      <c r="F2489" t="inlineStr">
        <is>
          <t>Holmen skog AB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53423-2020</t>
        </is>
      </c>
      <c r="B2490" s="1" t="n">
        <v>44123</v>
      </c>
      <c r="C2490" s="1" t="n">
        <v>45710</v>
      </c>
      <c r="D2490" t="inlineStr">
        <is>
          <t>ÖSTERGÖTLANDS LÄN</t>
        </is>
      </c>
      <c r="E2490" t="inlineStr">
        <is>
          <t>SÖDERKÖPING</t>
        </is>
      </c>
      <c r="G2490" t="n">
        <v>7.7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53633-2020</t>
        </is>
      </c>
      <c r="B2491" s="1" t="n">
        <v>44123</v>
      </c>
      <c r="C2491" s="1" t="n">
        <v>45710</v>
      </c>
      <c r="D2491" t="inlineStr">
        <is>
          <t>ÖSTERGÖTLANDS LÄN</t>
        </is>
      </c>
      <c r="E2491" t="inlineStr">
        <is>
          <t>KINDA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53616-2020</t>
        </is>
      </c>
      <c r="B2492" s="1" t="n">
        <v>44123</v>
      </c>
      <c r="C2492" s="1" t="n">
        <v>45710</v>
      </c>
      <c r="D2492" t="inlineStr">
        <is>
          <t>ÖSTERGÖTLANDS LÄN</t>
        </is>
      </c>
      <c r="E2492" t="inlineStr">
        <is>
          <t>LINKÖPING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53455-2020</t>
        </is>
      </c>
      <c r="B2493" s="1" t="n">
        <v>44123</v>
      </c>
      <c r="C2493" s="1" t="n">
        <v>45710</v>
      </c>
      <c r="D2493" t="inlineStr">
        <is>
          <t>ÖSTERGÖTLANDS LÄN</t>
        </is>
      </c>
      <c r="E2493" t="inlineStr">
        <is>
          <t>VALDEMARSVIK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53640-2020</t>
        </is>
      </c>
      <c r="B2494" s="1" t="n">
        <v>44123</v>
      </c>
      <c r="C2494" s="1" t="n">
        <v>45710</v>
      </c>
      <c r="D2494" t="inlineStr">
        <is>
          <t>ÖSTERGÖTLANDS LÄN</t>
        </is>
      </c>
      <c r="E2494" t="inlineStr">
        <is>
          <t>KINDA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53712-2020</t>
        </is>
      </c>
      <c r="B2495" s="1" t="n">
        <v>44124</v>
      </c>
      <c r="C2495" s="1" t="n">
        <v>45710</v>
      </c>
      <c r="D2495" t="inlineStr">
        <is>
          <t>ÖSTERGÖTLANDS LÄN</t>
        </is>
      </c>
      <c r="E2495" t="inlineStr">
        <is>
          <t>YDRE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53728-2020</t>
        </is>
      </c>
      <c r="B2496" s="1" t="n">
        <v>44124</v>
      </c>
      <c r="C2496" s="1" t="n">
        <v>45710</v>
      </c>
      <c r="D2496" t="inlineStr">
        <is>
          <t>ÖSTERGÖTLANDS LÄN</t>
        </is>
      </c>
      <c r="E2496" t="inlineStr">
        <is>
          <t>NORRKÖPING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53673-2020</t>
        </is>
      </c>
      <c r="B2497" s="1" t="n">
        <v>44124</v>
      </c>
      <c r="C2497" s="1" t="n">
        <v>45710</v>
      </c>
      <c r="D2497" t="inlineStr">
        <is>
          <t>ÖSTERGÖTLANDS LÄN</t>
        </is>
      </c>
      <c r="E2497" t="inlineStr">
        <is>
          <t>LINKÖPING</t>
        </is>
      </c>
      <c r="F2497" t="inlineStr">
        <is>
          <t>Övriga Aktiebolag</t>
        </is>
      </c>
      <c r="G2497" t="n">
        <v>9.6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53714-2020</t>
        </is>
      </c>
      <c r="B2498" s="1" t="n">
        <v>44124</v>
      </c>
      <c r="C2498" s="1" t="n">
        <v>45710</v>
      </c>
      <c r="D2498" t="inlineStr">
        <is>
          <t>ÖSTERGÖTLANDS LÄN</t>
        </is>
      </c>
      <c r="E2498" t="inlineStr">
        <is>
          <t>YDRE</t>
        </is>
      </c>
      <c r="G2498" t="n">
        <v>6.7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53724-2020</t>
        </is>
      </c>
      <c r="B2499" s="1" t="n">
        <v>44124</v>
      </c>
      <c r="C2499" s="1" t="n">
        <v>45710</v>
      </c>
      <c r="D2499" t="inlineStr">
        <is>
          <t>ÖSTERGÖTLANDS LÄN</t>
        </is>
      </c>
      <c r="E2499" t="inlineStr">
        <is>
          <t>NORRKÖPING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53743-2020</t>
        </is>
      </c>
      <c r="B2500" s="1" t="n">
        <v>44124</v>
      </c>
      <c r="C2500" s="1" t="n">
        <v>45710</v>
      </c>
      <c r="D2500" t="inlineStr">
        <is>
          <t>ÖSTERGÖTLANDS LÄN</t>
        </is>
      </c>
      <c r="E2500" t="inlineStr">
        <is>
          <t>ÖDESHÖG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53761-2020</t>
        </is>
      </c>
      <c r="B2501" s="1" t="n">
        <v>44124</v>
      </c>
      <c r="C2501" s="1" t="n">
        <v>45710</v>
      </c>
      <c r="D2501" t="inlineStr">
        <is>
          <t>ÖSTERGÖTLANDS LÄN</t>
        </is>
      </c>
      <c r="E2501" t="inlineStr">
        <is>
          <t>MOTALA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54246-2020</t>
        </is>
      </c>
      <c r="B2502" s="1" t="n">
        <v>44124</v>
      </c>
      <c r="C2502" s="1" t="n">
        <v>45710</v>
      </c>
      <c r="D2502" t="inlineStr">
        <is>
          <t>ÖSTERGÖTLANDS LÄN</t>
        </is>
      </c>
      <c r="E2502" t="inlineStr">
        <is>
          <t>KINDA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54099-2020</t>
        </is>
      </c>
      <c r="B2503" s="1" t="n">
        <v>44125</v>
      </c>
      <c r="C2503" s="1" t="n">
        <v>45710</v>
      </c>
      <c r="D2503" t="inlineStr">
        <is>
          <t>ÖSTERGÖTLANDS LÄN</t>
        </is>
      </c>
      <c r="E2503" t="inlineStr">
        <is>
          <t>ÖDESHÖG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54131-2020</t>
        </is>
      </c>
      <c r="B2504" s="1" t="n">
        <v>44125</v>
      </c>
      <c r="C2504" s="1" t="n">
        <v>45710</v>
      </c>
      <c r="D2504" t="inlineStr">
        <is>
          <t>ÖSTERGÖTLANDS LÄN</t>
        </is>
      </c>
      <c r="E2504" t="inlineStr">
        <is>
          <t>KINDA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54179-2020</t>
        </is>
      </c>
      <c r="B2505" s="1" t="n">
        <v>44125</v>
      </c>
      <c r="C2505" s="1" t="n">
        <v>45710</v>
      </c>
      <c r="D2505" t="inlineStr">
        <is>
          <t>ÖSTERGÖTLANDS LÄN</t>
        </is>
      </c>
      <c r="E2505" t="inlineStr">
        <is>
          <t>FINSPÅNG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53867-2020</t>
        </is>
      </c>
      <c r="B2506" s="1" t="n">
        <v>44125</v>
      </c>
      <c r="C2506" s="1" t="n">
        <v>45710</v>
      </c>
      <c r="D2506" t="inlineStr">
        <is>
          <t>ÖSTERGÖTLANDS LÄN</t>
        </is>
      </c>
      <c r="E2506" t="inlineStr">
        <is>
          <t>FINSPÅNG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54466-2020</t>
        </is>
      </c>
      <c r="B2507" s="1" t="n">
        <v>44125</v>
      </c>
      <c r="C2507" s="1" t="n">
        <v>45710</v>
      </c>
      <c r="D2507" t="inlineStr">
        <is>
          <t>ÖSTERGÖTLANDS LÄN</t>
        </is>
      </c>
      <c r="E2507" t="inlineStr">
        <is>
          <t>VALDEMARSVIK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53896-2020</t>
        </is>
      </c>
      <c r="B2508" s="1" t="n">
        <v>44125</v>
      </c>
      <c r="C2508" s="1" t="n">
        <v>45710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54360-2020</t>
        </is>
      </c>
      <c r="B2509" s="1" t="n">
        <v>44126</v>
      </c>
      <c r="C2509" s="1" t="n">
        <v>45710</v>
      </c>
      <c r="D2509" t="inlineStr">
        <is>
          <t>ÖSTERGÖTLANDS LÄN</t>
        </is>
      </c>
      <c r="E2509" t="inlineStr">
        <is>
          <t>VALDEMARSVIK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54491-2020</t>
        </is>
      </c>
      <c r="B2510" s="1" t="n">
        <v>44126</v>
      </c>
      <c r="C2510" s="1" t="n">
        <v>45710</v>
      </c>
      <c r="D2510" t="inlineStr">
        <is>
          <t>ÖSTERGÖTLANDS LÄN</t>
        </is>
      </c>
      <c r="E2510" t="inlineStr">
        <is>
          <t>LINKÖPING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54553-2020</t>
        </is>
      </c>
      <c r="B2511" s="1" t="n">
        <v>44126</v>
      </c>
      <c r="C2511" s="1" t="n">
        <v>45710</v>
      </c>
      <c r="D2511" t="inlineStr">
        <is>
          <t>ÖSTERGÖTLANDS LÄN</t>
        </is>
      </c>
      <c r="E2511" t="inlineStr">
        <is>
          <t>MOTALA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54869-2020</t>
        </is>
      </c>
      <c r="B2512" s="1" t="n">
        <v>44126</v>
      </c>
      <c r="C2512" s="1" t="n">
        <v>45710</v>
      </c>
      <c r="D2512" t="inlineStr">
        <is>
          <t>ÖSTERGÖTLANDS LÄN</t>
        </is>
      </c>
      <c r="E2512" t="inlineStr">
        <is>
          <t>YDRE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54772-2020</t>
        </is>
      </c>
      <c r="B2513" s="1" t="n">
        <v>44127</v>
      </c>
      <c r="C2513" s="1" t="n">
        <v>45710</v>
      </c>
      <c r="D2513" t="inlineStr">
        <is>
          <t>ÖSTERGÖTLANDS LÄN</t>
        </is>
      </c>
      <c r="E2513" t="inlineStr">
        <is>
          <t>ÖDESHÖG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54834-2020</t>
        </is>
      </c>
      <c r="B2514" s="1" t="n">
        <v>44127</v>
      </c>
      <c r="C2514" s="1" t="n">
        <v>45710</v>
      </c>
      <c r="D2514" t="inlineStr">
        <is>
          <t>ÖSTERGÖTLANDS LÄN</t>
        </is>
      </c>
      <c r="E2514" t="inlineStr">
        <is>
          <t>FINSPÅNG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54838-2020</t>
        </is>
      </c>
      <c r="B2515" s="1" t="n">
        <v>44128</v>
      </c>
      <c r="C2515" s="1" t="n">
        <v>45710</v>
      </c>
      <c r="D2515" t="inlineStr">
        <is>
          <t>ÖSTERGÖTLANDS LÄN</t>
        </is>
      </c>
      <c r="E2515" t="inlineStr">
        <is>
          <t>FINSPÅNG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54859-2020</t>
        </is>
      </c>
      <c r="B2516" s="1" t="n">
        <v>44128</v>
      </c>
      <c r="C2516" s="1" t="n">
        <v>45710</v>
      </c>
      <c r="D2516" t="inlineStr">
        <is>
          <t>ÖSTERGÖTLANDS LÄN</t>
        </is>
      </c>
      <c r="E2516" t="inlineStr">
        <is>
          <t>FINSPÅNG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54855-2020</t>
        </is>
      </c>
      <c r="B2517" s="1" t="n">
        <v>44128</v>
      </c>
      <c r="C2517" s="1" t="n">
        <v>45710</v>
      </c>
      <c r="D2517" t="inlineStr">
        <is>
          <t>ÖSTERGÖTLANDS LÄN</t>
        </is>
      </c>
      <c r="E2517" t="inlineStr">
        <is>
          <t>FINSPÅNG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54973-2020</t>
        </is>
      </c>
      <c r="B2518" s="1" t="n">
        <v>44130</v>
      </c>
      <c r="C2518" s="1" t="n">
        <v>45710</v>
      </c>
      <c r="D2518" t="inlineStr">
        <is>
          <t>ÖSTERGÖTLANDS LÄN</t>
        </is>
      </c>
      <c r="E2518" t="inlineStr">
        <is>
          <t>NORRKÖPING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55087-2020</t>
        </is>
      </c>
      <c r="B2519" s="1" t="n">
        <v>44130</v>
      </c>
      <c r="C2519" s="1" t="n">
        <v>45710</v>
      </c>
      <c r="D2519" t="inlineStr">
        <is>
          <t>ÖSTERGÖTLANDS LÄN</t>
        </is>
      </c>
      <c r="E2519" t="inlineStr">
        <is>
          <t>YDRE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55115-2020</t>
        </is>
      </c>
      <c r="B2520" s="1" t="n">
        <v>44130</v>
      </c>
      <c r="C2520" s="1" t="n">
        <v>45710</v>
      </c>
      <c r="D2520" t="inlineStr">
        <is>
          <t>ÖSTERGÖTLANDS LÄN</t>
        </is>
      </c>
      <c r="E2520" t="inlineStr">
        <is>
          <t>MOTALA</t>
        </is>
      </c>
      <c r="F2520" t="inlineStr">
        <is>
          <t>Allmännings- och besparingsskogar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55161-2020</t>
        </is>
      </c>
      <c r="B2521" s="1" t="n">
        <v>44130</v>
      </c>
      <c r="C2521" s="1" t="n">
        <v>45710</v>
      </c>
      <c r="D2521" t="inlineStr">
        <is>
          <t>ÖSTERGÖTLANDS LÄN</t>
        </is>
      </c>
      <c r="E2521" t="inlineStr">
        <is>
          <t>MJÖLBY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55227-2020</t>
        </is>
      </c>
      <c r="B2522" s="1" t="n">
        <v>44130</v>
      </c>
      <c r="C2522" s="1" t="n">
        <v>45710</v>
      </c>
      <c r="D2522" t="inlineStr">
        <is>
          <t>ÖSTERGÖTLANDS LÄN</t>
        </is>
      </c>
      <c r="E2522" t="inlineStr">
        <is>
          <t>YDRE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55244-2020</t>
        </is>
      </c>
      <c r="B2523" s="1" t="n">
        <v>44130</v>
      </c>
      <c r="C2523" s="1" t="n">
        <v>45710</v>
      </c>
      <c r="D2523" t="inlineStr">
        <is>
          <t>ÖSTERGÖTLANDS LÄN</t>
        </is>
      </c>
      <c r="E2523" t="inlineStr">
        <is>
          <t>MJÖLBY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55112-2020</t>
        </is>
      </c>
      <c r="B2524" s="1" t="n">
        <v>44130</v>
      </c>
      <c r="C2524" s="1" t="n">
        <v>45710</v>
      </c>
      <c r="D2524" t="inlineStr">
        <is>
          <t>ÖSTERGÖTLANDS LÄN</t>
        </is>
      </c>
      <c r="E2524" t="inlineStr">
        <is>
          <t>BOXHOLM</t>
        </is>
      </c>
      <c r="F2524" t="inlineStr">
        <is>
          <t>Övriga Aktiebolag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55102-2020</t>
        </is>
      </c>
      <c r="B2525" s="1" t="n">
        <v>44130</v>
      </c>
      <c r="C2525" s="1" t="n">
        <v>45710</v>
      </c>
      <c r="D2525" t="inlineStr">
        <is>
          <t>ÖSTERGÖTLANDS LÄN</t>
        </is>
      </c>
      <c r="E2525" t="inlineStr">
        <is>
          <t>MJÖLBY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55219-2020</t>
        </is>
      </c>
      <c r="B2526" s="1" t="n">
        <v>44130</v>
      </c>
      <c r="C2526" s="1" t="n">
        <v>45710</v>
      </c>
      <c r="D2526" t="inlineStr">
        <is>
          <t>ÖSTERGÖTLANDS LÄN</t>
        </is>
      </c>
      <c r="E2526" t="inlineStr">
        <is>
          <t>YDRE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55092-2020</t>
        </is>
      </c>
      <c r="B2527" s="1" t="n">
        <v>44130</v>
      </c>
      <c r="C2527" s="1" t="n">
        <v>45710</v>
      </c>
      <c r="D2527" t="inlineStr">
        <is>
          <t>ÖSTERGÖTLANDS LÄN</t>
        </is>
      </c>
      <c r="E2527" t="inlineStr">
        <is>
          <t>BOXHOLM</t>
        </is>
      </c>
      <c r="F2527" t="inlineStr">
        <is>
          <t>Övriga Aktiebolag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55305-2020</t>
        </is>
      </c>
      <c r="B2528" s="1" t="n">
        <v>44130</v>
      </c>
      <c r="C2528" s="1" t="n">
        <v>45710</v>
      </c>
      <c r="D2528" t="inlineStr">
        <is>
          <t>ÖSTERGÖTLANDS LÄN</t>
        </is>
      </c>
      <c r="E2528" t="inlineStr">
        <is>
          <t>LINKÖPING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55265-2020</t>
        </is>
      </c>
      <c r="B2529" s="1" t="n">
        <v>44130</v>
      </c>
      <c r="C2529" s="1" t="n">
        <v>45710</v>
      </c>
      <c r="D2529" t="inlineStr">
        <is>
          <t>ÖSTERGÖTLANDS LÄN</t>
        </is>
      </c>
      <c r="E2529" t="inlineStr">
        <is>
          <t>LINKÖPING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55548-2020</t>
        </is>
      </c>
      <c r="B2530" s="1" t="n">
        <v>44130</v>
      </c>
      <c r="C2530" s="1" t="n">
        <v>45710</v>
      </c>
      <c r="D2530" t="inlineStr">
        <is>
          <t>ÖSTERGÖTLANDS LÄN</t>
        </is>
      </c>
      <c r="E2530" t="inlineStr">
        <is>
          <t>KINDA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55382-2020</t>
        </is>
      </c>
      <c r="B2531" s="1" t="n">
        <v>44131</v>
      </c>
      <c r="C2531" s="1" t="n">
        <v>45710</v>
      </c>
      <c r="D2531" t="inlineStr">
        <is>
          <t>ÖSTERGÖTLANDS LÄN</t>
        </is>
      </c>
      <c r="E2531" t="inlineStr">
        <is>
          <t>MOTALA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55467-2020</t>
        </is>
      </c>
      <c r="B2532" s="1" t="n">
        <v>44131</v>
      </c>
      <c r="C2532" s="1" t="n">
        <v>45710</v>
      </c>
      <c r="D2532" t="inlineStr">
        <is>
          <t>ÖSTERGÖTLANDS LÄN</t>
        </is>
      </c>
      <c r="E2532" t="inlineStr">
        <is>
          <t>NORRKÖPING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55529-2020</t>
        </is>
      </c>
      <c r="B2533" s="1" t="n">
        <v>44131</v>
      </c>
      <c r="C2533" s="1" t="n">
        <v>45710</v>
      </c>
      <c r="D2533" t="inlineStr">
        <is>
          <t>ÖSTERGÖTLANDS LÄN</t>
        </is>
      </c>
      <c r="E2533" t="inlineStr">
        <is>
          <t>SÖDERKÖPING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55621-2020</t>
        </is>
      </c>
      <c r="B2534" s="1" t="n">
        <v>44131</v>
      </c>
      <c r="C2534" s="1" t="n">
        <v>45710</v>
      </c>
      <c r="D2534" t="inlineStr">
        <is>
          <t>ÖSTERGÖTLANDS LÄN</t>
        </is>
      </c>
      <c r="E2534" t="inlineStr">
        <is>
          <t>VALDEMARSVIK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55405-2020</t>
        </is>
      </c>
      <c r="B2535" s="1" t="n">
        <v>44131</v>
      </c>
      <c r="C2535" s="1" t="n">
        <v>45710</v>
      </c>
      <c r="D2535" t="inlineStr">
        <is>
          <t>ÖSTERGÖTLANDS LÄN</t>
        </is>
      </c>
      <c r="E2535" t="inlineStr">
        <is>
          <t>FINSPÅNG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55623-2020</t>
        </is>
      </c>
      <c r="B2536" s="1" t="n">
        <v>44131</v>
      </c>
      <c r="C2536" s="1" t="n">
        <v>45710</v>
      </c>
      <c r="D2536" t="inlineStr">
        <is>
          <t>ÖSTERGÖTLANDS LÄN</t>
        </is>
      </c>
      <c r="E2536" t="inlineStr">
        <is>
          <t>VALDEMARSVIK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55456-2020</t>
        </is>
      </c>
      <c r="B2537" s="1" t="n">
        <v>44131</v>
      </c>
      <c r="C2537" s="1" t="n">
        <v>45710</v>
      </c>
      <c r="D2537" t="inlineStr">
        <is>
          <t>ÖSTERGÖTLANDS LÄN</t>
        </is>
      </c>
      <c r="E2537" t="inlineStr">
        <is>
          <t>ÅTVIDABERG</t>
        </is>
      </c>
      <c r="F2537" t="inlineStr">
        <is>
          <t>Övriga Aktiebolag</t>
        </is>
      </c>
      <c r="G2537" t="n">
        <v>32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55549-2020</t>
        </is>
      </c>
      <c r="B2538" s="1" t="n">
        <v>44131</v>
      </c>
      <c r="C2538" s="1" t="n">
        <v>45710</v>
      </c>
      <c r="D2538" t="inlineStr">
        <is>
          <t>ÖSTERGÖTLANDS LÄN</t>
        </is>
      </c>
      <c r="E2538" t="inlineStr">
        <is>
          <t>SÖDERKÖPING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55685-2020</t>
        </is>
      </c>
      <c r="B2539" s="1" t="n">
        <v>44132</v>
      </c>
      <c r="C2539" s="1" t="n">
        <v>45710</v>
      </c>
      <c r="D2539" t="inlineStr">
        <is>
          <t>ÖSTERGÖTLANDS LÄN</t>
        </is>
      </c>
      <c r="E2539" t="inlineStr">
        <is>
          <t>VADSTENA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55793-2020</t>
        </is>
      </c>
      <c r="B2540" s="1" t="n">
        <v>44132</v>
      </c>
      <c r="C2540" s="1" t="n">
        <v>45710</v>
      </c>
      <c r="D2540" t="inlineStr">
        <is>
          <t>ÖSTERGÖTLANDS LÄN</t>
        </is>
      </c>
      <c r="E2540" t="inlineStr">
        <is>
          <t>ÖDESHÖG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55897-2020</t>
        </is>
      </c>
      <c r="B2541" s="1" t="n">
        <v>44132</v>
      </c>
      <c r="C2541" s="1" t="n">
        <v>45710</v>
      </c>
      <c r="D2541" t="inlineStr">
        <is>
          <t>ÖSTERGÖTLANDS LÄN</t>
        </is>
      </c>
      <c r="E2541" t="inlineStr">
        <is>
          <t>SÖDERKÖPING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55767-2020</t>
        </is>
      </c>
      <c r="B2542" s="1" t="n">
        <v>44132</v>
      </c>
      <c r="C2542" s="1" t="n">
        <v>45710</v>
      </c>
      <c r="D2542" t="inlineStr">
        <is>
          <t>ÖSTERGÖTLANDS LÄN</t>
        </is>
      </c>
      <c r="E2542" t="inlineStr">
        <is>
          <t>BOXHOLM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55817-2020</t>
        </is>
      </c>
      <c r="B2543" s="1" t="n">
        <v>44132</v>
      </c>
      <c r="C2543" s="1" t="n">
        <v>45710</v>
      </c>
      <c r="D2543" t="inlineStr">
        <is>
          <t>ÖSTERGÖTLANDS LÄN</t>
        </is>
      </c>
      <c r="E2543" t="inlineStr">
        <is>
          <t>VALDEMARSVIK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55860-2020</t>
        </is>
      </c>
      <c r="B2544" s="1" t="n">
        <v>44132</v>
      </c>
      <c r="C2544" s="1" t="n">
        <v>45710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Sveaskog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56144-2020</t>
        </is>
      </c>
      <c r="B2545" s="1" t="n">
        <v>44133</v>
      </c>
      <c r="C2545" s="1" t="n">
        <v>45710</v>
      </c>
      <c r="D2545" t="inlineStr">
        <is>
          <t>ÖSTERGÖTLANDS LÄN</t>
        </is>
      </c>
      <c r="E2545" t="inlineStr">
        <is>
          <t>BOXHOLM</t>
        </is>
      </c>
      <c r="F2545" t="inlineStr">
        <is>
          <t>Allmännings- och besparingsskogar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56189-2020</t>
        </is>
      </c>
      <c r="B2546" s="1" t="n">
        <v>44133</v>
      </c>
      <c r="C2546" s="1" t="n">
        <v>45710</v>
      </c>
      <c r="D2546" t="inlineStr">
        <is>
          <t>ÖSTERGÖTLANDS LÄN</t>
        </is>
      </c>
      <c r="E2546" t="inlineStr">
        <is>
          <t>VALDEMARSVIK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56313-2020</t>
        </is>
      </c>
      <c r="B2547" s="1" t="n">
        <v>44134</v>
      </c>
      <c r="C2547" s="1" t="n">
        <v>45710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56530-2020</t>
        </is>
      </c>
      <c r="B2548" s="1" t="n">
        <v>44137</v>
      </c>
      <c r="C2548" s="1" t="n">
        <v>45710</v>
      </c>
      <c r="D2548" t="inlineStr">
        <is>
          <t>ÖSTERGÖTLANDS LÄN</t>
        </is>
      </c>
      <c r="E2548" t="inlineStr">
        <is>
          <t>NORRKÖPING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56544-2020</t>
        </is>
      </c>
      <c r="B2549" s="1" t="n">
        <v>44137</v>
      </c>
      <c r="C2549" s="1" t="n">
        <v>45710</v>
      </c>
      <c r="D2549" t="inlineStr">
        <is>
          <t>ÖSTERGÖTLANDS LÄN</t>
        </is>
      </c>
      <c r="E2549" t="inlineStr">
        <is>
          <t>MOTALA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56465-2020</t>
        </is>
      </c>
      <c r="B2550" s="1" t="n">
        <v>44137</v>
      </c>
      <c r="C2550" s="1" t="n">
        <v>45710</v>
      </c>
      <c r="D2550" t="inlineStr">
        <is>
          <t>ÖSTERGÖTLANDS LÄN</t>
        </is>
      </c>
      <c r="E2550" t="inlineStr">
        <is>
          <t>NORRKÖPING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56528-2020</t>
        </is>
      </c>
      <c r="B2551" s="1" t="n">
        <v>44137</v>
      </c>
      <c r="C2551" s="1" t="n">
        <v>45710</v>
      </c>
      <c r="D2551" t="inlineStr">
        <is>
          <t>ÖSTERGÖTLANDS LÄN</t>
        </is>
      </c>
      <c r="E2551" t="inlineStr">
        <is>
          <t>NORRKÖPING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56557-2020</t>
        </is>
      </c>
      <c r="B2552" s="1" t="n">
        <v>44137</v>
      </c>
      <c r="C2552" s="1" t="n">
        <v>45710</v>
      </c>
      <c r="D2552" t="inlineStr">
        <is>
          <t>ÖSTERGÖTLANDS LÄN</t>
        </is>
      </c>
      <c r="E2552" t="inlineStr">
        <is>
          <t>FINSPÅNG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56587-2020</t>
        </is>
      </c>
      <c r="B2553" s="1" t="n">
        <v>44137</v>
      </c>
      <c r="C2553" s="1" t="n">
        <v>45710</v>
      </c>
      <c r="D2553" t="inlineStr">
        <is>
          <t>ÖSTERGÖTLANDS LÄN</t>
        </is>
      </c>
      <c r="E2553" t="inlineStr">
        <is>
          <t>ÅTVIDABERG</t>
        </is>
      </c>
      <c r="F2553" t="inlineStr">
        <is>
          <t>Övriga Aktiebolag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56727-2020</t>
        </is>
      </c>
      <c r="B2554" s="1" t="n">
        <v>44137</v>
      </c>
      <c r="C2554" s="1" t="n">
        <v>45710</v>
      </c>
      <c r="D2554" t="inlineStr">
        <is>
          <t>ÖSTERGÖTLANDS LÄN</t>
        </is>
      </c>
      <c r="E2554" t="inlineStr">
        <is>
          <t>ÅTVIDABERG</t>
        </is>
      </c>
      <c r="F2554" t="inlineStr">
        <is>
          <t>Sveaskog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56511-2020</t>
        </is>
      </c>
      <c r="B2555" s="1" t="n">
        <v>44137</v>
      </c>
      <c r="C2555" s="1" t="n">
        <v>45710</v>
      </c>
      <c r="D2555" t="inlineStr">
        <is>
          <t>ÖSTERGÖTLANDS LÄN</t>
        </is>
      </c>
      <c r="E2555" t="inlineStr">
        <is>
          <t>NORRKÖPING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56842-2020</t>
        </is>
      </c>
      <c r="B2556" s="1" t="n">
        <v>44138</v>
      </c>
      <c r="C2556" s="1" t="n">
        <v>45710</v>
      </c>
      <c r="D2556" t="inlineStr">
        <is>
          <t>ÖSTERGÖTLANDS LÄN</t>
        </is>
      </c>
      <c r="E2556" t="inlineStr">
        <is>
          <t>VALDEMARSVIK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56909-2020</t>
        </is>
      </c>
      <c r="B2557" s="1" t="n">
        <v>44138</v>
      </c>
      <c r="C2557" s="1" t="n">
        <v>45710</v>
      </c>
      <c r="D2557" t="inlineStr">
        <is>
          <t>ÖSTERGÖTLANDS LÄN</t>
        </is>
      </c>
      <c r="E2557" t="inlineStr">
        <is>
          <t>BOXHOLM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56792-2020</t>
        </is>
      </c>
      <c r="B2558" s="1" t="n">
        <v>44138</v>
      </c>
      <c r="C2558" s="1" t="n">
        <v>45710</v>
      </c>
      <c r="D2558" t="inlineStr">
        <is>
          <t>ÖSTERGÖTLANDS LÄN</t>
        </is>
      </c>
      <c r="E2558" t="inlineStr">
        <is>
          <t>BOXHOLM</t>
        </is>
      </c>
      <c r="F2558" t="inlineStr">
        <is>
          <t>Övriga Aktiebolag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57176-2020</t>
        </is>
      </c>
      <c r="B2559" s="1" t="n">
        <v>44138</v>
      </c>
      <c r="C2559" s="1" t="n">
        <v>45710</v>
      </c>
      <c r="D2559" t="inlineStr">
        <is>
          <t>ÖSTERGÖTLANDS LÄN</t>
        </is>
      </c>
      <c r="E2559" t="inlineStr">
        <is>
          <t>YDRE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57395-2020</t>
        </is>
      </c>
      <c r="B2560" s="1" t="n">
        <v>44140</v>
      </c>
      <c r="C2560" s="1" t="n">
        <v>45710</v>
      </c>
      <c r="D2560" t="inlineStr">
        <is>
          <t>ÖSTERGÖTLANDS LÄN</t>
        </is>
      </c>
      <c r="E2560" t="inlineStr">
        <is>
          <t>MOTALA</t>
        </is>
      </c>
      <c r="G2560" t="n">
        <v>8.4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57387-2020</t>
        </is>
      </c>
      <c r="B2561" s="1" t="n">
        <v>44140</v>
      </c>
      <c r="C2561" s="1" t="n">
        <v>45710</v>
      </c>
      <c r="D2561" t="inlineStr">
        <is>
          <t>ÖSTERGÖTLANDS LÄN</t>
        </is>
      </c>
      <c r="E2561" t="inlineStr">
        <is>
          <t>ÅTVIDABERG</t>
        </is>
      </c>
      <c r="F2561" t="inlineStr">
        <is>
          <t>Övriga Aktiebolag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57556-2020</t>
        </is>
      </c>
      <c r="B2562" s="1" t="n">
        <v>44140</v>
      </c>
      <c r="C2562" s="1" t="n">
        <v>45710</v>
      </c>
      <c r="D2562" t="inlineStr">
        <is>
          <t>ÖSTERGÖTLANDS LÄN</t>
        </is>
      </c>
      <c r="E2562" t="inlineStr">
        <is>
          <t>KINDA</t>
        </is>
      </c>
      <c r="G2562" t="n">
        <v>27.1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57666-2020</t>
        </is>
      </c>
      <c r="B2563" s="1" t="n">
        <v>44140</v>
      </c>
      <c r="C2563" s="1" t="n">
        <v>45710</v>
      </c>
      <c r="D2563" t="inlineStr">
        <is>
          <t>ÖSTERGÖTLANDS LÄN</t>
        </is>
      </c>
      <c r="E2563" t="inlineStr">
        <is>
          <t>MOTALA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57875-2020</t>
        </is>
      </c>
      <c r="B2564" s="1" t="n">
        <v>44141</v>
      </c>
      <c r="C2564" s="1" t="n">
        <v>45710</v>
      </c>
      <c r="D2564" t="inlineStr">
        <is>
          <t>ÖSTERGÖTLANDS LÄN</t>
        </is>
      </c>
      <c r="E2564" t="inlineStr">
        <is>
          <t>LINKÖPING</t>
        </is>
      </c>
      <c r="G2564" t="n">
        <v>0.1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57872-2020</t>
        </is>
      </c>
      <c r="B2565" s="1" t="n">
        <v>44141</v>
      </c>
      <c r="C2565" s="1" t="n">
        <v>45710</v>
      </c>
      <c r="D2565" t="inlineStr">
        <is>
          <t>ÖSTERGÖTLANDS LÄN</t>
        </is>
      </c>
      <c r="E2565" t="inlineStr">
        <is>
          <t>YDRE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57935-2020</t>
        </is>
      </c>
      <c r="B2566" s="1" t="n">
        <v>44141</v>
      </c>
      <c r="C2566" s="1" t="n">
        <v>45710</v>
      </c>
      <c r="D2566" t="inlineStr">
        <is>
          <t>ÖSTERGÖTLANDS LÄN</t>
        </is>
      </c>
      <c r="E2566" t="inlineStr">
        <is>
          <t>BOXHOLM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57965-2020</t>
        </is>
      </c>
      <c r="B2567" s="1" t="n">
        <v>44143</v>
      </c>
      <c r="C2567" s="1" t="n">
        <v>45710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Allmännings- och besparingsskogar</t>
        </is>
      </c>
      <c r="G2567" t="n">
        <v>8.6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58087-2020</t>
        </is>
      </c>
      <c r="B2568" s="1" t="n">
        <v>44144</v>
      </c>
      <c r="C2568" s="1" t="n">
        <v>45710</v>
      </c>
      <c r="D2568" t="inlineStr">
        <is>
          <t>ÖSTERGÖTLANDS LÄN</t>
        </is>
      </c>
      <c r="E2568" t="inlineStr">
        <is>
          <t>BOXHOLM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58105-2020</t>
        </is>
      </c>
      <c r="B2569" s="1" t="n">
        <v>44144</v>
      </c>
      <c r="C2569" s="1" t="n">
        <v>45710</v>
      </c>
      <c r="D2569" t="inlineStr">
        <is>
          <t>ÖSTERGÖTLANDS LÄN</t>
        </is>
      </c>
      <c r="E2569" t="inlineStr">
        <is>
          <t>ÅTVIDABERG</t>
        </is>
      </c>
      <c r="G2569" t="n">
        <v>6.6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58150-2020</t>
        </is>
      </c>
      <c r="B2570" s="1" t="n">
        <v>44144</v>
      </c>
      <c r="C2570" s="1" t="n">
        <v>45710</v>
      </c>
      <c r="D2570" t="inlineStr">
        <is>
          <t>ÖSTERGÖTLANDS LÄN</t>
        </is>
      </c>
      <c r="E2570" t="inlineStr">
        <is>
          <t>YDRE</t>
        </is>
      </c>
      <c r="F2570" t="inlineStr">
        <is>
          <t>Sveaskog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58286-2020</t>
        </is>
      </c>
      <c r="B2571" s="1" t="n">
        <v>44144</v>
      </c>
      <c r="C2571" s="1" t="n">
        <v>45710</v>
      </c>
      <c r="D2571" t="inlineStr">
        <is>
          <t>ÖSTERGÖTLANDS LÄN</t>
        </is>
      </c>
      <c r="E2571" t="inlineStr">
        <is>
          <t>KINDA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58518-2020</t>
        </is>
      </c>
      <c r="B2572" s="1" t="n">
        <v>44145</v>
      </c>
      <c r="C2572" s="1" t="n">
        <v>45710</v>
      </c>
      <c r="D2572" t="inlineStr">
        <is>
          <t>ÖSTERGÖTLANDS LÄN</t>
        </is>
      </c>
      <c r="E2572" t="inlineStr">
        <is>
          <t>BOXHOLM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58632-2020</t>
        </is>
      </c>
      <c r="B2573" s="1" t="n">
        <v>44145</v>
      </c>
      <c r="C2573" s="1" t="n">
        <v>45710</v>
      </c>
      <c r="D2573" t="inlineStr">
        <is>
          <t>ÖSTERGÖTLANDS LÄN</t>
        </is>
      </c>
      <c r="E2573" t="inlineStr">
        <is>
          <t>FINSPÅNG</t>
        </is>
      </c>
      <c r="G2573" t="n">
        <v>10.4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58621-2020</t>
        </is>
      </c>
      <c r="B2574" s="1" t="n">
        <v>44145</v>
      </c>
      <c r="C2574" s="1" t="n">
        <v>45710</v>
      </c>
      <c r="D2574" t="inlineStr">
        <is>
          <t>ÖSTERGÖTLANDS LÄN</t>
        </is>
      </c>
      <c r="E2574" t="inlineStr">
        <is>
          <t>ÖDESHÖG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58785-2020</t>
        </is>
      </c>
      <c r="B2575" s="1" t="n">
        <v>44146</v>
      </c>
      <c r="C2575" s="1" t="n">
        <v>45710</v>
      </c>
      <c r="D2575" t="inlineStr">
        <is>
          <t>ÖSTERGÖTLANDS LÄN</t>
        </is>
      </c>
      <c r="E2575" t="inlineStr">
        <is>
          <t>BOXHOLM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58714-2020</t>
        </is>
      </c>
      <c r="B2576" s="1" t="n">
        <v>44146</v>
      </c>
      <c r="C2576" s="1" t="n">
        <v>45710</v>
      </c>
      <c r="D2576" t="inlineStr">
        <is>
          <t>ÖSTERGÖTLANDS LÄN</t>
        </is>
      </c>
      <c r="E2576" t="inlineStr">
        <is>
          <t>LINKÖPING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58829-2020</t>
        </is>
      </c>
      <c r="B2577" s="1" t="n">
        <v>44146</v>
      </c>
      <c r="C2577" s="1" t="n">
        <v>45710</v>
      </c>
      <c r="D2577" t="inlineStr">
        <is>
          <t>ÖSTERGÖTLANDS LÄN</t>
        </is>
      </c>
      <c r="E2577" t="inlineStr">
        <is>
          <t>NORRKÖPING</t>
        </is>
      </c>
      <c r="F2577" t="inlineStr">
        <is>
          <t>Holmen skog AB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58963-2020</t>
        </is>
      </c>
      <c r="B2578" s="1" t="n">
        <v>44146</v>
      </c>
      <c r="C2578" s="1" t="n">
        <v>45710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Allmännings- och besparingsskogar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59021-2020</t>
        </is>
      </c>
      <c r="B2579" s="1" t="n">
        <v>44147</v>
      </c>
      <c r="C2579" s="1" t="n">
        <v>45710</v>
      </c>
      <c r="D2579" t="inlineStr">
        <is>
          <t>ÖSTERGÖTLANDS LÄN</t>
        </is>
      </c>
      <c r="E2579" t="inlineStr">
        <is>
          <t>SÖDERKÖPING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59325-2020</t>
        </is>
      </c>
      <c r="B2580" s="1" t="n">
        <v>44147</v>
      </c>
      <c r="C2580" s="1" t="n">
        <v>45710</v>
      </c>
      <c r="D2580" t="inlineStr">
        <is>
          <t>ÖSTERGÖTLANDS LÄN</t>
        </is>
      </c>
      <c r="E2580" t="inlineStr">
        <is>
          <t>ÅTVIDABERG</t>
        </is>
      </c>
      <c r="F2580" t="inlineStr">
        <is>
          <t>Sveaskog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59288-2020</t>
        </is>
      </c>
      <c r="B2581" s="1" t="n">
        <v>44147</v>
      </c>
      <c r="C2581" s="1" t="n">
        <v>45710</v>
      </c>
      <c r="D2581" t="inlineStr">
        <is>
          <t>ÖSTERGÖTLANDS LÄN</t>
        </is>
      </c>
      <c r="E2581" t="inlineStr">
        <is>
          <t>LINKÖPING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59023-2020</t>
        </is>
      </c>
      <c r="B2582" s="1" t="n">
        <v>44147</v>
      </c>
      <c r="C2582" s="1" t="n">
        <v>45710</v>
      </c>
      <c r="D2582" t="inlineStr">
        <is>
          <t>ÖSTERGÖTLANDS LÄN</t>
        </is>
      </c>
      <c r="E2582" t="inlineStr">
        <is>
          <t>NORRKÖPING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59384-2020</t>
        </is>
      </c>
      <c r="B2583" s="1" t="n">
        <v>44148</v>
      </c>
      <c r="C2583" s="1" t="n">
        <v>45710</v>
      </c>
      <c r="D2583" t="inlineStr">
        <is>
          <t>ÖSTERGÖTLANDS LÄN</t>
        </is>
      </c>
      <c r="E2583" t="inlineStr">
        <is>
          <t>KINDA</t>
        </is>
      </c>
      <c r="F2583" t="inlineStr">
        <is>
          <t>Övriga Aktiebolag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59430-2020</t>
        </is>
      </c>
      <c r="B2584" s="1" t="n">
        <v>44148</v>
      </c>
      <c r="C2584" s="1" t="n">
        <v>45710</v>
      </c>
      <c r="D2584" t="inlineStr">
        <is>
          <t>ÖSTERGÖTLANDS LÄN</t>
        </is>
      </c>
      <c r="E2584" t="inlineStr">
        <is>
          <t>FINSPÅNG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59445-2020</t>
        </is>
      </c>
      <c r="B2585" s="1" t="n">
        <v>44148</v>
      </c>
      <c r="C2585" s="1" t="n">
        <v>45710</v>
      </c>
      <c r="D2585" t="inlineStr">
        <is>
          <t>ÖSTERGÖTLANDS LÄN</t>
        </is>
      </c>
      <c r="E2585" t="inlineStr">
        <is>
          <t>SÖDERKÖPING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59694-2020</t>
        </is>
      </c>
      <c r="B2586" s="1" t="n">
        <v>44151</v>
      </c>
      <c r="C2586" s="1" t="n">
        <v>45710</v>
      </c>
      <c r="D2586" t="inlineStr">
        <is>
          <t>ÖSTERGÖTLANDS LÄN</t>
        </is>
      </c>
      <c r="E2586" t="inlineStr">
        <is>
          <t>FINSPÅNG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59765-2020</t>
        </is>
      </c>
      <c r="B2587" s="1" t="n">
        <v>44151</v>
      </c>
      <c r="C2587" s="1" t="n">
        <v>45710</v>
      </c>
      <c r="D2587" t="inlineStr">
        <is>
          <t>ÖSTERGÖTLANDS LÄN</t>
        </is>
      </c>
      <c r="E2587" t="inlineStr">
        <is>
          <t>FINSPÅNG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59835-2020</t>
        </is>
      </c>
      <c r="B2588" s="1" t="n">
        <v>44151</v>
      </c>
      <c r="C2588" s="1" t="n">
        <v>45710</v>
      </c>
      <c r="D2588" t="inlineStr">
        <is>
          <t>ÖSTERGÖTLANDS LÄN</t>
        </is>
      </c>
      <c r="E2588" t="inlineStr">
        <is>
          <t>VALDEMARSVIK</t>
        </is>
      </c>
      <c r="F2588" t="inlineStr">
        <is>
          <t>Kommuner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59954-2020</t>
        </is>
      </c>
      <c r="B2589" s="1" t="n">
        <v>44151</v>
      </c>
      <c r="C2589" s="1" t="n">
        <v>45710</v>
      </c>
      <c r="D2589" t="inlineStr">
        <is>
          <t>ÖSTERGÖTLANDS LÄN</t>
        </is>
      </c>
      <c r="E2589" t="inlineStr">
        <is>
          <t>LINKÖPING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60004-2020</t>
        </is>
      </c>
      <c r="B2590" s="1" t="n">
        <v>44151</v>
      </c>
      <c r="C2590" s="1" t="n">
        <v>45710</v>
      </c>
      <c r="D2590" t="inlineStr">
        <is>
          <t>ÖSTERGÖTLANDS LÄN</t>
        </is>
      </c>
      <c r="E2590" t="inlineStr">
        <is>
          <t>YDRE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59847-2020</t>
        </is>
      </c>
      <c r="B2591" s="1" t="n">
        <v>44151</v>
      </c>
      <c r="C2591" s="1" t="n">
        <v>45710</v>
      </c>
      <c r="D2591" t="inlineStr">
        <is>
          <t>ÖSTERGÖTLANDS LÄN</t>
        </is>
      </c>
      <c r="E2591" t="inlineStr">
        <is>
          <t>NORRKÖPING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59899-2020</t>
        </is>
      </c>
      <c r="B2592" s="1" t="n">
        <v>44151</v>
      </c>
      <c r="C2592" s="1" t="n">
        <v>45710</v>
      </c>
      <c r="D2592" t="inlineStr">
        <is>
          <t>ÖSTERGÖTLANDS LÄN</t>
        </is>
      </c>
      <c r="E2592" t="inlineStr">
        <is>
          <t>NORRKÖPING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59931-2020</t>
        </is>
      </c>
      <c r="B2593" s="1" t="n">
        <v>44151</v>
      </c>
      <c r="C2593" s="1" t="n">
        <v>45710</v>
      </c>
      <c r="D2593" t="inlineStr">
        <is>
          <t>ÖSTERGÖTLANDS LÄN</t>
        </is>
      </c>
      <c r="E2593" t="inlineStr">
        <is>
          <t>FINSPÅNG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59969-2020</t>
        </is>
      </c>
      <c r="B2594" s="1" t="n">
        <v>44151</v>
      </c>
      <c r="C2594" s="1" t="n">
        <v>45710</v>
      </c>
      <c r="D2594" t="inlineStr">
        <is>
          <t>ÖSTERGÖTLANDS LÄN</t>
        </is>
      </c>
      <c r="E2594" t="inlineStr">
        <is>
          <t>LINKÖPING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60139-2020</t>
        </is>
      </c>
      <c r="B2595" s="1" t="n">
        <v>44152</v>
      </c>
      <c r="C2595" s="1" t="n">
        <v>45710</v>
      </c>
      <c r="D2595" t="inlineStr">
        <is>
          <t>ÖSTERGÖTLANDS LÄN</t>
        </is>
      </c>
      <c r="E2595" t="inlineStr">
        <is>
          <t>MJÖLBY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60159-2020</t>
        </is>
      </c>
      <c r="B2596" s="1" t="n">
        <v>44152</v>
      </c>
      <c r="C2596" s="1" t="n">
        <v>45710</v>
      </c>
      <c r="D2596" t="inlineStr">
        <is>
          <t>ÖSTERGÖTLANDS LÄN</t>
        </is>
      </c>
      <c r="E2596" t="inlineStr">
        <is>
          <t>BOXHOLM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60210-2020</t>
        </is>
      </c>
      <c r="B2597" s="1" t="n">
        <v>44152</v>
      </c>
      <c r="C2597" s="1" t="n">
        <v>45710</v>
      </c>
      <c r="D2597" t="inlineStr">
        <is>
          <t>ÖSTERGÖTLANDS LÄN</t>
        </is>
      </c>
      <c r="E2597" t="inlineStr">
        <is>
          <t>NORRKÖPING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60165-2020</t>
        </is>
      </c>
      <c r="B2598" s="1" t="n">
        <v>44152</v>
      </c>
      <c r="C2598" s="1" t="n">
        <v>45710</v>
      </c>
      <c r="D2598" t="inlineStr">
        <is>
          <t>ÖSTERGÖTLANDS LÄN</t>
        </is>
      </c>
      <c r="E2598" t="inlineStr">
        <is>
          <t>VADSTENA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60129-2020</t>
        </is>
      </c>
      <c r="B2599" s="1" t="n">
        <v>44152</v>
      </c>
      <c r="C2599" s="1" t="n">
        <v>45710</v>
      </c>
      <c r="D2599" t="inlineStr">
        <is>
          <t>ÖSTERGÖTLANDS LÄN</t>
        </is>
      </c>
      <c r="E2599" t="inlineStr">
        <is>
          <t>LINKÖPING</t>
        </is>
      </c>
      <c r="F2599" t="inlineStr">
        <is>
          <t>Övriga statliga verk och myndigheter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60153-2020</t>
        </is>
      </c>
      <c r="B2600" s="1" t="n">
        <v>44152</v>
      </c>
      <c r="C2600" s="1" t="n">
        <v>45710</v>
      </c>
      <c r="D2600" t="inlineStr">
        <is>
          <t>ÖSTERGÖTLANDS LÄN</t>
        </is>
      </c>
      <c r="E2600" t="inlineStr">
        <is>
          <t>MJÖLBY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60175-2020</t>
        </is>
      </c>
      <c r="B2601" s="1" t="n">
        <v>44152</v>
      </c>
      <c r="C2601" s="1" t="n">
        <v>45710</v>
      </c>
      <c r="D2601" t="inlineStr">
        <is>
          <t>ÖSTERGÖTLANDS LÄN</t>
        </is>
      </c>
      <c r="E2601" t="inlineStr">
        <is>
          <t>BOXHOLM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60325-2020</t>
        </is>
      </c>
      <c r="B2602" s="1" t="n">
        <v>44152</v>
      </c>
      <c r="C2602" s="1" t="n">
        <v>45710</v>
      </c>
      <c r="D2602" t="inlineStr">
        <is>
          <t>ÖSTERGÖTLANDS LÄN</t>
        </is>
      </c>
      <c r="E2602" t="inlineStr">
        <is>
          <t>MOTALA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60286-2020</t>
        </is>
      </c>
      <c r="B2603" s="1" t="n">
        <v>44152</v>
      </c>
      <c r="C2603" s="1" t="n">
        <v>45710</v>
      </c>
      <c r="D2603" t="inlineStr">
        <is>
          <t>ÖSTERGÖTLANDS LÄN</t>
        </is>
      </c>
      <c r="E2603" t="inlineStr">
        <is>
          <t>ÖDESHÖG</t>
        </is>
      </c>
      <c r="F2603" t="inlineStr">
        <is>
          <t>Kyrkan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60634-2020</t>
        </is>
      </c>
      <c r="B2604" s="1" t="n">
        <v>44153</v>
      </c>
      <c r="C2604" s="1" t="n">
        <v>45710</v>
      </c>
      <c r="D2604" t="inlineStr">
        <is>
          <t>ÖSTERGÖTLANDS LÄN</t>
        </is>
      </c>
      <c r="E2604" t="inlineStr">
        <is>
          <t>LINKÖPING</t>
        </is>
      </c>
      <c r="F2604" t="inlineStr">
        <is>
          <t>Övriga Aktiebolag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61384-2020</t>
        </is>
      </c>
      <c r="B2605" s="1" t="n">
        <v>44155</v>
      </c>
      <c r="C2605" s="1" t="n">
        <v>45710</v>
      </c>
      <c r="D2605" t="inlineStr">
        <is>
          <t>ÖSTERGÖTLANDS LÄN</t>
        </is>
      </c>
      <c r="E2605" t="inlineStr">
        <is>
          <t>FINSPÅNG</t>
        </is>
      </c>
      <c r="G2605" t="n">
        <v>5.4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61262-2020</t>
        </is>
      </c>
      <c r="B2606" s="1" t="n">
        <v>44155</v>
      </c>
      <c r="C2606" s="1" t="n">
        <v>45710</v>
      </c>
      <c r="D2606" t="inlineStr">
        <is>
          <t>ÖSTERGÖTLANDS LÄN</t>
        </is>
      </c>
      <c r="E2606" t="inlineStr">
        <is>
          <t>FINSPÅNG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61707-2020</t>
        </is>
      </c>
      <c r="B2607" s="1" t="n">
        <v>44158</v>
      </c>
      <c r="C2607" s="1" t="n">
        <v>45710</v>
      </c>
      <c r="D2607" t="inlineStr">
        <is>
          <t>ÖSTERGÖTLANDS LÄN</t>
        </is>
      </c>
      <c r="E2607" t="inlineStr">
        <is>
          <t>NORRKÖPING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61785-2020</t>
        </is>
      </c>
      <c r="B2608" s="1" t="n">
        <v>44158</v>
      </c>
      <c r="C2608" s="1" t="n">
        <v>45710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61783-2020</t>
        </is>
      </c>
      <c r="B2609" s="1" t="n">
        <v>44158</v>
      </c>
      <c r="C2609" s="1" t="n">
        <v>45710</v>
      </c>
      <c r="D2609" t="inlineStr">
        <is>
          <t>ÖSTERGÖTLANDS LÄN</t>
        </is>
      </c>
      <c r="E2609" t="inlineStr">
        <is>
          <t>FINSPÅNG</t>
        </is>
      </c>
      <c r="G2609" t="n">
        <v>4.5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62135-2020</t>
        </is>
      </c>
      <c r="B2610" s="1" t="n">
        <v>44158</v>
      </c>
      <c r="C2610" s="1" t="n">
        <v>45710</v>
      </c>
      <c r="D2610" t="inlineStr">
        <is>
          <t>ÖSTERGÖTLANDS LÄN</t>
        </is>
      </c>
      <c r="E2610" t="inlineStr">
        <is>
          <t>MOTALA</t>
        </is>
      </c>
      <c r="G2610" t="n">
        <v>10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61782-2020</t>
        </is>
      </c>
      <c r="B2611" s="1" t="n">
        <v>44158</v>
      </c>
      <c r="C2611" s="1" t="n">
        <v>45710</v>
      </c>
      <c r="D2611" t="inlineStr">
        <is>
          <t>ÖSTERGÖTLANDS LÄN</t>
        </is>
      </c>
      <c r="E2611" t="inlineStr">
        <is>
          <t>FINSPÅNG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62117-2020</t>
        </is>
      </c>
      <c r="B2612" s="1" t="n">
        <v>44158</v>
      </c>
      <c r="C2612" s="1" t="n">
        <v>45710</v>
      </c>
      <c r="D2612" t="inlineStr">
        <is>
          <t>ÖSTERGÖTLANDS LÄN</t>
        </is>
      </c>
      <c r="E2612" t="inlineStr">
        <is>
          <t>BOXHOLM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61860-2020</t>
        </is>
      </c>
      <c r="B2613" s="1" t="n">
        <v>44159</v>
      </c>
      <c r="C2613" s="1" t="n">
        <v>45710</v>
      </c>
      <c r="D2613" t="inlineStr">
        <is>
          <t>ÖSTERGÖTLANDS LÄN</t>
        </is>
      </c>
      <c r="E2613" t="inlineStr">
        <is>
          <t>NORRKÖPING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61869-2020</t>
        </is>
      </c>
      <c r="B2614" s="1" t="n">
        <v>44159</v>
      </c>
      <c r="C2614" s="1" t="n">
        <v>45710</v>
      </c>
      <c r="D2614" t="inlineStr">
        <is>
          <t>ÖSTERGÖTLANDS LÄN</t>
        </is>
      </c>
      <c r="E2614" t="inlineStr">
        <is>
          <t>NORRKÖPING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61964-2020</t>
        </is>
      </c>
      <c r="B2615" s="1" t="n">
        <v>44159</v>
      </c>
      <c r="C2615" s="1" t="n">
        <v>45710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62096-2020</t>
        </is>
      </c>
      <c r="B2616" s="1" t="n">
        <v>44159</v>
      </c>
      <c r="C2616" s="1" t="n">
        <v>45710</v>
      </c>
      <c r="D2616" t="inlineStr">
        <is>
          <t>ÖSTERGÖTLANDS LÄN</t>
        </is>
      </c>
      <c r="E2616" t="inlineStr">
        <is>
          <t>MJÖLBY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62199-2020</t>
        </is>
      </c>
      <c r="B2617" s="1" t="n">
        <v>44159</v>
      </c>
      <c r="C2617" s="1" t="n">
        <v>45710</v>
      </c>
      <c r="D2617" t="inlineStr">
        <is>
          <t>ÖSTERGÖTLANDS LÄN</t>
        </is>
      </c>
      <c r="E2617" t="inlineStr">
        <is>
          <t>ÖDESHÖG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62207-2020</t>
        </is>
      </c>
      <c r="B2618" s="1" t="n">
        <v>44159</v>
      </c>
      <c r="C2618" s="1" t="n">
        <v>45710</v>
      </c>
      <c r="D2618" t="inlineStr">
        <is>
          <t>ÖSTERGÖTLANDS LÄN</t>
        </is>
      </c>
      <c r="E2618" t="inlineStr">
        <is>
          <t>ÖDESHÖG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62374-2020</t>
        </is>
      </c>
      <c r="B2619" s="1" t="n">
        <v>44159</v>
      </c>
      <c r="C2619" s="1" t="n">
        <v>45710</v>
      </c>
      <c r="D2619" t="inlineStr">
        <is>
          <t>ÖSTERGÖTLANDS LÄN</t>
        </is>
      </c>
      <c r="E2619" t="inlineStr">
        <is>
          <t>LINKÖPING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62271-2020</t>
        </is>
      </c>
      <c r="B2620" s="1" t="n">
        <v>44160</v>
      </c>
      <c r="C2620" s="1" t="n">
        <v>45710</v>
      </c>
      <c r="D2620" t="inlineStr">
        <is>
          <t>ÖSTERGÖTLANDS LÄN</t>
        </is>
      </c>
      <c r="E2620" t="inlineStr">
        <is>
          <t>ÅTVIDABERG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62413-2020</t>
        </is>
      </c>
      <c r="B2621" s="1" t="n">
        <v>44160</v>
      </c>
      <c r="C2621" s="1" t="n">
        <v>45710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62498-2020</t>
        </is>
      </c>
      <c r="B2622" s="1" t="n">
        <v>44160</v>
      </c>
      <c r="C2622" s="1" t="n">
        <v>45710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62436-2020</t>
        </is>
      </c>
      <c r="B2623" s="1" t="n">
        <v>44160</v>
      </c>
      <c r="C2623" s="1" t="n">
        <v>45710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62558-2020</t>
        </is>
      </c>
      <c r="B2624" s="1" t="n">
        <v>44160</v>
      </c>
      <c r="C2624" s="1" t="n">
        <v>45710</v>
      </c>
      <c r="D2624" t="inlineStr">
        <is>
          <t>ÖSTERGÖTLANDS LÄN</t>
        </is>
      </c>
      <c r="E2624" t="inlineStr">
        <is>
          <t>KINDA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62647-2020</t>
        </is>
      </c>
      <c r="B2625" s="1" t="n">
        <v>44161</v>
      </c>
      <c r="C2625" s="1" t="n">
        <v>45710</v>
      </c>
      <c r="D2625" t="inlineStr">
        <is>
          <t>ÖSTERGÖTLANDS LÄN</t>
        </is>
      </c>
      <c r="E2625" t="inlineStr">
        <is>
          <t>KINDA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62847-2020</t>
        </is>
      </c>
      <c r="B2626" s="1" t="n">
        <v>44161</v>
      </c>
      <c r="C2626" s="1" t="n">
        <v>45710</v>
      </c>
      <c r="D2626" t="inlineStr">
        <is>
          <t>ÖSTERGÖTLANDS LÄN</t>
        </is>
      </c>
      <c r="E2626" t="inlineStr">
        <is>
          <t>FINSPÅNG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62598-2020</t>
        </is>
      </c>
      <c r="B2627" s="1" t="n">
        <v>44161</v>
      </c>
      <c r="C2627" s="1" t="n">
        <v>45710</v>
      </c>
      <c r="D2627" t="inlineStr">
        <is>
          <t>ÖSTERGÖTLANDS LÄN</t>
        </is>
      </c>
      <c r="E2627" t="inlineStr">
        <is>
          <t>MOTALA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62800-2020</t>
        </is>
      </c>
      <c r="B2628" s="1" t="n">
        <v>44161</v>
      </c>
      <c r="C2628" s="1" t="n">
        <v>45710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62845-2020</t>
        </is>
      </c>
      <c r="B2629" s="1" t="n">
        <v>44161</v>
      </c>
      <c r="C2629" s="1" t="n">
        <v>45710</v>
      </c>
      <c r="D2629" t="inlineStr">
        <is>
          <t>ÖSTERGÖTLANDS LÄN</t>
        </is>
      </c>
      <c r="E2629" t="inlineStr">
        <is>
          <t>FINSPÅNG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62925-2020</t>
        </is>
      </c>
      <c r="B2630" s="1" t="n">
        <v>44162</v>
      </c>
      <c r="C2630" s="1" t="n">
        <v>45710</v>
      </c>
      <c r="D2630" t="inlineStr">
        <is>
          <t>ÖSTERGÖTLANDS LÄN</t>
        </is>
      </c>
      <c r="E2630" t="inlineStr">
        <is>
          <t>ÅTVIDABERG</t>
        </is>
      </c>
      <c r="F2630" t="inlineStr">
        <is>
          <t>Sveaskog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62976-2020</t>
        </is>
      </c>
      <c r="B2631" s="1" t="n">
        <v>44162</v>
      </c>
      <c r="C2631" s="1" t="n">
        <v>45710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62916-2020</t>
        </is>
      </c>
      <c r="B2632" s="1" t="n">
        <v>44162</v>
      </c>
      <c r="C2632" s="1" t="n">
        <v>45710</v>
      </c>
      <c r="D2632" t="inlineStr">
        <is>
          <t>ÖSTERGÖTLANDS LÄN</t>
        </is>
      </c>
      <c r="E2632" t="inlineStr">
        <is>
          <t>SÖDERKÖPING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62926-2020</t>
        </is>
      </c>
      <c r="B2633" s="1" t="n">
        <v>44162</v>
      </c>
      <c r="C2633" s="1" t="n">
        <v>45710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Sveaskog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63102-2020</t>
        </is>
      </c>
      <c r="B2634" s="1" t="n">
        <v>44162</v>
      </c>
      <c r="C2634" s="1" t="n">
        <v>45710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62924-2020</t>
        </is>
      </c>
      <c r="B2635" s="1" t="n">
        <v>44162</v>
      </c>
      <c r="C2635" s="1" t="n">
        <v>45710</v>
      </c>
      <c r="D2635" t="inlineStr">
        <is>
          <t>ÖSTERGÖTLANDS LÄN</t>
        </is>
      </c>
      <c r="E2635" t="inlineStr">
        <is>
          <t>SÖDERKÖPING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63208-2020</t>
        </is>
      </c>
      <c r="B2636" s="1" t="n">
        <v>44163</v>
      </c>
      <c r="C2636" s="1" t="n">
        <v>45710</v>
      </c>
      <c r="D2636" t="inlineStr">
        <is>
          <t>ÖSTERGÖTLANDS LÄN</t>
        </is>
      </c>
      <c r="E2636" t="inlineStr">
        <is>
          <t>NORRKÖPING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63263-2020</t>
        </is>
      </c>
      <c r="B2637" s="1" t="n">
        <v>44164</v>
      </c>
      <c r="C2637" s="1" t="n">
        <v>45710</v>
      </c>
      <c r="D2637" t="inlineStr">
        <is>
          <t>ÖSTERGÖTLANDS LÄN</t>
        </is>
      </c>
      <c r="E2637" t="inlineStr">
        <is>
          <t>KINDA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63269-2020</t>
        </is>
      </c>
      <c r="B2638" s="1" t="n">
        <v>44164</v>
      </c>
      <c r="C2638" s="1" t="n">
        <v>45710</v>
      </c>
      <c r="D2638" t="inlineStr">
        <is>
          <t>ÖSTERGÖTLANDS LÄN</t>
        </is>
      </c>
      <c r="E2638" t="inlineStr">
        <is>
          <t>MJÖLBY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63371-2020</t>
        </is>
      </c>
      <c r="B2639" s="1" t="n">
        <v>44165</v>
      </c>
      <c r="C2639" s="1" t="n">
        <v>45710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Holmen skog AB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63344-2020</t>
        </is>
      </c>
      <c r="B2640" s="1" t="n">
        <v>44165</v>
      </c>
      <c r="C2640" s="1" t="n">
        <v>45710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63333-2020</t>
        </is>
      </c>
      <c r="B2641" s="1" t="n">
        <v>44165</v>
      </c>
      <c r="C2641" s="1" t="n">
        <v>45710</v>
      </c>
      <c r="D2641" t="inlineStr">
        <is>
          <t>ÖSTERGÖTLANDS LÄN</t>
        </is>
      </c>
      <c r="E2641" t="inlineStr">
        <is>
          <t>ÖDESHÖG</t>
        </is>
      </c>
      <c r="F2641" t="inlineStr">
        <is>
          <t>Allmännings- och besparingsskogar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63407-2020</t>
        </is>
      </c>
      <c r="B2642" s="1" t="n">
        <v>44165</v>
      </c>
      <c r="C2642" s="1" t="n">
        <v>45710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63480-2020</t>
        </is>
      </c>
      <c r="B2643" s="1" t="n">
        <v>44165</v>
      </c>
      <c r="C2643" s="1" t="n">
        <v>45710</v>
      </c>
      <c r="D2643" t="inlineStr">
        <is>
          <t>ÖSTERGÖTLANDS LÄN</t>
        </is>
      </c>
      <c r="E2643" t="inlineStr">
        <is>
          <t>FINSPÅNG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63430-2020</t>
        </is>
      </c>
      <c r="B2644" s="1" t="n">
        <v>44165</v>
      </c>
      <c r="C2644" s="1" t="n">
        <v>45710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Aktiebolag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63848-2020</t>
        </is>
      </c>
      <c r="B2645" s="1" t="n">
        <v>44165</v>
      </c>
      <c r="C2645" s="1" t="n">
        <v>45710</v>
      </c>
      <c r="D2645" t="inlineStr">
        <is>
          <t>ÖSTERGÖTLANDS LÄN</t>
        </is>
      </c>
      <c r="E2645" t="inlineStr">
        <is>
          <t>KINDA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63863-2020</t>
        </is>
      </c>
      <c r="B2646" s="1" t="n">
        <v>44166</v>
      </c>
      <c r="C2646" s="1" t="n">
        <v>45710</v>
      </c>
      <c r="D2646" t="inlineStr">
        <is>
          <t>ÖSTERGÖTLANDS LÄN</t>
        </is>
      </c>
      <c r="E2646" t="inlineStr">
        <is>
          <t>ÅTVIDABERG</t>
        </is>
      </c>
      <c r="G2646" t="n">
        <v>5.2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64573-2020</t>
        </is>
      </c>
      <c r="B2647" s="1" t="n">
        <v>44166</v>
      </c>
      <c r="C2647" s="1" t="n">
        <v>45710</v>
      </c>
      <c r="D2647" t="inlineStr">
        <is>
          <t>ÖSTERGÖTLANDS LÄN</t>
        </is>
      </c>
      <c r="E2647" t="inlineStr">
        <is>
          <t>NORRKÖPING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64001-2020</t>
        </is>
      </c>
      <c r="B2648" s="1" t="n">
        <v>44167</v>
      </c>
      <c r="C2648" s="1" t="n">
        <v>45710</v>
      </c>
      <c r="D2648" t="inlineStr">
        <is>
          <t>ÖSTERGÖTLANDS LÄN</t>
        </is>
      </c>
      <c r="E2648" t="inlineStr">
        <is>
          <t>MOTALA</t>
        </is>
      </c>
      <c r="G2648" t="n">
        <v>6.6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64112-2020</t>
        </is>
      </c>
      <c r="B2649" s="1" t="n">
        <v>44167</v>
      </c>
      <c r="C2649" s="1" t="n">
        <v>45710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64121-2020</t>
        </is>
      </c>
      <c r="B2650" s="1" t="n">
        <v>44167</v>
      </c>
      <c r="C2650" s="1" t="n">
        <v>45710</v>
      </c>
      <c r="D2650" t="inlineStr">
        <is>
          <t>ÖSTERGÖTLANDS LÄN</t>
        </is>
      </c>
      <c r="E2650" t="inlineStr">
        <is>
          <t>MOTALA</t>
        </is>
      </c>
      <c r="G2650" t="n">
        <v>12.1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65047-2020</t>
        </is>
      </c>
      <c r="B2651" s="1" t="n">
        <v>44167</v>
      </c>
      <c r="C2651" s="1" t="n">
        <v>45710</v>
      </c>
      <c r="D2651" t="inlineStr">
        <is>
          <t>ÖSTERGÖTLANDS LÄN</t>
        </is>
      </c>
      <c r="E2651" t="inlineStr">
        <is>
          <t>KINDA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64708-2020</t>
        </is>
      </c>
      <c r="B2652" s="1" t="n">
        <v>44167</v>
      </c>
      <c r="C2652" s="1" t="n">
        <v>45710</v>
      </c>
      <c r="D2652" t="inlineStr">
        <is>
          <t>ÖSTERGÖTLANDS LÄN</t>
        </is>
      </c>
      <c r="E2652" t="inlineStr">
        <is>
          <t>MJÖLBY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64227-2020</t>
        </is>
      </c>
      <c r="B2653" s="1" t="n">
        <v>44168</v>
      </c>
      <c r="C2653" s="1" t="n">
        <v>45710</v>
      </c>
      <c r="D2653" t="inlineStr">
        <is>
          <t>ÖSTERGÖTLANDS LÄN</t>
        </is>
      </c>
      <c r="E2653" t="inlineStr">
        <is>
          <t>MJÖLBY</t>
        </is>
      </c>
      <c r="F2653" t="inlineStr">
        <is>
          <t>Sveaskog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64231-2020</t>
        </is>
      </c>
      <c r="B2654" s="1" t="n">
        <v>44168</v>
      </c>
      <c r="C2654" s="1" t="n">
        <v>45710</v>
      </c>
      <c r="D2654" t="inlineStr">
        <is>
          <t>ÖSTERGÖTLANDS LÄN</t>
        </is>
      </c>
      <c r="E2654" t="inlineStr">
        <is>
          <t>BOXHOLM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64295-2020</t>
        </is>
      </c>
      <c r="B2655" s="1" t="n">
        <v>44168</v>
      </c>
      <c r="C2655" s="1" t="n">
        <v>45710</v>
      </c>
      <c r="D2655" t="inlineStr">
        <is>
          <t>ÖSTERGÖTLANDS LÄN</t>
        </is>
      </c>
      <c r="E2655" t="inlineStr">
        <is>
          <t>KINDA</t>
        </is>
      </c>
      <c r="G2655" t="n">
        <v>2.9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64366-2020</t>
        </is>
      </c>
      <c r="B2656" s="1" t="n">
        <v>44168</v>
      </c>
      <c r="C2656" s="1" t="n">
        <v>45710</v>
      </c>
      <c r="D2656" t="inlineStr">
        <is>
          <t>ÖSTERGÖTLANDS LÄN</t>
        </is>
      </c>
      <c r="E2656" t="inlineStr">
        <is>
          <t>NORRKÖPING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64431-2020</t>
        </is>
      </c>
      <c r="B2657" s="1" t="n">
        <v>44168</v>
      </c>
      <c r="C2657" s="1" t="n">
        <v>45710</v>
      </c>
      <c r="D2657" t="inlineStr">
        <is>
          <t>ÖSTERGÖTLANDS LÄN</t>
        </is>
      </c>
      <c r="E2657" t="inlineStr">
        <is>
          <t>YDRE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64438-2020</t>
        </is>
      </c>
      <c r="B2658" s="1" t="n">
        <v>44168</v>
      </c>
      <c r="C2658" s="1" t="n">
        <v>45710</v>
      </c>
      <c r="D2658" t="inlineStr">
        <is>
          <t>ÖSTERGÖTLANDS LÄN</t>
        </is>
      </c>
      <c r="E2658" t="inlineStr">
        <is>
          <t>YDRE</t>
        </is>
      </c>
      <c r="G2658" t="n">
        <v>32.3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64428-2020</t>
        </is>
      </c>
      <c r="B2659" s="1" t="n">
        <v>44168</v>
      </c>
      <c r="C2659" s="1" t="n">
        <v>45710</v>
      </c>
      <c r="D2659" t="inlineStr">
        <is>
          <t>ÖSTERGÖTLANDS LÄN</t>
        </is>
      </c>
      <c r="E2659" t="inlineStr">
        <is>
          <t>YDRE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64436-2020</t>
        </is>
      </c>
      <c r="B2660" s="1" t="n">
        <v>44168</v>
      </c>
      <c r="C2660" s="1" t="n">
        <v>45710</v>
      </c>
      <c r="D2660" t="inlineStr">
        <is>
          <t>ÖSTERGÖTLANDS LÄN</t>
        </is>
      </c>
      <c r="E2660" t="inlineStr">
        <is>
          <t>KINDA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65380-2020</t>
        </is>
      </c>
      <c r="B2661" s="1" t="n">
        <v>44168</v>
      </c>
      <c r="C2661" s="1" t="n">
        <v>45710</v>
      </c>
      <c r="D2661" t="inlineStr">
        <is>
          <t>ÖSTERGÖTLANDS LÄN</t>
        </is>
      </c>
      <c r="E2661" t="inlineStr">
        <is>
          <t>YDRE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64561-2020</t>
        </is>
      </c>
      <c r="B2662" s="1" t="n">
        <v>44169</v>
      </c>
      <c r="C2662" s="1" t="n">
        <v>45710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64576-2020</t>
        </is>
      </c>
      <c r="B2663" s="1" t="n">
        <v>44169</v>
      </c>
      <c r="C2663" s="1" t="n">
        <v>45710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64617-2020</t>
        </is>
      </c>
      <c r="B2664" s="1" t="n">
        <v>44169</v>
      </c>
      <c r="C2664" s="1" t="n">
        <v>45710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64549-2020</t>
        </is>
      </c>
      <c r="B2665" s="1" t="n">
        <v>44169</v>
      </c>
      <c r="C2665" s="1" t="n">
        <v>45710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64788-2020</t>
        </is>
      </c>
      <c r="B2666" s="1" t="n">
        <v>44169</v>
      </c>
      <c r="C2666" s="1" t="n">
        <v>45710</v>
      </c>
      <c r="D2666" t="inlineStr">
        <is>
          <t>ÖSTERGÖTLANDS LÄN</t>
        </is>
      </c>
      <c r="E2666" t="inlineStr">
        <is>
          <t>NORRKÖPING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64894-2020</t>
        </is>
      </c>
      <c r="B2667" s="1" t="n">
        <v>44171</v>
      </c>
      <c r="C2667" s="1" t="n">
        <v>45710</v>
      </c>
      <c r="D2667" t="inlineStr">
        <is>
          <t>ÖSTERGÖTLANDS LÄN</t>
        </is>
      </c>
      <c r="E2667" t="inlineStr">
        <is>
          <t>KINDA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64893-2020</t>
        </is>
      </c>
      <c r="B2668" s="1" t="n">
        <v>44171</v>
      </c>
      <c r="C2668" s="1" t="n">
        <v>45710</v>
      </c>
      <c r="D2668" t="inlineStr">
        <is>
          <t>ÖSTERGÖTLANDS LÄN</t>
        </is>
      </c>
      <c r="E2668" t="inlineStr">
        <is>
          <t>KINDA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65234-2020</t>
        </is>
      </c>
      <c r="B2669" s="1" t="n">
        <v>44172</v>
      </c>
      <c r="C2669" s="1" t="n">
        <v>45710</v>
      </c>
      <c r="D2669" t="inlineStr">
        <is>
          <t>ÖSTERGÖTLANDS LÄN</t>
        </is>
      </c>
      <c r="E2669" t="inlineStr">
        <is>
          <t>FINSPÅNG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65237-2020</t>
        </is>
      </c>
      <c r="B2670" s="1" t="n">
        <v>44172</v>
      </c>
      <c r="C2670" s="1" t="n">
        <v>45710</v>
      </c>
      <c r="D2670" t="inlineStr">
        <is>
          <t>ÖSTERGÖTLANDS LÄN</t>
        </is>
      </c>
      <c r="E2670" t="inlineStr">
        <is>
          <t>FINSPÅNG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65231-2020</t>
        </is>
      </c>
      <c r="B2671" s="1" t="n">
        <v>44172</v>
      </c>
      <c r="C2671" s="1" t="n">
        <v>45710</v>
      </c>
      <c r="D2671" t="inlineStr">
        <is>
          <t>ÖSTERGÖTLANDS LÄN</t>
        </is>
      </c>
      <c r="E2671" t="inlineStr">
        <is>
          <t>KINDA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65726-2020</t>
        </is>
      </c>
      <c r="B2672" s="1" t="n">
        <v>44172</v>
      </c>
      <c r="C2672" s="1" t="n">
        <v>45710</v>
      </c>
      <c r="D2672" t="inlineStr">
        <is>
          <t>ÖSTERGÖTLANDS LÄN</t>
        </is>
      </c>
      <c r="E2672" t="inlineStr">
        <is>
          <t>VALDEMARSVIK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65720-2020</t>
        </is>
      </c>
      <c r="B2673" s="1" t="n">
        <v>44172</v>
      </c>
      <c r="C2673" s="1" t="n">
        <v>45710</v>
      </c>
      <c r="D2673" t="inlineStr">
        <is>
          <t>ÖSTERGÖTLANDS LÄN</t>
        </is>
      </c>
      <c r="E2673" t="inlineStr">
        <is>
          <t>VALDEMARSVIK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65710-2020</t>
        </is>
      </c>
      <c r="B2674" s="1" t="n">
        <v>44172</v>
      </c>
      <c r="C2674" s="1" t="n">
        <v>45710</v>
      </c>
      <c r="D2674" t="inlineStr">
        <is>
          <t>ÖSTERGÖTLANDS LÄN</t>
        </is>
      </c>
      <c r="E2674" t="inlineStr">
        <is>
          <t>VALDEMARSVIK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65584-2020</t>
        </is>
      </c>
      <c r="B2675" s="1" t="n">
        <v>44173</v>
      </c>
      <c r="C2675" s="1" t="n">
        <v>45710</v>
      </c>
      <c r="D2675" t="inlineStr">
        <is>
          <t>ÖSTERGÖTLANDS LÄN</t>
        </is>
      </c>
      <c r="E2675" t="inlineStr">
        <is>
          <t>MOTALA</t>
        </is>
      </c>
      <c r="G2675" t="n">
        <v>6.7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65372-2020</t>
        </is>
      </c>
      <c r="B2676" s="1" t="n">
        <v>44173</v>
      </c>
      <c r="C2676" s="1" t="n">
        <v>45710</v>
      </c>
      <c r="D2676" t="inlineStr">
        <is>
          <t>ÖSTERGÖTLANDS LÄN</t>
        </is>
      </c>
      <c r="E2676" t="inlineStr">
        <is>
          <t>MJÖLBY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65722-2020</t>
        </is>
      </c>
      <c r="B2677" s="1" t="n">
        <v>44174</v>
      </c>
      <c r="C2677" s="1" t="n">
        <v>45710</v>
      </c>
      <c r="D2677" t="inlineStr">
        <is>
          <t>ÖSTERGÖTLANDS LÄN</t>
        </is>
      </c>
      <c r="E2677" t="inlineStr">
        <is>
          <t>VALDEMARSVIK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65727-2020</t>
        </is>
      </c>
      <c r="B2678" s="1" t="n">
        <v>44174</v>
      </c>
      <c r="C2678" s="1" t="n">
        <v>45710</v>
      </c>
      <c r="D2678" t="inlineStr">
        <is>
          <t>ÖSTERGÖTLANDS LÄN</t>
        </is>
      </c>
      <c r="E2678" t="inlineStr">
        <is>
          <t>VALDEMARSVIK</t>
        </is>
      </c>
      <c r="G2678" t="n">
        <v>7.5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65741-2020</t>
        </is>
      </c>
      <c r="B2679" s="1" t="n">
        <v>44174</v>
      </c>
      <c r="C2679" s="1" t="n">
        <v>45710</v>
      </c>
      <c r="D2679" t="inlineStr">
        <is>
          <t>ÖSTERGÖTLANDS LÄN</t>
        </is>
      </c>
      <c r="E2679" t="inlineStr">
        <is>
          <t>VALDEMARSVIK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66180-2020</t>
        </is>
      </c>
      <c r="B2680" s="1" t="n">
        <v>44174</v>
      </c>
      <c r="C2680" s="1" t="n">
        <v>45710</v>
      </c>
      <c r="D2680" t="inlineStr">
        <is>
          <t>ÖSTERGÖTLANDS LÄN</t>
        </is>
      </c>
      <c r="E2680" t="inlineStr">
        <is>
          <t>VALDEMARSVIK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66182-2020</t>
        </is>
      </c>
      <c r="B2681" s="1" t="n">
        <v>44174</v>
      </c>
      <c r="C2681" s="1" t="n">
        <v>45710</v>
      </c>
      <c r="D2681" t="inlineStr">
        <is>
          <t>ÖSTERGÖTLANDS LÄN</t>
        </is>
      </c>
      <c r="E2681" t="inlineStr">
        <is>
          <t>VALDEMARSVIK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66381-2020</t>
        </is>
      </c>
      <c r="B2682" s="1" t="n">
        <v>44176</v>
      </c>
      <c r="C2682" s="1" t="n">
        <v>45710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Holmen skog AB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66870-2020</t>
        </is>
      </c>
      <c r="B2683" s="1" t="n">
        <v>44176</v>
      </c>
      <c r="C2683" s="1" t="n">
        <v>45710</v>
      </c>
      <c r="D2683" t="inlineStr">
        <is>
          <t>ÖSTERGÖTLANDS LÄN</t>
        </is>
      </c>
      <c r="E2683" t="inlineStr">
        <is>
          <t>ÅTVIDABERG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66382-2020</t>
        </is>
      </c>
      <c r="B2684" s="1" t="n">
        <v>44176</v>
      </c>
      <c r="C2684" s="1" t="n">
        <v>45710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66403-2020</t>
        </is>
      </c>
      <c r="B2685" s="1" t="n">
        <v>44176</v>
      </c>
      <c r="C2685" s="1" t="n">
        <v>45710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66351-2020</t>
        </is>
      </c>
      <c r="B2686" s="1" t="n">
        <v>44176</v>
      </c>
      <c r="C2686" s="1" t="n">
        <v>45710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66867-2020</t>
        </is>
      </c>
      <c r="B2687" s="1" t="n">
        <v>44176</v>
      </c>
      <c r="C2687" s="1" t="n">
        <v>45710</v>
      </c>
      <c r="D2687" t="inlineStr">
        <is>
          <t>ÖSTERGÖTLANDS LÄN</t>
        </is>
      </c>
      <c r="E2687" t="inlineStr">
        <is>
          <t>ÅTVIDABERG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67023-2020</t>
        </is>
      </c>
      <c r="B2688" s="1" t="n">
        <v>44176</v>
      </c>
      <c r="C2688" s="1" t="n">
        <v>45710</v>
      </c>
      <c r="D2688" t="inlineStr">
        <is>
          <t>ÖSTERGÖTLANDS LÄN</t>
        </is>
      </c>
      <c r="E2688" t="inlineStr">
        <is>
          <t>MOTALA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66476-2020</t>
        </is>
      </c>
      <c r="B2689" s="1" t="n">
        <v>44177</v>
      </c>
      <c r="C2689" s="1" t="n">
        <v>45710</v>
      </c>
      <c r="D2689" t="inlineStr">
        <is>
          <t>ÖSTERGÖTLANDS LÄN</t>
        </is>
      </c>
      <c r="E2689" t="inlineStr">
        <is>
          <t>NORRKÖPING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66475-2020</t>
        </is>
      </c>
      <c r="B2690" s="1" t="n">
        <v>44177</v>
      </c>
      <c r="C2690" s="1" t="n">
        <v>45710</v>
      </c>
      <c r="D2690" t="inlineStr">
        <is>
          <t>ÖSTERGÖTLANDS LÄN</t>
        </is>
      </c>
      <c r="E2690" t="inlineStr">
        <is>
          <t>NORRKÖPING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66478-2020</t>
        </is>
      </c>
      <c r="B2691" s="1" t="n">
        <v>44177</v>
      </c>
      <c r="C2691" s="1" t="n">
        <v>45710</v>
      </c>
      <c r="D2691" t="inlineStr">
        <is>
          <t>ÖSTERGÖTLANDS LÄN</t>
        </is>
      </c>
      <c r="E2691" t="inlineStr">
        <is>
          <t>NORRKÖPING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66716-2020</t>
        </is>
      </c>
      <c r="B2692" s="1" t="n">
        <v>44179</v>
      </c>
      <c r="C2692" s="1" t="n">
        <v>45710</v>
      </c>
      <c r="D2692" t="inlineStr">
        <is>
          <t>ÖSTERGÖTLANDS LÄN</t>
        </is>
      </c>
      <c r="E2692" t="inlineStr">
        <is>
          <t>YDRE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66970-2020</t>
        </is>
      </c>
      <c r="B2693" s="1" t="n">
        <v>44180</v>
      </c>
      <c r="C2693" s="1" t="n">
        <v>45710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statliga verk och myndigheter</t>
        </is>
      </c>
      <c r="G2693" t="n">
        <v>11.1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67138-2020</t>
        </is>
      </c>
      <c r="B2694" s="1" t="n">
        <v>44180</v>
      </c>
      <c r="C2694" s="1" t="n">
        <v>45710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10.9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67123-2020</t>
        </is>
      </c>
      <c r="B2695" s="1" t="n">
        <v>44180</v>
      </c>
      <c r="C2695" s="1" t="n">
        <v>45710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67129-2020</t>
        </is>
      </c>
      <c r="B2696" s="1" t="n">
        <v>44180</v>
      </c>
      <c r="C2696" s="1" t="n">
        <v>45710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67135-2020</t>
        </is>
      </c>
      <c r="B2697" s="1" t="n">
        <v>44180</v>
      </c>
      <c r="C2697" s="1" t="n">
        <v>45710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67208-2020</t>
        </is>
      </c>
      <c r="B2698" s="1" t="n">
        <v>44180</v>
      </c>
      <c r="C2698" s="1" t="n">
        <v>45710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67120-2020</t>
        </is>
      </c>
      <c r="B2699" s="1" t="n">
        <v>44180</v>
      </c>
      <c r="C2699" s="1" t="n">
        <v>45710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67358-2020</t>
        </is>
      </c>
      <c r="B2700" s="1" t="n">
        <v>44181</v>
      </c>
      <c r="C2700" s="1" t="n">
        <v>45710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67452-2020</t>
        </is>
      </c>
      <c r="B2701" s="1" t="n">
        <v>44181</v>
      </c>
      <c r="C2701" s="1" t="n">
        <v>45710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67502-2020</t>
        </is>
      </c>
      <c r="B2702" s="1" t="n">
        <v>44181</v>
      </c>
      <c r="C2702" s="1" t="n">
        <v>45710</v>
      </c>
      <c r="D2702" t="inlineStr">
        <is>
          <t>ÖSTERGÖTLANDS LÄN</t>
        </is>
      </c>
      <c r="E2702" t="inlineStr">
        <is>
          <t>VALDEMARSVIK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67364-2020</t>
        </is>
      </c>
      <c r="B2703" s="1" t="n">
        <v>44181</v>
      </c>
      <c r="C2703" s="1" t="n">
        <v>45710</v>
      </c>
      <c r="D2703" t="inlineStr">
        <is>
          <t>ÖSTERGÖTLANDS LÄN</t>
        </is>
      </c>
      <c r="E2703" t="inlineStr">
        <is>
          <t>YDRE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67578-2020</t>
        </is>
      </c>
      <c r="B2704" s="1" t="n">
        <v>44181</v>
      </c>
      <c r="C2704" s="1" t="n">
        <v>45710</v>
      </c>
      <c r="D2704" t="inlineStr">
        <is>
          <t>ÖSTERGÖTLANDS LÄN</t>
        </is>
      </c>
      <c r="E2704" t="inlineStr">
        <is>
          <t>FINSPÅNG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67255-2020</t>
        </is>
      </c>
      <c r="B2705" s="1" t="n">
        <v>44181</v>
      </c>
      <c r="C2705" s="1" t="n">
        <v>45710</v>
      </c>
      <c r="D2705" t="inlineStr">
        <is>
          <t>ÖSTERGÖTLANDS LÄN</t>
        </is>
      </c>
      <c r="E2705" t="inlineStr">
        <is>
          <t>ÅTVIDABERG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67473-2020</t>
        </is>
      </c>
      <c r="B2706" s="1" t="n">
        <v>44181</v>
      </c>
      <c r="C2706" s="1" t="n">
        <v>45710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67492-2020</t>
        </is>
      </c>
      <c r="B2707" s="1" t="n">
        <v>44181</v>
      </c>
      <c r="C2707" s="1" t="n">
        <v>45710</v>
      </c>
      <c r="D2707" t="inlineStr">
        <is>
          <t>ÖSTERGÖTLANDS LÄN</t>
        </is>
      </c>
      <c r="E2707" t="inlineStr">
        <is>
          <t>VALDEMARSVIK</t>
        </is>
      </c>
      <c r="G2707" t="n">
        <v>6.8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67525-2020</t>
        </is>
      </c>
      <c r="B2708" s="1" t="n">
        <v>44181</v>
      </c>
      <c r="C2708" s="1" t="n">
        <v>45710</v>
      </c>
      <c r="D2708" t="inlineStr">
        <is>
          <t>ÖSTERGÖTLANDS LÄN</t>
        </is>
      </c>
      <c r="E2708" t="inlineStr">
        <is>
          <t>VALDEMARSVIK</t>
        </is>
      </c>
      <c r="G2708" t="n">
        <v>20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67557-2020</t>
        </is>
      </c>
      <c r="B2709" s="1" t="n">
        <v>44181</v>
      </c>
      <c r="C2709" s="1" t="n">
        <v>45710</v>
      </c>
      <c r="D2709" t="inlineStr">
        <is>
          <t>ÖSTERGÖTLANDS LÄN</t>
        </is>
      </c>
      <c r="E2709" t="inlineStr">
        <is>
          <t>NORRKÖPING</t>
        </is>
      </c>
      <c r="G2709" t="n">
        <v>10.1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67794-2020</t>
        </is>
      </c>
      <c r="B2710" s="1" t="n">
        <v>44182</v>
      </c>
      <c r="C2710" s="1" t="n">
        <v>45710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67702-2020</t>
        </is>
      </c>
      <c r="B2711" s="1" t="n">
        <v>44182</v>
      </c>
      <c r="C2711" s="1" t="n">
        <v>45710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67737-2020</t>
        </is>
      </c>
      <c r="B2712" s="1" t="n">
        <v>44182</v>
      </c>
      <c r="C2712" s="1" t="n">
        <v>45710</v>
      </c>
      <c r="D2712" t="inlineStr">
        <is>
          <t>ÖSTERGÖTLANDS LÄN</t>
        </is>
      </c>
      <c r="E2712" t="inlineStr">
        <is>
          <t>ÖDESHÖG</t>
        </is>
      </c>
      <c r="G2712" t="n">
        <v>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67754-2020</t>
        </is>
      </c>
      <c r="B2713" s="1" t="n">
        <v>44182</v>
      </c>
      <c r="C2713" s="1" t="n">
        <v>45710</v>
      </c>
      <c r="D2713" t="inlineStr">
        <is>
          <t>ÖSTERGÖTLANDS LÄN</t>
        </is>
      </c>
      <c r="E2713" t="inlineStr">
        <is>
          <t>ÖDESHÖG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67746-2020</t>
        </is>
      </c>
      <c r="B2714" s="1" t="n">
        <v>44182</v>
      </c>
      <c r="C2714" s="1" t="n">
        <v>45710</v>
      </c>
      <c r="D2714" t="inlineStr">
        <is>
          <t>ÖSTERGÖTLANDS LÄN</t>
        </is>
      </c>
      <c r="E2714" t="inlineStr">
        <is>
          <t>ÖDESHÖG</t>
        </is>
      </c>
      <c r="G2714" t="n">
        <v>15.7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67937-2020</t>
        </is>
      </c>
      <c r="B2715" s="1" t="n">
        <v>44182</v>
      </c>
      <c r="C2715" s="1" t="n">
        <v>45710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67956-2020</t>
        </is>
      </c>
      <c r="B2716" s="1" t="n">
        <v>44182</v>
      </c>
      <c r="C2716" s="1" t="n">
        <v>45710</v>
      </c>
      <c r="D2716" t="inlineStr">
        <is>
          <t>ÖSTERGÖTLANDS LÄN</t>
        </is>
      </c>
      <c r="E2716" t="inlineStr">
        <is>
          <t>ÖDESHÖG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67963-2020</t>
        </is>
      </c>
      <c r="B2717" s="1" t="n">
        <v>44182</v>
      </c>
      <c r="C2717" s="1" t="n">
        <v>45710</v>
      </c>
      <c r="D2717" t="inlineStr">
        <is>
          <t>ÖSTERGÖTLANDS LÄN</t>
        </is>
      </c>
      <c r="E2717" t="inlineStr">
        <is>
          <t>ÖDESHÖG</t>
        </is>
      </c>
      <c r="G2717" t="n">
        <v>9.699999999999999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68182-2020</t>
        </is>
      </c>
      <c r="B2718" s="1" t="n">
        <v>44183</v>
      </c>
      <c r="C2718" s="1" t="n">
        <v>45710</v>
      </c>
      <c r="D2718" t="inlineStr">
        <is>
          <t>ÖSTERGÖTLANDS LÄN</t>
        </is>
      </c>
      <c r="E2718" t="inlineStr">
        <is>
          <t>YDRE</t>
        </is>
      </c>
      <c r="F2718" t="inlineStr">
        <is>
          <t>Sveaskog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68538-2020</t>
        </is>
      </c>
      <c r="B2719" s="1" t="n">
        <v>44186</v>
      </c>
      <c r="C2719" s="1" t="n">
        <v>45710</v>
      </c>
      <c r="D2719" t="inlineStr">
        <is>
          <t>ÖSTERGÖTLANDS LÄN</t>
        </is>
      </c>
      <c r="E2719" t="inlineStr">
        <is>
          <t>YDRE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68560-2020</t>
        </is>
      </c>
      <c r="B2720" s="1" t="n">
        <v>44186</v>
      </c>
      <c r="C2720" s="1" t="n">
        <v>45710</v>
      </c>
      <c r="D2720" t="inlineStr">
        <is>
          <t>ÖSTERGÖTLANDS LÄN</t>
        </is>
      </c>
      <c r="E2720" t="inlineStr">
        <is>
          <t>MOTALA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68601-2020</t>
        </is>
      </c>
      <c r="B2721" s="1" t="n">
        <v>44186</v>
      </c>
      <c r="C2721" s="1" t="n">
        <v>45710</v>
      </c>
      <c r="D2721" t="inlineStr">
        <is>
          <t>ÖSTERGÖTLANDS LÄN</t>
        </is>
      </c>
      <c r="E2721" t="inlineStr">
        <is>
          <t>SÖDERKÖPING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68826-2020</t>
        </is>
      </c>
      <c r="B2722" s="1" t="n">
        <v>44187</v>
      </c>
      <c r="C2722" s="1" t="n">
        <v>45710</v>
      </c>
      <c r="D2722" t="inlineStr">
        <is>
          <t>ÖSTERGÖTLANDS LÄN</t>
        </is>
      </c>
      <c r="E2722" t="inlineStr">
        <is>
          <t>BOXHOLM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68808-2020</t>
        </is>
      </c>
      <c r="B2723" s="1" t="n">
        <v>44187</v>
      </c>
      <c r="C2723" s="1" t="n">
        <v>45710</v>
      </c>
      <c r="D2723" t="inlineStr">
        <is>
          <t>ÖSTERGÖTLANDS LÄN</t>
        </is>
      </c>
      <c r="E2723" t="inlineStr">
        <is>
          <t>YDRE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68850-2020</t>
        </is>
      </c>
      <c r="B2724" s="1" t="n">
        <v>44187</v>
      </c>
      <c r="C2724" s="1" t="n">
        <v>45710</v>
      </c>
      <c r="D2724" t="inlineStr">
        <is>
          <t>ÖSTERGÖTLANDS LÄN</t>
        </is>
      </c>
      <c r="E2724" t="inlineStr">
        <is>
          <t>KINDA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69128-2020</t>
        </is>
      </c>
      <c r="B2725" s="1" t="n">
        <v>44188</v>
      </c>
      <c r="C2725" s="1" t="n">
        <v>45710</v>
      </c>
      <c r="D2725" t="inlineStr">
        <is>
          <t>ÖSTERGÖTLANDS LÄN</t>
        </is>
      </c>
      <c r="E2725" t="inlineStr">
        <is>
          <t>MJÖLBY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69227-2020</t>
        </is>
      </c>
      <c r="B2726" s="1" t="n">
        <v>44192</v>
      </c>
      <c r="C2726" s="1" t="n">
        <v>45710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Allmännings- och besparingsskogar</t>
        </is>
      </c>
      <c r="G2726" t="n">
        <v>11.8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69310-2020</t>
        </is>
      </c>
      <c r="B2727" s="1" t="n">
        <v>44193</v>
      </c>
      <c r="C2727" s="1" t="n">
        <v>45710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69327-2020</t>
        </is>
      </c>
      <c r="B2728" s="1" t="n">
        <v>44193</v>
      </c>
      <c r="C2728" s="1" t="n">
        <v>45710</v>
      </c>
      <c r="D2728" t="inlineStr">
        <is>
          <t>ÖSTERGÖTLANDS LÄN</t>
        </is>
      </c>
      <c r="E2728" t="inlineStr">
        <is>
          <t>BOXHOLM</t>
        </is>
      </c>
      <c r="F2728" t="inlineStr">
        <is>
          <t>Övriga Aktiebolag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69377-2020</t>
        </is>
      </c>
      <c r="B2729" s="1" t="n">
        <v>44193</v>
      </c>
      <c r="C2729" s="1" t="n">
        <v>45710</v>
      </c>
      <c r="D2729" t="inlineStr">
        <is>
          <t>ÖSTERGÖTLANDS LÄN</t>
        </is>
      </c>
      <c r="E2729" t="inlineStr">
        <is>
          <t>FINSPÅNG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69395-2020</t>
        </is>
      </c>
      <c r="B2730" s="1" t="n">
        <v>44193</v>
      </c>
      <c r="C2730" s="1" t="n">
        <v>45710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69386-2020</t>
        </is>
      </c>
      <c r="B2731" s="1" t="n">
        <v>44193</v>
      </c>
      <c r="C2731" s="1" t="n">
        <v>45710</v>
      </c>
      <c r="D2731" t="inlineStr">
        <is>
          <t>ÖSTERGÖTLANDS LÄN</t>
        </is>
      </c>
      <c r="E2731" t="inlineStr">
        <is>
          <t>FINSPÅNG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69484-2020</t>
        </is>
      </c>
      <c r="B2732" s="1" t="n">
        <v>44194</v>
      </c>
      <c r="C2732" s="1" t="n">
        <v>45710</v>
      </c>
      <c r="D2732" t="inlineStr">
        <is>
          <t>ÖSTERGÖTLANDS LÄN</t>
        </is>
      </c>
      <c r="E2732" t="inlineStr">
        <is>
          <t>MOTALA</t>
        </is>
      </c>
      <c r="F2732" t="inlineStr">
        <is>
          <t>Sveaskog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69570-2020</t>
        </is>
      </c>
      <c r="B2733" s="1" t="n">
        <v>44194</v>
      </c>
      <c r="C2733" s="1" t="n">
        <v>45710</v>
      </c>
      <c r="D2733" t="inlineStr">
        <is>
          <t>ÖSTERGÖTLANDS LÄN</t>
        </is>
      </c>
      <c r="E2733" t="inlineStr">
        <is>
          <t>MJÖLBY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218-2021</t>
        </is>
      </c>
      <c r="B2734" s="1" t="n">
        <v>44200</v>
      </c>
      <c r="C2734" s="1" t="n">
        <v>45710</v>
      </c>
      <c r="D2734" t="inlineStr">
        <is>
          <t>ÖSTERGÖTLANDS LÄN</t>
        </is>
      </c>
      <c r="E2734" t="inlineStr">
        <is>
          <t>YDRE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262-2021</t>
        </is>
      </c>
      <c r="B2735" s="1" t="n">
        <v>44200</v>
      </c>
      <c r="C2735" s="1" t="n">
        <v>45710</v>
      </c>
      <c r="D2735" t="inlineStr">
        <is>
          <t>ÖSTERGÖTLANDS LÄN</t>
        </is>
      </c>
      <c r="E2735" t="inlineStr">
        <is>
          <t>LINKÖPING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268-2021</t>
        </is>
      </c>
      <c r="B2736" s="1" t="n">
        <v>44200</v>
      </c>
      <c r="C2736" s="1" t="n">
        <v>45710</v>
      </c>
      <c r="D2736" t="inlineStr">
        <is>
          <t>ÖSTERGÖTLANDS LÄN</t>
        </is>
      </c>
      <c r="E2736" t="inlineStr">
        <is>
          <t>MOTALA</t>
        </is>
      </c>
      <c r="F2736" t="inlineStr">
        <is>
          <t>Övriga statliga verk och myndigheter</t>
        </is>
      </c>
      <c r="G2736" t="n">
        <v>5.3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240-2021</t>
        </is>
      </c>
      <c r="B2737" s="1" t="n">
        <v>44200</v>
      </c>
      <c r="C2737" s="1" t="n">
        <v>45710</v>
      </c>
      <c r="D2737" t="inlineStr">
        <is>
          <t>ÖSTERGÖTLANDS LÄN</t>
        </is>
      </c>
      <c r="E2737" t="inlineStr">
        <is>
          <t>MJÖLBY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261-2021</t>
        </is>
      </c>
      <c r="B2738" s="1" t="n">
        <v>44200</v>
      </c>
      <c r="C2738" s="1" t="n">
        <v>45710</v>
      </c>
      <c r="D2738" t="inlineStr">
        <is>
          <t>ÖSTERGÖTLANDS LÄN</t>
        </is>
      </c>
      <c r="E2738" t="inlineStr">
        <is>
          <t>LINKÖPING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267-2021</t>
        </is>
      </c>
      <c r="B2739" s="1" t="n">
        <v>44200</v>
      </c>
      <c r="C2739" s="1" t="n">
        <v>45710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Övriga statliga verk och myndigheter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384-2021</t>
        </is>
      </c>
      <c r="B2740" s="1" t="n">
        <v>44201</v>
      </c>
      <c r="C2740" s="1" t="n">
        <v>45710</v>
      </c>
      <c r="D2740" t="inlineStr">
        <is>
          <t>ÖSTERGÖTLANDS LÄN</t>
        </is>
      </c>
      <c r="E2740" t="inlineStr">
        <is>
          <t>LINKÖPING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398-2021</t>
        </is>
      </c>
      <c r="B2741" s="1" t="n">
        <v>44201</v>
      </c>
      <c r="C2741" s="1" t="n">
        <v>45710</v>
      </c>
      <c r="D2741" t="inlineStr">
        <is>
          <t>ÖSTERGÖTLANDS LÄN</t>
        </is>
      </c>
      <c r="E2741" t="inlineStr">
        <is>
          <t>LINKÖPING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491-2021</t>
        </is>
      </c>
      <c r="B2742" s="1" t="n">
        <v>44203</v>
      </c>
      <c r="C2742" s="1" t="n">
        <v>45710</v>
      </c>
      <c r="D2742" t="inlineStr">
        <is>
          <t>ÖSTERGÖTLANDS LÄN</t>
        </is>
      </c>
      <c r="E2742" t="inlineStr">
        <is>
          <t>KINDA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594-2021</t>
        </is>
      </c>
      <c r="B2743" s="1" t="n">
        <v>44203</v>
      </c>
      <c r="C2743" s="1" t="n">
        <v>45710</v>
      </c>
      <c r="D2743" t="inlineStr">
        <is>
          <t>ÖSTERGÖTLANDS LÄN</t>
        </is>
      </c>
      <c r="E2743" t="inlineStr">
        <is>
          <t>FINSPÅNG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496-2021</t>
        </is>
      </c>
      <c r="B2744" s="1" t="n">
        <v>44203</v>
      </c>
      <c r="C2744" s="1" t="n">
        <v>45710</v>
      </c>
      <c r="D2744" t="inlineStr">
        <is>
          <t>ÖSTERGÖTLANDS LÄN</t>
        </is>
      </c>
      <c r="E2744" t="inlineStr">
        <is>
          <t>KINDA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507-2021</t>
        </is>
      </c>
      <c r="B2745" s="1" t="n">
        <v>44203</v>
      </c>
      <c r="C2745" s="1" t="n">
        <v>45710</v>
      </c>
      <c r="D2745" t="inlineStr">
        <is>
          <t>ÖSTERGÖTLANDS LÄN</t>
        </is>
      </c>
      <c r="E2745" t="inlineStr">
        <is>
          <t>VALDEMARSVIK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595-2021</t>
        </is>
      </c>
      <c r="B2746" s="1" t="n">
        <v>44203</v>
      </c>
      <c r="C2746" s="1" t="n">
        <v>45710</v>
      </c>
      <c r="D2746" t="inlineStr">
        <is>
          <t>ÖSTERGÖTLANDS LÄN</t>
        </is>
      </c>
      <c r="E2746" t="inlineStr">
        <is>
          <t>FINSPÅNG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608-2021</t>
        </is>
      </c>
      <c r="B2747" s="1" t="n">
        <v>44203</v>
      </c>
      <c r="C2747" s="1" t="n">
        <v>45710</v>
      </c>
      <c r="D2747" t="inlineStr">
        <is>
          <t>ÖSTERGÖTLANDS LÄN</t>
        </is>
      </c>
      <c r="E2747" t="inlineStr">
        <is>
          <t>FINSPÅNG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500-2021</t>
        </is>
      </c>
      <c r="B2748" s="1" t="n">
        <v>44203</v>
      </c>
      <c r="C2748" s="1" t="n">
        <v>45710</v>
      </c>
      <c r="D2748" t="inlineStr">
        <is>
          <t>ÖSTERGÖTLANDS LÄN</t>
        </is>
      </c>
      <c r="E2748" t="inlineStr">
        <is>
          <t>KINDA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586-2021</t>
        </is>
      </c>
      <c r="B2749" s="1" t="n">
        <v>44203</v>
      </c>
      <c r="C2749" s="1" t="n">
        <v>45710</v>
      </c>
      <c r="D2749" t="inlineStr">
        <is>
          <t>ÖSTERGÖTLANDS LÄN</t>
        </is>
      </c>
      <c r="E2749" t="inlineStr">
        <is>
          <t>FINSPÅNG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531-2021</t>
        </is>
      </c>
      <c r="B2750" s="1" t="n">
        <v>44203</v>
      </c>
      <c r="C2750" s="1" t="n">
        <v>45710</v>
      </c>
      <c r="D2750" t="inlineStr">
        <is>
          <t>ÖSTERGÖTLANDS LÄN</t>
        </is>
      </c>
      <c r="E2750" t="inlineStr">
        <is>
          <t>YDRE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1128-2021</t>
        </is>
      </c>
      <c r="B2751" s="1" t="n">
        <v>44207</v>
      </c>
      <c r="C2751" s="1" t="n">
        <v>45710</v>
      </c>
      <c r="D2751" t="inlineStr">
        <is>
          <t>ÖSTERGÖTLANDS LÄN</t>
        </is>
      </c>
      <c r="E2751" t="inlineStr">
        <is>
          <t>ÅTVIDABERG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918-2021</t>
        </is>
      </c>
      <c r="B2752" s="1" t="n">
        <v>44207</v>
      </c>
      <c r="C2752" s="1" t="n">
        <v>45710</v>
      </c>
      <c r="D2752" t="inlineStr">
        <is>
          <t>ÖSTERGÖTLANDS LÄN</t>
        </is>
      </c>
      <c r="E2752" t="inlineStr">
        <is>
          <t>ÅTVIDABERG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1161-2021</t>
        </is>
      </c>
      <c r="B2753" s="1" t="n">
        <v>44207</v>
      </c>
      <c r="C2753" s="1" t="n">
        <v>45710</v>
      </c>
      <c r="D2753" t="inlineStr">
        <is>
          <t>ÖSTERGÖTLANDS LÄN</t>
        </is>
      </c>
      <c r="E2753" t="inlineStr">
        <is>
          <t>KINDA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1248-2021</t>
        </is>
      </c>
      <c r="B2754" s="1" t="n">
        <v>44208</v>
      </c>
      <c r="C2754" s="1" t="n">
        <v>45710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1217-2021</t>
        </is>
      </c>
      <c r="B2755" s="1" t="n">
        <v>44208</v>
      </c>
      <c r="C2755" s="1" t="n">
        <v>45710</v>
      </c>
      <c r="D2755" t="inlineStr">
        <is>
          <t>ÖSTERGÖTLANDS LÄN</t>
        </is>
      </c>
      <c r="E2755" t="inlineStr">
        <is>
          <t>NORRKÖPING</t>
        </is>
      </c>
      <c r="G2755" t="n">
        <v>6.1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1275-2021</t>
        </is>
      </c>
      <c r="B2756" s="1" t="n">
        <v>44208</v>
      </c>
      <c r="C2756" s="1" t="n">
        <v>45710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1440-2021</t>
        </is>
      </c>
      <c r="B2757" s="1" t="n">
        <v>44208</v>
      </c>
      <c r="C2757" s="1" t="n">
        <v>45710</v>
      </c>
      <c r="D2757" t="inlineStr">
        <is>
          <t>ÖSTERGÖTLANDS LÄN</t>
        </is>
      </c>
      <c r="E2757" t="inlineStr">
        <is>
          <t>LINKÖPING</t>
        </is>
      </c>
      <c r="G2757" t="n">
        <v>8.4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1514-2021</t>
        </is>
      </c>
      <c r="B2758" s="1" t="n">
        <v>44209</v>
      </c>
      <c r="C2758" s="1" t="n">
        <v>45710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1660-2021</t>
        </is>
      </c>
      <c r="B2759" s="1" t="n">
        <v>44209</v>
      </c>
      <c r="C2759" s="1" t="n">
        <v>45710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1674-2021</t>
        </is>
      </c>
      <c r="B2760" s="1" t="n">
        <v>44209</v>
      </c>
      <c r="C2760" s="1" t="n">
        <v>45710</v>
      </c>
      <c r="D2760" t="inlineStr">
        <is>
          <t>ÖSTERGÖTLANDS LÄN</t>
        </is>
      </c>
      <c r="E2760" t="inlineStr">
        <is>
          <t>FINSPÅNG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1702-2021</t>
        </is>
      </c>
      <c r="B2761" s="1" t="n">
        <v>44209</v>
      </c>
      <c r="C2761" s="1" t="n">
        <v>45710</v>
      </c>
      <c r="D2761" t="inlineStr">
        <is>
          <t>ÖSTERGÖTLANDS LÄN</t>
        </is>
      </c>
      <c r="E2761" t="inlineStr">
        <is>
          <t>ÖDESHÖG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1781-2021</t>
        </is>
      </c>
      <c r="B2762" s="1" t="n">
        <v>44210</v>
      </c>
      <c r="C2762" s="1" t="n">
        <v>45710</v>
      </c>
      <c r="D2762" t="inlineStr">
        <is>
          <t>ÖSTERGÖTLANDS LÄN</t>
        </is>
      </c>
      <c r="E2762" t="inlineStr">
        <is>
          <t>ÅTVIDABERG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1803-2021</t>
        </is>
      </c>
      <c r="B2763" s="1" t="n">
        <v>44210</v>
      </c>
      <c r="C2763" s="1" t="n">
        <v>45710</v>
      </c>
      <c r="D2763" t="inlineStr">
        <is>
          <t>ÖSTERGÖTLANDS LÄN</t>
        </is>
      </c>
      <c r="E2763" t="inlineStr">
        <is>
          <t>ÅTVIDABERG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2132-2021</t>
        </is>
      </c>
      <c r="B2764" s="1" t="n">
        <v>44211</v>
      </c>
      <c r="C2764" s="1" t="n">
        <v>45710</v>
      </c>
      <c r="D2764" t="inlineStr">
        <is>
          <t>ÖSTERGÖTLANDS LÄN</t>
        </is>
      </c>
      <c r="E2764" t="inlineStr">
        <is>
          <t>YDRE</t>
        </is>
      </c>
      <c r="F2764" t="inlineStr">
        <is>
          <t>Sveaskog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2081-2021</t>
        </is>
      </c>
      <c r="B2765" s="1" t="n">
        <v>44211</v>
      </c>
      <c r="C2765" s="1" t="n">
        <v>45710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2265-2021</t>
        </is>
      </c>
      <c r="B2766" s="1" t="n">
        <v>44211</v>
      </c>
      <c r="C2766" s="1" t="n">
        <v>45710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2266-2021</t>
        </is>
      </c>
      <c r="B2767" s="1" t="n">
        <v>44211</v>
      </c>
      <c r="C2767" s="1" t="n">
        <v>45710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2261-2021</t>
        </is>
      </c>
      <c r="B2768" s="1" t="n">
        <v>44211</v>
      </c>
      <c r="C2768" s="1" t="n">
        <v>45710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2267-2021</t>
        </is>
      </c>
      <c r="B2769" s="1" t="n">
        <v>44211</v>
      </c>
      <c r="C2769" s="1" t="n">
        <v>45710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2264-2021</t>
        </is>
      </c>
      <c r="B2770" s="1" t="n">
        <v>44211</v>
      </c>
      <c r="C2770" s="1" t="n">
        <v>45710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2268-2021</t>
        </is>
      </c>
      <c r="B2771" s="1" t="n">
        <v>44211</v>
      </c>
      <c r="C2771" s="1" t="n">
        <v>45710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2331-2021</t>
        </is>
      </c>
      <c r="B2772" s="1" t="n">
        <v>44211</v>
      </c>
      <c r="C2772" s="1" t="n">
        <v>45710</v>
      </c>
      <c r="D2772" t="inlineStr">
        <is>
          <t>ÖSTERGÖTLANDS LÄN</t>
        </is>
      </c>
      <c r="E2772" t="inlineStr">
        <is>
          <t>YDRE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2300-2021</t>
        </is>
      </c>
      <c r="B2773" s="1" t="n">
        <v>44212</v>
      </c>
      <c r="C2773" s="1" t="n">
        <v>45710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2329-2021</t>
        </is>
      </c>
      <c r="B2774" s="1" t="n">
        <v>44214</v>
      </c>
      <c r="C2774" s="1" t="n">
        <v>45710</v>
      </c>
      <c r="D2774" t="inlineStr">
        <is>
          <t>ÖSTERGÖTLANDS LÄN</t>
        </is>
      </c>
      <c r="E2774" t="inlineStr">
        <is>
          <t>FINSPÅNG</t>
        </is>
      </c>
      <c r="G2774" t="n">
        <v>7.3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2330-2021</t>
        </is>
      </c>
      <c r="B2775" s="1" t="n">
        <v>44214</v>
      </c>
      <c r="C2775" s="1" t="n">
        <v>45710</v>
      </c>
      <c r="D2775" t="inlineStr">
        <is>
          <t>ÖSTERGÖTLANDS LÄN</t>
        </is>
      </c>
      <c r="E2775" t="inlineStr">
        <is>
          <t>FINSPÅNG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2492-2021</t>
        </is>
      </c>
      <c r="B2776" s="1" t="n">
        <v>44214</v>
      </c>
      <c r="C2776" s="1" t="n">
        <v>45710</v>
      </c>
      <c r="D2776" t="inlineStr">
        <is>
          <t>ÖSTERGÖTLANDS LÄN</t>
        </is>
      </c>
      <c r="E2776" t="inlineStr">
        <is>
          <t>VALDEMARSVIK</t>
        </is>
      </c>
      <c r="G2776" t="n">
        <v>5.9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2582-2021</t>
        </is>
      </c>
      <c r="B2777" s="1" t="n">
        <v>44214</v>
      </c>
      <c r="C2777" s="1" t="n">
        <v>45710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2592-2021</t>
        </is>
      </c>
      <c r="B2778" s="1" t="n">
        <v>44214</v>
      </c>
      <c r="C2778" s="1" t="n">
        <v>45710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2581-2021</t>
        </is>
      </c>
      <c r="B2779" s="1" t="n">
        <v>44214</v>
      </c>
      <c r="C2779" s="1" t="n">
        <v>45710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2587-2021</t>
        </is>
      </c>
      <c r="B2780" s="1" t="n">
        <v>44214</v>
      </c>
      <c r="C2780" s="1" t="n">
        <v>45710</v>
      </c>
      <c r="D2780" t="inlineStr">
        <is>
          <t>ÖSTERGÖTLANDS LÄN</t>
        </is>
      </c>
      <c r="E2780" t="inlineStr">
        <is>
          <t>ÅTVIDABERG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2638-2021</t>
        </is>
      </c>
      <c r="B2781" s="1" t="n">
        <v>44215</v>
      </c>
      <c r="C2781" s="1" t="n">
        <v>45710</v>
      </c>
      <c r="D2781" t="inlineStr">
        <is>
          <t>ÖSTERGÖTLANDS LÄN</t>
        </is>
      </c>
      <c r="E2781" t="inlineStr">
        <is>
          <t>NORRKÖPING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2740-2021</t>
        </is>
      </c>
      <c r="B2782" s="1" t="n">
        <v>44215</v>
      </c>
      <c r="C2782" s="1" t="n">
        <v>45710</v>
      </c>
      <c r="D2782" t="inlineStr">
        <is>
          <t>ÖSTERGÖTLANDS LÄN</t>
        </is>
      </c>
      <c r="E2782" t="inlineStr">
        <is>
          <t>FINSPÅNG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3183-2021</t>
        </is>
      </c>
      <c r="B2783" s="1" t="n">
        <v>44215</v>
      </c>
      <c r="C2783" s="1" t="n">
        <v>45710</v>
      </c>
      <c r="D2783" t="inlineStr">
        <is>
          <t>ÖSTERGÖTLANDS LÄN</t>
        </is>
      </c>
      <c r="E2783" t="inlineStr">
        <is>
          <t>KINDA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3001-2021</t>
        </is>
      </c>
      <c r="B2784" s="1" t="n">
        <v>44216</v>
      </c>
      <c r="C2784" s="1" t="n">
        <v>45710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3040-2021</t>
        </is>
      </c>
      <c r="B2785" s="1" t="n">
        <v>44216</v>
      </c>
      <c r="C2785" s="1" t="n">
        <v>45710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3057-2021</t>
        </is>
      </c>
      <c r="B2786" s="1" t="n">
        <v>44216</v>
      </c>
      <c r="C2786" s="1" t="n">
        <v>45710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3079-2021</t>
        </is>
      </c>
      <c r="B2787" s="1" t="n">
        <v>44216</v>
      </c>
      <c r="C2787" s="1" t="n">
        <v>45710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2997-2021</t>
        </is>
      </c>
      <c r="B2788" s="1" t="n">
        <v>44216</v>
      </c>
      <c r="C2788" s="1" t="n">
        <v>45710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3055-2021</t>
        </is>
      </c>
      <c r="B2789" s="1" t="n">
        <v>44216</v>
      </c>
      <c r="C2789" s="1" t="n">
        <v>45710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3088-2021</t>
        </is>
      </c>
      <c r="B2790" s="1" t="n">
        <v>44216</v>
      </c>
      <c r="C2790" s="1" t="n">
        <v>45710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3173-2021</t>
        </is>
      </c>
      <c r="B2791" s="1" t="n">
        <v>44216</v>
      </c>
      <c r="C2791" s="1" t="n">
        <v>45710</v>
      </c>
      <c r="D2791" t="inlineStr">
        <is>
          <t>ÖSTERGÖTLANDS LÄN</t>
        </is>
      </c>
      <c r="E2791" t="inlineStr">
        <is>
          <t>MJÖLBY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3528-2021</t>
        </is>
      </c>
      <c r="B2792" s="1" t="n">
        <v>44216</v>
      </c>
      <c r="C2792" s="1" t="n">
        <v>45710</v>
      </c>
      <c r="D2792" t="inlineStr">
        <is>
          <t>ÖSTERGÖTLANDS LÄN</t>
        </is>
      </c>
      <c r="E2792" t="inlineStr">
        <is>
          <t>KINDA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3153-2021</t>
        </is>
      </c>
      <c r="B2793" s="1" t="n">
        <v>44217</v>
      </c>
      <c r="C2793" s="1" t="n">
        <v>45710</v>
      </c>
      <c r="D2793" t="inlineStr">
        <is>
          <t>ÖSTERGÖTLANDS LÄN</t>
        </is>
      </c>
      <c r="E2793" t="inlineStr">
        <is>
          <t>NORRKÖPING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3199-2021</t>
        </is>
      </c>
      <c r="B2794" s="1" t="n">
        <v>44217</v>
      </c>
      <c r="C2794" s="1" t="n">
        <v>45710</v>
      </c>
      <c r="D2794" t="inlineStr">
        <is>
          <t>ÖSTERGÖTLANDS LÄN</t>
        </is>
      </c>
      <c r="E2794" t="inlineStr">
        <is>
          <t>YDRE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3324-2021</t>
        </is>
      </c>
      <c r="B2795" s="1" t="n">
        <v>44217</v>
      </c>
      <c r="C2795" s="1" t="n">
        <v>45710</v>
      </c>
      <c r="D2795" t="inlineStr">
        <is>
          <t>ÖSTERGÖTLANDS LÄN</t>
        </is>
      </c>
      <c r="E2795" t="inlineStr">
        <is>
          <t>FINSPÅNG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3416-2021</t>
        </is>
      </c>
      <c r="B2796" s="1" t="n">
        <v>44218</v>
      </c>
      <c r="C2796" s="1" t="n">
        <v>45710</v>
      </c>
      <c r="D2796" t="inlineStr">
        <is>
          <t>ÖSTERGÖTLANDS LÄN</t>
        </is>
      </c>
      <c r="E2796" t="inlineStr">
        <is>
          <t>FINSPÅNG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3484-2021</t>
        </is>
      </c>
      <c r="B2797" s="1" t="n">
        <v>44218</v>
      </c>
      <c r="C2797" s="1" t="n">
        <v>45710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3503-2021</t>
        </is>
      </c>
      <c r="B2798" s="1" t="n">
        <v>44218</v>
      </c>
      <c r="C2798" s="1" t="n">
        <v>45710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3437-2021</t>
        </is>
      </c>
      <c r="B2799" s="1" t="n">
        <v>44218</v>
      </c>
      <c r="C2799" s="1" t="n">
        <v>45710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3496-2021</t>
        </is>
      </c>
      <c r="B2800" s="1" t="n">
        <v>44218</v>
      </c>
      <c r="C2800" s="1" t="n">
        <v>45710</v>
      </c>
      <c r="D2800" t="inlineStr">
        <is>
          <t>ÖSTERGÖTLANDS LÄN</t>
        </is>
      </c>
      <c r="E2800" t="inlineStr">
        <is>
          <t>LINKÖPING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3552-2021</t>
        </is>
      </c>
      <c r="B2801" s="1" t="n">
        <v>44218</v>
      </c>
      <c r="C2801" s="1" t="n">
        <v>45710</v>
      </c>
      <c r="D2801" t="inlineStr">
        <is>
          <t>ÖSTERGÖTLANDS LÄN</t>
        </is>
      </c>
      <c r="E2801" t="inlineStr">
        <is>
          <t>KINDA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3558-2021</t>
        </is>
      </c>
      <c r="B2802" s="1" t="n">
        <v>44218</v>
      </c>
      <c r="C2802" s="1" t="n">
        <v>45710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3398-2021</t>
        </is>
      </c>
      <c r="B2803" s="1" t="n">
        <v>44218</v>
      </c>
      <c r="C2803" s="1" t="n">
        <v>45710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3393-2021</t>
        </is>
      </c>
      <c r="B2804" s="1" t="n">
        <v>44218</v>
      </c>
      <c r="C2804" s="1" t="n">
        <v>45710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3430-2021</t>
        </is>
      </c>
      <c r="B2805" s="1" t="n">
        <v>44218</v>
      </c>
      <c r="C2805" s="1" t="n">
        <v>45710</v>
      </c>
      <c r="D2805" t="inlineStr">
        <is>
          <t>ÖSTERGÖTLANDS LÄN</t>
        </is>
      </c>
      <c r="E2805" t="inlineStr">
        <is>
          <t>KINDA</t>
        </is>
      </c>
      <c r="F2805" t="inlineStr">
        <is>
          <t>Sveaskog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4207-2021</t>
        </is>
      </c>
      <c r="B2806" s="1" t="n">
        <v>44218</v>
      </c>
      <c r="C2806" s="1" t="n">
        <v>45710</v>
      </c>
      <c r="D2806" t="inlineStr">
        <is>
          <t>ÖSTERGÖTLANDS LÄN</t>
        </is>
      </c>
      <c r="E2806" t="inlineStr">
        <is>
          <t>MOTALA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3362-2021</t>
        </is>
      </c>
      <c r="B2807" s="1" t="n">
        <v>44218</v>
      </c>
      <c r="C2807" s="1" t="n">
        <v>45710</v>
      </c>
      <c r="D2807" t="inlineStr">
        <is>
          <t>ÖSTERGÖTLANDS LÄN</t>
        </is>
      </c>
      <c r="E2807" t="inlineStr">
        <is>
          <t>LINKÖPING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3556-2021</t>
        </is>
      </c>
      <c r="B2808" s="1" t="n">
        <v>44218</v>
      </c>
      <c r="C2808" s="1" t="n">
        <v>45710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3577-2021</t>
        </is>
      </c>
      <c r="B2809" s="1" t="n">
        <v>44219</v>
      </c>
      <c r="C2809" s="1" t="n">
        <v>45710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3578-2021</t>
        </is>
      </c>
      <c r="B2810" s="1" t="n">
        <v>44219</v>
      </c>
      <c r="C2810" s="1" t="n">
        <v>45710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3679-2021</t>
        </is>
      </c>
      <c r="B2811" s="1" t="n">
        <v>44221</v>
      </c>
      <c r="C2811" s="1" t="n">
        <v>45710</v>
      </c>
      <c r="D2811" t="inlineStr">
        <is>
          <t>ÖSTERGÖTLANDS LÄN</t>
        </is>
      </c>
      <c r="E2811" t="inlineStr">
        <is>
          <t>LINKÖPING</t>
        </is>
      </c>
      <c r="F2811" t="inlineStr">
        <is>
          <t>Övriga Aktiebolag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3700-2021</t>
        </is>
      </c>
      <c r="B2812" s="1" t="n">
        <v>44221</v>
      </c>
      <c r="C2812" s="1" t="n">
        <v>45710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3793-2021</t>
        </is>
      </c>
      <c r="B2813" s="1" t="n">
        <v>44221</v>
      </c>
      <c r="C2813" s="1" t="n">
        <v>45710</v>
      </c>
      <c r="D2813" t="inlineStr">
        <is>
          <t>ÖSTERGÖTLANDS LÄN</t>
        </is>
      </c>
      <c r="E2813" t="inlineStr">
        <is>
          <t>SÖDERKÖPING</t>
        </is>
      </c>
      <c r="F2813" t="inlineStr">
        <is>
          <t>Allmännings- och besparingsskogar</t>
        </is>
      </c>
      <c r="G2813" t="n">
        <v>11.7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3762-2021</t>
        </is>
      </c>
      <c r="B2814" s="1" t="n">
        <v>44221</v>
      </c>
      <c r="C2814" s="1" t="n">
        <v>45710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Naturvårdsverket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3742-2021</t>
        </is>
      </c>
      <c r="B2815" s="1" t="n">
        <v>44221</v>
      </c>
      <c r="C2815" s="1" t="n">
        <v>45710</v>
      </c>
      <c r="D2815" t="inlineStr">
        <is>
          <t>ÖSTERGÖTLANDS LÄN</t>
        </is>
      </c>
      <c r="E2815" t="inlineStr">
        <is>
          <t>LINKÖPING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3862-2021</t>
        </is>
      </c>
      <c r="B2816" s="1" t="n">
        <v>44221</v>
      </c>
      <c r="C2816" s="1" t="n">
        <v>45710</v>
      </c>
      <c r="D2816" t="inlineStr">
        <is>
          <t>ÖSTERGÖTLANDS LÄN</t>
        </is>
      </c>
      <c r="E2816" t="inlineStr">
        <is>
          <t>LINKÖPING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4210-2021</t>
        </is>
      </c>
      <c r="B2817" s="1" t="n">
        <v>44221</v>
      </c>
      <c r="C2817" s="1" t="n">
        <v>45710</v>
      </c>
      <c r="D2817" t="inlineStr">
        <is>
          <t>ÖSTERGÖTLANDS LÄN</t>
        </is>
      </c>
      <c r="E2817" t="inlineStr">
        <is>
          <t>NORRKÖPING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4271-2021</t>
        </is>
      </c>
      <c r="B2818" s="1" t="n">
        <v>44221</v>
      </c>
      <c r="C2818" s="1" t="n">
        <v>45710</v>
      </c>
      <c r="D2818" t="inlineStr">
        <is>
          <t>ÖSTERGÖTLANDS LÄN</t>
        </is>
      </c>
      <c r="E2818" t="inlineStr">
        <is>
          <t>NORRKÖPING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4280-2021</t>
        </is>
      </c>
      <c r="B2819" s="1" t="n">
        <v>44221</v>
      </c>
      <c r="C2819" s="1" t="n">
        <v>45710</v>
      </c>
      <c r="D2819" t="inlineStr">
        <is>
          <t>ÖSTERGÖTLANDS LÄN</t>
        </is>
      </c>
      <c r="E2819" t="inlineStr">
        <is>
          <t>KINDA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3961-2021</t>
        </is>
      </c>
      <c r="B2820" s="1" t="n">
        <v>44222</v>
      </c>
      <c r="C2820" s="1" t="n">
        <v>45710</v>
      </c>
      <c r="D2820" t="inlineStr">
        <is>
          <t>ÖSTERGÖTLANDS LÄN</t>
        </is>
      </c>
      <c r="E2820" t="inlineStr">
        <is>
          <t>LINKÖPING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4020-2021</t>
        </is>
      </c>
      <c r="B2821" s="1" t="n">
        <v>44222</v>
      </c>
      <c r="C2821" s="1" t="n">
        <v>45710</v>
      </c>
      <c r="D2821" t="inlineStr">
        <is>
          <t>ÖSTERGÖTLANDS LÄN</t>
        </is>
      </c>
      <c r="E2821" t="inlineStr">
        <is>
          <t>VALDEMARSVIK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4060-2021</t>
        </is>
      </c>
      <c r="B2822" s="1" t="n">
        <v>44222</v>
      </c>
      <c r="C2822" s="1" t="n">
        <v>45710</v>
      </c>
      <c r="D2822" t="inlineStr">
        <is>
          <t>ÖSTERGÖTLANDS LÄN</t>
        </is>
      </c>
      <c r="E2822" t="inlineStr">
        <is>
          <t>BOXHOLM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4377-2021</t>
        </is>
      </c>
      <c r="B2823" s="1" t="n">
        <v>44223</v>
      </c>
      <c r="C2823" s="1" t="n">
        <v>45710</v>
      </c>
      <c r="D2823" t="inlineStr">
        <is>
          <t>ÖSTERGÖTLANDS LÄN</t>
        </is>
      </c>
      <c r="E2823" t="inlineStr">
        <is>
          <t>LINKÖPING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4308-2021</t>
        </is>
      </c>
      <c r="B2824" s="1" t="n">
        <v>44223</v>
      </c>
      <c r="C2824" s="1" t="n">
        <v>45710</v>
      </c>
      <c r="D2824" t="inlineStr">
        <is>
          <t>ÖSTERGÖTLANDS LÄN</t>
        </is>
      </c>
      <c r="E2824" t="inlineStr">
        <is>
          <t>SÖDERKÖPING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4331-2021</t>
        </is>
      </c>
      <c r="B2825" s="1" t="n">
        <v>44223</v>
      </c>
      <c r="C2825" s="1" t="n">
        <v>45710</v>
      </c>
      <c r="D2825" t="inlineStr">
        <is>
          <t>ÖSTERGÖTLANDS LÄN</t>
        </is>
      </c>
      <c r="E2825" t="inlineStr">
        <is>
          <t>KINDA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4382-2021</t>
        </is>
      </c>
      <c r="B2826" s="1" t="n">
        <v>44223</v>
      </c>
      <c r="C2826" s="1" t="n">
        <v>45710</v>
      </c>
      <c r="D2826" t="inlineStr">
        <is>
          <t>ÖSTERGÖTLANDS LÄN</t>
        </is>
      </c>
      <c r="E2826" t="inlineStr">
        <is>
          <t>LINKÖPING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4326-2021</t>
        </is>
      </c>
      <c r="B2827" s="1" t="n">
        <v>44223</v>
      </c>
      <c r="C2827" s="1" t="n">
        <v>45710</v>
      </c>
      <c r="D2827" t="inlineStr">
        <is>
          <t>ÖSTERGÖTLANDS LÄN</t>
        </is>
      </c>
      <c r="E2827" t="inlineStr">
        <is>
          <t>KINDA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4237-2021</t>
        </is>
      </c>
      <c r="B2828" s="1" t="n">
        <v>44223</v>
      </c>
      <c r="C2828" s="1" t="n">
        <v>45710</v>
      </c>
      <c r="D2828" t="inlineStr">
        <is>
          <t>ÖSTERGÖTLANDS LÄN</t>
        </is>
      </c>
      <c r="E2828" t="inlineStr">
        <is>
          <t>FINSPÅNG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4740-2021</t>
        </is>
      </c>
      <c r="B2829" s="1" t="n">
        <v>44225</v>
      </c>
      <c r="C2829" s="1" t="n">
        <v>45710</v>
      </c>
      <c r="D2829" t="inlineStr">
        <is>
          <t>ÖSTERGÖTLANDS LÄN</t>
        </is>
      </c>
      <c r="E2829" t="inlineStr">
        <is>
          <t>MJÖLBY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4721-2021</t>
        </is>
      </c>
      <c r="B2830" s="1" t="n">
        <v>44225</v>
      </c>
      <c r="C2830" s="1" t="n">
        <v>45710</v>
      </c>
      <c r="D2830" t="inlineStr">
        <is>
          <t>ÖSTERGÖTLANDS LÄN</t>
        </is>
      </c>
      <c r="E2830" t="inlineStr">
        <is>
          <t>BOXHOLM</t>
        </is>
      </c>
      <c r="G2830" t="n">
        <v>4.2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4852-2021</t>
        </is>
      </c>
      <c r="B2831" s="1" t="n">
        <v>44225</v>
      </c>
      <c r="C2831" s="1" t="n">
        <v>45710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4929-2021</t>
        </is>
      </c>
      <c r="B2832" s="1" t="n">
        <v>44227</v>
      </c>
      <c r="C2832" s="1" t="n">
        <v>45710</v>
      </c>
      <c r="D2832" t="inlineStr">
        <is>
          <t>ÖSTERGÖTLANDS LÄN</t>
        </is>
      </c>
      <c r="E2832" t="inlineStr">
        <is>
          <t>LINKÖPING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4927-2021</t>
        </is>
      </c>
      <c r="B2833" s="1" t="n">
        <v>44227</v>
      </c>
      <c r="C2833" s="1" t="n">
        <v>45710</v>
      </c>
      <c r="D2833" t="inlineStr">
        <is>
          <t>ÖSTERGÖTLANDS LÄN</t>
        </is>
      </c>
      <c r="E2833" t="inlineStr">
        <is>
          <t>LINKÖPING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4955-2021</t>
        </is>
      </c>
      <c r="B2834" s="1" t="n">
        <v>44228</v>
      </c>
      <c r="C2834" s="1" t="n">
        <v>45710</v>
      </c>
      <c r="D2834" t="inlineStr">
        <is>
          <t>ÖSTERGÖTLANDS LÄN</t>
        </is>
      </c>
      <c r="E2834" t="inlineStr">
        <is>
          <t>FINSPÅNG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4971-2021</t>
        </is>
      </c>
      <c r="B2835" s="1" t="n">
        <v>44228</v>
      </c>
      <c r="C2835" s="1" t="n">
        <v>45710</v>
      </c>
      <c r="D2835" t="inlineStr">
        <is>
          <t>ÖSTERGÖTLANDS LÄN</t>
        </is>
      </c>
      <c r="E2835" t="inlineStr">
        <is>
          <t>MJÖLBY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5008-2021</t>
        </is>
      </c>
      <c r="B2836" s="1" t="n">
        <v>44228</v>
      </c>
      <c r="C2836" s="1" t="n">
        <v>45710</v>
      </c>
      <c r="D2836" t="inlineStr">
        <is>
          <t>ÖSTERGÖTLANDS LÄN</t>
        </is>
      </c>
      <c r="E2836" t="inlineStr">
        <is>
          <t>LINKÖPING</t>
        </is>
      </c>
      <c r="F2836" t="inlineStr">
        <is>
          <t>Övriga Aktiebolag</t>
        </is>
      </c>
      <c r="G2836" t="n">
        <v>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5142-2021</t>
        </is>
      </c>
      <c r="B2837" s="1" t="n">
        <v>44228</v>
      </c>
      <c r="C2837" s="1" t="n">
        <v>45710</v>
      </c>
      <c r="D2837" t="inlineStr">
        <is>
          <t>ÖSTERGÖTLANDS LÄN</t>
        </is>
      </c>
      <c r="E2837" t="inlineStr">
        <is>
          <t>MJÖLBY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5290-2021</t>
        </is>
      </c>
      <c r="B2838" s="1" t="n">
        <v>44229</v>
      </c>
      <c r="C2838" s="1" t="n">
        <v>45710</v>
      </c>
      <c r="D2838" t="inlineStr">
        <is>
          <t>ÖSTERGÖTLANDS LÄN</t>
        </is>
      </c>
      <c r="E2838" t="inlineStr">
        <is>
          <t>LINKÖPING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5314-2021</t>
        </is>
      </c>
      <c r="B2839" s="1" t="n">
        <v>44229</v>
      </c>
      <c r="C2839" s="1" t="n">
        <v>45710</v>
      </c>
      <c r="D2839" t="inlineStr">
        <is>
          <t>ÖSTERGÖTLANDS LÄN</t>
        </is>
      </c>
      <c r="E2839" t="inlineStr">
        <is>
          <t>LINKÖPING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5512-2021</t>
        </is>
      </c>
      <c r="B2840" s="1" t="n">
        <v>44229</v>
      </c>
      <c r="C2840" s="1" t="n">
        <v>45710</v>
      </c>
      <c r="D2840" t="inlineStr">
        <is>
          <t>ÖSTERGÖTLANDS LÄN</t>
        </is>
      </c>
      <c r="E2840" t="inlineStr">
        <is>
          <t>MJÖLBY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5549-2021</t>
        </is>
      </c>
      <c r="B2841" s="1" t="n">
        <v>44230</v>
      </c>
      <c r="C2841" s="1" t="n">
        <v>45710</v>
      </c>
      <c r="D2841" t="inlineStr">
        <is>
          <t>ÖSTERGÖTLANDS LÄN</t>
        </is>
      </c>
      <c r="E2841" t="inlineStr">
        <is>
          <t>ÅTVIDABERG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5832-2021</t>
        </is>
      </c>
      <c r="B2842" s="1" t="n">
        <v>44231</v>
      </c>
      <c r="C2842" s="1" t="n">
        <v>45710</v>
      </c>
      <c r="D2842" t="inlineStr">
        <is>
          <t>ÖSTERGÖTLANDS LÄN</t>
        </is>
      </c>
      <c r="E2842" t="inlineStr">
        <is>
          <t>ÖDESHÖG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6337-2021</t>
        </is>
      </c>
      <c r="B2843" s="1" t="n">
        <v>44232</v>
      </c>
      <c r="C2843" s="1" t="n">
        <v>45710</v>
      </c>
      <c r="D2843" t="inlineStr">
        <is>
          <t>ÖSTERGÖTLANDS LÄN</t>
        </is>
      </c>
      <c r="E2843" t="inlineStr">
        <is>
          <t>ÅTVIDABERG</t>
        </is>
      </c>
      <c r="F2843" t="inlineStr">
        <is>
          <t>Övriga Aktiebolag</t>
        </is>
      </c>
      <c r="G2843" t="n">
        <v>8.5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6314-2021</t>
        </is>
      </c>
      <c r="B2844" s="1" t="n">
        <v>44232</v>
      </c>
      <c r="C2844" s="1" t="n">
        <v>45710</v>
      </c>
      <c r="D2844" t="inlineStr">
        <is>
          <t>ÖSTERGÖTLANDS LÄN</t>
        </is>
      </c>
      <c r="E2844" t="inlineStr">
        <is>
          <t>ÅTVIDABERG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6342-2021</t>
        </is>
      </c>
      <c r="B2845" s="1" t="n">
        <v>44232</v>
      </c>
      <c r="C2845" s="1" t="n">
        <v>45710</v>
      </c>
      <c r="D2845" t="inlineStr">
        <is>
          <t>ÖSTERGÖTLANDS LÄN</t>
        </is>
      </c>
      <c r="E2845" t="inlineStr">
        <is>
          <t>ÅTVIDABERG</t>
        </is>
      </c>
      <c r="F2845" t="inlineStr">
        <is>
          <t>Övriga Aktiebolag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6614-2021</t>
        </is>
      </c>
      <c r="B2846" s="1" t="n">
        <v>44236</v>
      </c>
      <c r="C2846" s="1" t="n">
        <v>45710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6647-2021</t>
        </is>
      </c>
      <c r="B2847" s="1" t="n">
        <v>44236</v>
      </c>
      <c r="C2847" s="1" t="n">
        <v>45710</v>
      </c>
      <c r="D2847" t="inlineStr">
        <is>
          <t>ÖSTERGÖTLANDS LÄN</t>
        </is>
      </c>
      <c r="E2847" t="inlineStr">
        <is>
          <t>KINDA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6680-2021</t>
        </is>
      </c>
      <c r="B2848" s="1" t="n">
        <v>44236</v>
      </c>
      <c r="C2848" s="1" t="n">
        <v>45710</v>
      </c>
      <c r="D2848" t="inlineStr">
        <is>
          <t>ÖSTERGÖTLANDS LÄN</t>
        </is>
      </c>
      <c r="E2848" t="inlineStr">
        <is>
          <t>ÅTVIDABERG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6833-2021</t>
        </is>
      </c>
      <c r="B2849" s="1" t="n">
        <v>44237</v>
      </c>
      <c r="C2849" s="1" t="n">
        <v>45710</v>
      </c>
      <c r="D2849" t="inlineStr">
        <is>
          <t>ÖSTERGÖTLANDS LÄN</t>
        </is>
      </c>
      <c r="E2849" t="inlineStr">
        <is>
          <t>NORRKÖPING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6921-2021</t>
        </is>
      </c>
      <c r="B2850" s="1" t="n">
        <v>44237</v>
      </c>
      <c r="C2850" s="1" t="n">
        <v>45710</v>
      </c>
      <c r="D2850" t="inlineStr">
        <is>
          <t>ÖSTERGÖTLANDS LÄN</t>
        </is>
      </c>
      <c r="E2850" t="inlineStr">
        <is>
          <t>MJÖLBY</t>
        </is>
      </c>
      <c r="G2850" t="n">
        <v>27.5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6894-2021</t>
        </is>
      </c>
      <c r="B2851" s="1" t="n">
        <v>44237</v>
      </c>
      <c r="C2851" s="1" t="n">
        <v>45710</v>
      </c>
      <c r="D2851" t="inlineStr">
        <is>
          <t>ÖSTERGÖTLANDS LÄN</t>
        </is>
      </c>
      <c r="E2851" t="inlineStr">
        <is>
          <t>BOXHOLM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6844-2021</t>
        </is>
      </c>
      <c r="B2852" s="1" t="n">
        <v>44237</v>
      </c>
      <c r="C2852" s="1" t="n">
        <v>45710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6957-2021</t>
        </is>
      </c>
      <c r="B2853" s="1" t="n">
        <v>44237</v>
      </c>
      <c r="C2853" s="1" t="n">
        <v>45710</v>
      </c>
      <c r="D2853" t="inlineStr">
        <is>
          <t>ÖSTERGÖTLANDS LÄN</t>
        </is>
      </c>
      <c r="E2853" t="inlineStr">
        <is>
          <t>LINKÖPING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6958-2021</t>
        </is>
      </c>
      <c r="B2854" s="1" t="n">
        <v>44237</v>
      </c>
      <c r="C2854" s="1" t="n">
        <v>45710</v>
      </c>
      <c r="D2854" t="inlineStr">
        <is>
          <t>ÖSTERGÖTLANDS LÄN</t>
        </is>
      </c>
      <c r="E2854" t="inlineStr">
        <is>
          <t>LINKÖPING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7203-2021</t>
        </is>
      </c>
      <c r="B2855" s="1" t="n">
        <v>44238</v>
      </c>
      <c r="C2855" s="1" t="n">
        <v>45710</v>
      </c>
      <c r="D2855" t="inlineStr">
        <is>
          <t>ÖSTERGÖTLANDS LÄN</t>
        </is>
      </c>
      <c r="E2855" t="inlineStr">
        <is>
          <t>ÅTVIDABERG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7204-2021</t>
        </is>
      </c>
      <c r="B2856" s="1" t="n">
        <v>44238</v>
      </c>
      <c r="C2856" s="1" t="n">
        <v>45710</v>
      </c>
      <c r="D2856" t="inlineStr">
        <is>
          <t>ÖSTERGÖTLANDS LÄN</t>
        </is>
      </c>
      <c r="E2856" t="inlineStr">
        <is>
          <t>ÅTVIDABERG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7289-2021</t>
        </is>
      </c>
      <c r="B2857" s="1" t="n">
        <v>44238</v>
      </c>
      <c r="C2857" s="1" t="n">
        <v>45710</v>
      </c>
      <c r="D2857" t="inlineStr">
        <is>
          <t>ÖSTERGÖTLANDS LÄN</t>
        </is>
      </c>
      <c r="E2857" t="inlineStr">
        <is>
          <t>LINKÖPING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7242-2021</t>
        </is>
      </c>
      <c r="B2858" s="1" t="n">
        <v>44238</v>
      </c>
      <c r="C2858" s="1" t="n">
        <v>45710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7543-2021</t>
        </is>
      </c>
      <c r="B2859" s="1" t="n">
        <v>44239</v>
      </c>
      <c r="C2859" s="1" t="n">
        <v>45710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7713-2021</t>
        </is>
      </c>
      <c r="B2860" s="1" t="n">
        <v>44239</v>
      </c>
      <c r="C2860" s="1" t="n">
        <v>45710</v>
      </c>
      <c r="D2860" t="inlineStr">
        <is>
          <t>ÖSTERGÖTLANDS LÄN</t>
        </is>
      </c>
      <c r="E2860" t="inlineStr">
        <is>
          <t>KINDA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7649-2021</t>
        </is>
      </c>
      <c r="B2861" s="1" t="n">
        <v>44242</v>
      </c>
      <c r="C2861" s="1" t="n">
        <v>45710</v>
      </c>
      <c r="D2861" t="inlineStr">
        <is>
          <t>ÖSTERGÖTLANDS LÄN</t>
        </is>
      </c>
      <c r="E2861" t="inlineStr">
        <is>
          <t>MJÖLBY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7608-2021</t>
        </is>
      </c>
      <c r="B2862" s="1" t="n">
        <v>44242</v>
      </c>
      <c r="C2862" s="1" t="n">
        <v>45710</v>
      </c>
      <c r="D2862" t="inlineStr">
        <is>
          <t>ÖSTERGÖTLANDS LÄN</t>
        </is>
      </c>
      <c r="E2862" t="inlineStr">
        <is>
          <t>MOTALA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7864-2021</t>
        </is>
      </c>
      <c r="B2863" s="1" t="n">
        <v>44242</v>
      </c>
      <c r="C2863" s="1" t="n">
        <v>45710</v>
      </c>
      <c r="D2863" t="inlineStr">
        <is>
          <t>ÖSTERGÖTLANDS LÄN</t>
        </is>
      </c>
      <c r="E2863" t="inlineStr">
        <is>
          <t>SÖDERKÖPING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7848-2021</t>
        </is>
      </c>
      <c r="B2864" s="1" t="n">
        <v>44242</v>
      </c>
      <c r="C2864" s="1" t="n">
        <v>45710</v>
      </c>
      <c r="D2864" t="inlineStr">
        <is>
          <t>ÖSTERGÖTLANDS LÄN</t>
        </is>
      </c>
      <c r="E2864" t="inlineStr">
        <is>
          <t>ÖDESHÖG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7835-2021</t>
        </is>
      </c>
      <c r="B2865" s="1" t="n">
        <v>44242</v>
      </c>
      <c r="C2865" s="1" t="n">
        <v>45710</v>
      </c>
      <c r="D2865" t="inlineStr">
        <is>
          <t>ÖSTERGÖTLANDS LÄN</t>
        </is>
      </c>
      <c r="E2865" t="inlineStr">
        <is>
          <t>KINDA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7854-2021</t>
        </is>
      </c>
      <c r="B2866" s="1" t="n">
        <v>44242</v>
      </c>
      <c r="C2866" s="1" t="n">
        <v>45710</v>
      </c>
      <c r="D2866" t="inlineStr">
        <is>
          <t>ÖSTERGÖTLANDS LÄN</t>
        </is>
      </c>
      <c r="E2866" t="inlineStr">
        <is>
          <t>ÖDESHÖG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8024-2021</t>
        </is>
      </c>
      <c r="B2867" s="1" t="n">
        <v>44243</v>
      </c>
      <c r="C2867" s="1" t="n">
        <v>45710</v>
      </c>
      <c r="D2867" t="inlineStr">
        <is>
          <t>ÖSTERGÖTLANDS LÄN</t>
        </is>
      </c>
      <c r="E2867" t="inlineStr">
        <is>
          <t>MJÖLBY</t>
        </is>
      </c>
      <c r="F2867" t="inlineStr">
        <is>
          <t>Kommuner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7918-2021</t>
        </is>
      </c>
      <c r="B2868" s="1" t="n">
        <v>44243</v>
      </c>
      <c r="C2868" s="1" t="n">
        <v>45710</v>
      </c>
      <c r="D2868" t="inlineStr">
        <is>
          <t>ÖSTERGÖTLANDS LÄN</t>
        </is>
      </c>
      <c r="E2868" t="inlineStr">
        <is>
          <t>NORRKÖPING</t>
        </is>
      </c>
      <c r="G2868" t="n">
        <v>5.9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8021-2021</t>
        </is>
      </c>
      <c r="B2869" s="1" t="n">
        <v>44243</v>
      </c>
      <c r="C2869" s="1" t="n">
        <v>45710</v>
      </c>
      <c r="D2869" t="inlineStr">
        <is>
          <t>ÖSTERGÖTLANDS LÄN</t>
        </is>
      </c>
      <c r="E2869" t="inlineStr">
        <is>
          <t>MJÖLBY</t>
        </is>
      </c>
      <c r="F2869" t="inlineStr">
        <is>
          <t>Kommuner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7997-2021</t>
        </is>
      </c>
      <c r="B2870" s="1" t="n">
        <v>44243</v>
      </c>
      <c r="C2870" s="1" t="n">
        <v>45710</v>
      </c>
      <c r="D2870" t="inlineStr">
        <is>
          <t>ÖSTERGÖTLANDS LÄN</t>
        </is>
      </c>
      <c r="E2870" t="inlineStr">
        <is>
          <t>KINDA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7947-2021</t>
        </is>
      </c>
      <c r="B2871" s="1" t="n">
        <v>44243</v>
      </c>
      <c r="C2871" s="1" t="n">
        <v>45710</v>
      </c>
      <c r="D2871" t="inlineStr">
        <is>
          <t>ÖSTERGÖTLANDS LÄN</t>
        </is>
      </c>
      <c r="E2871" t="inlineStr">
        <is>
          <t>FINSPÅNG</t>
        </is>
      </c>
      <c r="G2871" t="n">
        <v>8.5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8303-2021</t>
        </is>
      </c>
      <c r="B2872" s="1" t="n">
        <v>44244</v>
      </c>
      <c r="C2872" s="1" t="n">
        <v>45710</v>
      </c>
      <c r="D2872" t="inlineStr">
        <is>
          <t>ÖSTERGÖTLANDS LÄN</t>
        </is>
      </c>
      <c r="E2872" t="inlineStr">
        <is>
          <t>KINDA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8300-2021</t>
        </is>
      </c>
      <c r="B2873" s="1" t="n">
        <v>44244</v>
      </c>
      <c r="C2873" s="1" t="n">
        <v>45710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Naturvårdsverket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8238-2021</t>
        </is>
      </c>
      <c r="B2874" s="1" t="n">
        <v>44244</v>
      </c>
      <c r="C2874" s="1" t="n">
        <v>45710</v>
      </c>
      <c r="D2874" t="inlineStr">
        <is>
          <t>ÖSTERGÖTLANDS LÄN</t>
        </is>
      </c>
      <c r="E2874" t="inlineStr">
        <is>
          <t>VALDEMARSVIK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8371-2021</t>
        </is>
      </c>
      <c r="B2875" s="1" t="n">
        <v>44245</v>
      </c>
      <c r="C2875" s="1" t="n">
        <v>45710</v>
      </c>
      <c r="D2875" t="inlineStr">
        <is>
          <t>ÖSTERGÖTLANDS LÄN</t>
        </is>
      </c>
      <c r="E2875" t="inlineStr">
        <is>
          <t>SÖDERKÖPING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8370-2021</t>
        </is>
      </c>
      <c r="B2876" s="1" t="n">
        <v>44245</v>
      </c>
      <c r="C2876" s="1" t="n">
        <v>45710</v>
      </c>
      <c r="D2876" t="inlineStr">
        <is>
          <t>ÖSTERGÖTLANDS LÄN</t>
        </is>
      </c>
      <c r="E2876" t="inlineStr">
        <is>
          <t>SÖDERKÖPING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8369-2021</t>
        </is>
      </c>
      <c r="B2877" s="1" t="n">
        <v>44245</v>
      </c>
      <c r="C2877" s="1" t="n">
        <v>45710</v>
      </c>
      <c r="D2877" t="inlineStr">
        <is>
          <t>ÖSTERGÖTLANDS LÄN</t>
        </is>
      </c>
      <c r="E2877" t="inlineStr">
        <is>
          <t>SÖDERKÖPING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8373-2021</t>
        </is>
      </c>
      <c r="B2878" s="1" t="n">
        <v>44245</v>
      </c>
      <c r="C2878" s="1" t="n">
        <v>45710</v>
      </c>
      <c r="D2878" t="inlineStr">
        <is>
          <t>ÖSTERGÖTLANDS LÄN</t>
        </is>
      </c>
      <c r="E2878" t="inlineStr">
        <is>
          <t>MOTALA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8554-2021</t>
        </is>
      </c>
      <c r="B2879" s="1" t="n">
        <v>44245</v>
      </c>
      <c r="C2879" s="1" t="n">
        <v>45710</v>
      </c>
      <c r="D2879" t="inlineStr">
        <is>
          <t>ÖSTERGÖTLANDS LÄN</t>
        </is>
      </c>
      <c r="E2879" t="inlineStr">
        <is>
          <t>FINSPÅNG</t>
        </is>
      </c>
      <c r="G2879" t="n">
        <v>6.2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8583-2021</t>
        </is>
      </c>
      <c r="B2880" s="1" t="n">
        <v>44245</v>
      </c>
      <c r="C2880" s="1" t="n">
        <v>45710</v>
      </c>
      <c r="D2880" t="inlineStr">
        <is>
          <t>ÖSTERGÖTLANDS LÄN</t>
        </is>
      </c>
      <c r="E2880" t="inlineStr">
        <is>
          <t>SÖDERKÖPING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8703-2021</t>
        </is>
      </c>
      <c r="B2881" s="1" t="n">
        <v>44246</v>
      </c>
      <c r="C2881" s="1" t="n">
        <v>45710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8688-2021</t>
        </is>
      </c>
      <c r="B2882" s="1" t="n">
        <v>44246</v>
      </c>
      <c r="C2882" s="1" t="n">
        <v>45710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9082-2021</t>
        </is>
      </c>
      <c r="B2883" s="1" t="n">
        <v>44249</v>
      </c>
      <c r="C2883" s="1" t="n">
        <v>45710</v>
      </c>
      <c r="D2883" t="inlineStr">
        <is>
          <t>ÖSTERGÖTLANDS LÄN</t>
        </is>
      </c>
      <c r="E2883" t="inlineStr">
        <is>
          <t>BOXHOLM</t>
        </is>
      </c>
      <c r="F2883" t="inlineStr">
        <is>
          <t>Allmännings- och besparingsskogar</t>
        </is>
      </c>
      <c r="G2883" t="n">
        <v>5.8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9093-2021</t>
        </is>
      </c>
      <c r="B2884" s="1" t="n">
        <v>44249</v>
      </c>
      <c r="C2884" s="1" t="n">
        <v>45710</v>
      </c>
      <c r="D2884" t="inlineStr">
        <is>
          <t>ÖSTERGÖTLANDS LÄN</t>
        </is>
      </c>
      <c r="E2884" t="inlineStr">
        <is>
          <t>FINSPÅNG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9107-2021</t>
        </is>
      </c>
      <c r="B2885" s="1" t="n">
        <v>44249</v>
      </c>
      <c r="C2885" s="1" t="n">
        <v>45710</v>
      </c>
      <c r="D2885" t="inlineStr">
        <is>
          <t>ÖSTERGÖTLANDS LÄN</t>
        </is>
      </c>
      <c r="E2885" t="inlineStr">
        <is>
          <t>KINDA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9159-2021</t>
        </is>
      </c>
      <c r="B2886" s="1" t="n">
        <v>44249</v>
      </c>
      <c r="C2886" s="1" t="n">
        <v>45710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9148-2021</t>
        </is>
      </c>
      <c r="B2887" s="1" t="n">
        <v>44249</v>
      </c>
      <c r="C2887" s="1" t="n">
        <v>45710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9079-2021</t>
        </is>
      </c>
      <c r="B2888" s="1" t="n">
        <v>44249</v>
      </c>
      <c r="C2888" s="1" t="n">
        <v>45710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9278-2021</t>
        </is>
      </c>
      <c r="B2889" s="1" t="n">
        <v>44249</v>
      </c>
      <c r="C2889" s="1" t="n">
        <v>45710</v>
      </c>
      <c r="D2889" t="inlineStr">
        <is>
          <t>ÖSTERGÖTLANDS LÄN</t>
        </is>
      </c>
      <c r="E2889" t="inlineStr">
        <is>
          <t>NORRKÖPING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9281-2021</t>
        </is>
      </c>
      <c r="B2890" s="1" t="n">
        <v>44249</v>
      </c>
      <c r="C2890" s="1" t="n">
        <v>45710</v>
      </c>
      <c r="D2890" t="inlineStr">
        <is>
          <t>ÖSTERGÖTLANDS LÄN</t>
        </is>
      </c>
      <c r="E2890" t="inlineStr">
        <is>
          <t>NORRKÖPING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9203-2021</t>
        </is>
      </c>
      <c r="B2891" s="1" t="n">
        <v>44249</v>
      </c>
      <c r="C2891" s="1" t="n">
        <v>45710</v>
      </c>
      <c r="D2891" t="inlineStr">
        <is>
          <t>ÖSTERGÖTLANDS LÄN</t>
        </is>
      </c>
      <c r="E2891" t="inlineStr">
        <is>
          <t>KINDA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9122-2021</t>
        </is>
      </c>
      <c r="B2892" s="1" t="n">
        <v>44249</v>
      </c>
      <c r="C2892" s="1" t="n">
        <v>45710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9139-2021</t>
        </is>
      </c>
      <c r="B2893" s="1" t="n">
        <v>44249</v>
      </c>
      <c r="C2893" s="1" t="n">
        <v>45710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Övriga Aktiebolag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9390-2021</t>
        </is>
      </c>
      <c r="B2894" s="1" t="n">
        <v>44250</v>
      </c>
      <c r="C2894" s="1" t="n">
        <v>45710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9314-2021</t>
        </is>
      </c>
      <c r="B2895" s="1" t="n">
        <v>44250</v>
      </c>
      <c r="C2895" s="1" t="n">
        <v>45710</v>
      </c>
      <c r="D2895" t="inlineStr">
        <is>
          <t>ÖSTERGÖTLANDS LÄN</t>
        </is>
      </c>
      <c r="E2895" t="inlineStr">
        <is>
          <t>ÅTVIDABERG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9346-2021</t>
        </is>
      </c>
      <c r="B2896" s="1" t="n">
        <v>44250</v>
      </c>
      <c r="C2896" s="1" t="n">
        <v>45710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9385-2021</t>
        </is>
      </c>
      <c r="B2897" s="1" t="n">
        <v>44250</v>
      </c>
      <c r="C2897" s="1" t="n">
        <v>45710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Övriga Aktiebolag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9500-2021</t>
        </is>
      </c>
      <c r="B2898" s="1" t="n">
        <v>44251</v>
      </c>
      <c r="C2898" s="1" t="n">
        <v>45710</v>
      </c>
      <c r="D2898" t="inlineStr">
        <is>
          <t>ÖSTERGÖTLANDS LÄN</t>
        </is>
      </c>
      <c r="E2898" t="inlineStr">
        <is>
          <t>ÖDESHÖG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9709-2021</t>
        </is>
      </c>
      <c r="B2899" s="1" t="n">
        <v>44252</v>
      </c>
      <c r="C2899" s="1" t="n">
        <v>45710</v>
      </c>
      <c r="D2899" t="inlineStr">
        <is>
          <t>ÖSTERGÖTLANDS LÄN</t>
        </is>
      </c>
      <c r="E2899" t="inlineStr">
        <is>
          <t>ÖDESHÖG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9740-2021</t>
        </is>
      </c>
      <c r="B2900" s="1" t="n">
        <v>44252</v>
      </c>
      <c r="C2900" s="1" t="n">
        <v>45710</v>
      </c>
      <c r="D2900" t="inlineStr">
        <is>
          <t>ÖSTERGÖTLANDS LÄN</t>
        </is>
      </c>
      <c r="E2900" t="inlineStr">
        <is>
          <t>ÅTVIDABERG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9764-2021</t>
        </is>
      </c>
      <c r="B2901" s="1" t="n">
        <v>44252</v>
      </c>
      <c r="C2901" s="1" t="n">
        <v>45710</v>
      </c>
      <c r="D2901" t="inlineStr">
        <is>
          <t>ÖSTERGÖTLANDS LÄN</t>
        </is>
      </c>
      <c r="E2901" t="inlineStr">
        <is>
          <t>NORRKÖPING</t>
        </is>
      </c>
      <c r="F2901" t="inlineStr">
        <is>
          <t>Allmännings- och besparingsskogar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9783-2021</t>
        </is>
      </c>
      <c r="B2902" s="1" t="n">
        <v>44252</v>
      </c>
      <c r="C2902" s="1" t="n">
        <v>45710</v>
      </c>
      <c r="D2902" t="inlineStr">
        <is>
          <t>ÖSTERGÖTLANDS LÄN</t>
        </is>
      </c>
      <c r="E2902" t="inlineStr">
        <is>
          <t>MOTALA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9765-2021</t>
        </is>
      </c>
      <c r="B2903" s="1" t="n">
        <v>44252</v>
      </c>
      <c r="C2903" s="1" t="n">
        <v>45710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9784-2021</t>
        </is>
      </c>
      <c r="B2904" s="1" t="n">
        <v>44252</v>
      </c>
      <c r="C2904" s="1" t="n">
        <v>45710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9949-2021</t>
        </is>
      </c>
      <c r="B2905" s="1" t="n">
        <v>44252</v>
      </c>
      <c r="C2905" s="1" t="n">
        <v>45710</v>
      </c>
      <c r="D2905" t="inlineStr">
        <is>
          <t>ÖSTERGÖTLANDS LÄN</t>
        </is>
      </c>
      <c r="E2905" t="inlineStr">
        <is>
          <t>KINDA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9935-2021</t>
        </is>
      </c>
      <c r="B2906" s="1" t="n">
        <v>44253</v>
      </c>
      <c r="C2906" s="1" t="n">
        <v>45710</v>
      </c>
      <c r="D2906" t="inlineStr">
        <is>
          <t>ÖSTERGÖTLANDS LÄN</t>
        </is>
      </c>
      <c r="E2906" t="inlineStr">
        <is>
          <t>LINKÖPING</t>
        </is>
      </c>
      <c r="G2906" t="n">
        <v>4.5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9832-2021</t>
        </is>
      </c>
      <c r="B2907" s="1" t="n">
        <v>44253</v>
      </c>
      <c r="C2907" s="1" t="n">
        <v>45710</v>
      </c>
      <c r="D2907" t="inlineStr">
        <is>
          <t>ÖSTERGÖTLANDS LÄN</t>
        </is>
      </c>
      <c r="E2907" t="inlineStr">
        <is>
          <t>FINSPÅNG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10001-2021</t>
        </is>
      </c>
      <c r="B2908" s="1" t="n">
        <v>44255</v>
      </c>
      <c r="C2908" s="1" t="n">
        <v>45710</v>
      </c>
      <c r="D2908" t="inlineStr">
        <is>
          <t>ÖSTERGÖTLANDS LÄN</t>
        </is>
      </c>
      <c r="E2908" t="inlineStr">
        <is>
          <t>MOTALA</t>
        </is>
      </c>
      <c r="G2908" t="n">
        <v>8.300000000000001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9998-2021</t>
        </is>
      </c>
      <c r="B2909" s="1" t="n">
        <v>44255</v>
      </c>
      <c r="C2909" s="1" t="n">
        <v>45710</v>
      </c>
      <c r="D2909" t="inlineStr">
        <is>
          <t>ÖSTERGÖTLANDS LÄN</t>
        </is>
      </c>
      <c r="E2909" t="inlineStr">
        <is>
          <t>MOTALA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10047-2021</t>
        </is>
      </c>
      <c r="B2910" s="1" t="n">
        <v>44256</v>
      </c>
      <c r="C2910" s="1" t="n">
        <v>45710</v>
      </c>
      <c r="D2910" t="inlineStr">
        <is>
          <t>ÖSTERGÖTLANDS LÄN</t>
        </is>
      </c>
      <c r="E2910" t="inlineStr">
        <is>
          <t>ÅTVIDABERG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10041-2021</t>
        </is>
      </c>
      <c r="B2911" s="1" t="n">
        <v>44256</v>
      </c>
      <c r="C2911" s="1" t="n">
        <v>45710</v>
      </c>
      <c r="D2911" t="inlineStr">
        <is>
          <t>ÖSTERGÖTLANDS LÄN</t>
        </is>
      </c>
      <c r="E2911" t="inlineStr">
        <is>
          <t>ÅTVIDABERG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10123-2021</t>
        </is>
      </c>
      <c r="B2912" s="1" t="n">
        <v>44256</v>
      </c>
      <c r="C2912" s="1" t="n">
        <v>45710</v>
      </c>
      <c r="D2912" t="inlineStr">
        <is>
          <t>ÖSTERGÖTLANDS LÄN</t>
        </is>
      </c>
      <c r="E2912" t="inlineStr">
        <is>
          <t>LINKÖPING</t>
        </is>
      </c>
      <c r="F2912" t="inlineStr">
        <is>
          <t>Allmännings- och besparingsskogar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10025-2021</t>
        </is>
      </c>
      <c r="B2913" s="1" t="n">
        <v>44256</v>
      </c>
      <c r="C2913" s="1" t="n">
        <v>45710</v>
      </c>
      <c r="D2913" t="inlineStr">
        <is>
          <t>ÖSTERGÖTLANDS LÄN</t>
        </is>
      </c>
      <c r="E2913" t="inlineStr">
        <is>
          <t>ÅTVIDABERG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10050-2021</t>
        </is>
      </c>
      <c r="B2914" s="1" t="n">
        <v>44256</v>
      </c>
      <c r="C2914" s="1" t="n">
        <v>45710</v>
      </c>
      <c r="D2914" t="inlineStr">
        <is>
          <t>ÖSTERGÖTLANDS LÄN</t>
        </is>
      </c>
      <c r="E2914" t="inlineStr">
        <is>
          <t>VALDEMARSVIK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10312-2021</t>
        </is>
      </c>
      <c r="B2915" s="1" t="n">
        <v>44257</v>
      </c>
      <c r="C2915" s="1" t="n">
        <v>45710</v>
      </c>
      <c r="D2915" t="inlineStr">
        <is>
          <t>ÖSTERGÖTLANDS LÄN</t>
        </is>
      </c>
      <c r="E2915" t="inlineStr">
        <is>
          <t>MOTALA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10390-2021</t>
        </is>
      </c>
      <c r="B2916" s="1" t="n">
        <v>44257</v>
      </c>
      <c r="C2916" s="1" t="n">
        <v>45710</v>
      </c>
      <c r="D2916" t="inlineStr">
        <is>
          <t>ÖSTERGÖTLANDS LÄN</t>
        </is>
      </c>
      <c r="E2916" t="inlineStr">
        <is>
          <t>BOXHOLM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10476-2021</t>
        </is>
      </c>
      <c r="B2917" s="1" t="n">
        <v>44257</v>
      </c>
      <c r="C2917" s="1" t="n">
        <v>45710</v>
      </c>
      <c r="D2917" t="inlineStr">
        <is>
          <t>ÖSTERGÖTLANDS LÄN</t>
        </is>
      </c>
      <c r="E2917" t="inlineStr">
        <is>
          <t>YDRE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10465-2021</t>
        </is>
      </c>
      <c r="B2918" s="1" t="n">
        <v>44257</v>
      </c>
      <c r="C2918" s="1" t="n">
        <v>45710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Övriga Aktiebolag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10475-2021</t>
        </is>
      </c>
      <c r="B2919" s="1" t="n">
        <v>44257</v>
      </c>
      <c r="C2919" s="1" t="n">
        <v>45710</v>
      </c>
      <c r="D2919" t="inlineStr">
        <is>
          <t>ÖSTERGÖTLANDS LÄN</t>
        </is>
      </c>
      <c r="E2919" t="inlineStr">
        <is>
          <t>YDRE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10462-2021</t>
        </is>
      </c>
      <c r="B2920" s="1" t="n">
        <v>44257</v>
      </c>
      <c r="C2920" s="1" t="n">
        <v>45710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10654-2021</t>
        </is>
      </c>
      <c r="B2921" s="1" t="n">
        <v>44258</v>
      </c>
      <c r="C2921" s="1" t="n">
        <v>45710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10679-2021</t>
        </is>
      </c>
      <c r="B2922" s="1" t="n">
        <v>44258</v>
      </c>
      <c r="C2922" s="1" t="n">
        <v>45710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10597-2021</t>
        </is>
      </c>
      <c r="B2923" s="1" t="n">
        <v>44258</v>
      </c>
      <c r="C2923" s="1" t="n">
        <v>45710</v>
      </c>
      <c r="D2923" t="inlineStr">
        <is>
          <t>ÖSTERGÖTLANDS LÄN</t>
        </is>
      </c>
      <c r="E2923" t="inlineStr">
        <is>
          <t>NORRKÖPING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10678-2021</t>
        </is>
      </c>
      <c r="B2924" s="1" t="n">
        <v>44258</v>
      </c>
      <c r="C2924" s="1" t="n">
        <v>45710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Holmen skog AB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10796-2021</t>
        </is>
      </c>
      <c r="B2925" s="1" t="n">
        <v>44259</v>
      </c>
      <c r="C2925" s="1" t="n">
        <v>45710</v>
      </c>
      <c r="D2925" t="inlineStr">
        <is>
          <t>ÖSTERGÖTLANDS LÄN</t>
        </is>
      </c>
      <c r="E2925" t="inlineStr">
        <is>
          <t>MOTALA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10866-2021</t>
        </is>
      </c>
      <c r="B2926" s="1" t="n">
        <v>44259</v>
      </c>
      <c r="C2926" s="1" t="n">
        <v>45710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10881-2021</t>
        </is>
      </c>
      <c r="B2927" s="1" t="n">
        <v>44259</v>
      </c>
      <c r="C2927" s="1" t="n">
        <v>45710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10816-2021</t>
        </is>
      </c>
      <c r="B2928" s="1" t="n">
        <v>44259</v>
      </c>
      <c r="C2928" s="1" t="n">
        <v>45710</v>
      </c>
      <c r="D2928" t="inlineStr">
        <is>
          <t>ÖSTERGÖTLANDS LÄN</t>
        </is>
      </c>
      <c r="E2928" t="inlineStr">
        <is>
          <t>BOXHOLM</t>
        </is>
      </c>
      <c r="F2928" t="inlineStr">
        <is>
          <t>Övriga Aktiebolag</t>
        </is>
      </c>
      <c r="G2928" t="n">
        <v>7.3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10830-2021</t>
        </is>
      </c>
      <c r="B2929" s="1" t="n">
        <v>44259</v>
      </c>
      <c r="C2929" s="1" t="n">
        <v>45710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10990-2021</t>
        </is>
      </c>
      <c r="B2930" s="1" t="n">
        <v>44260</v>
      </c>
      <c r="C2930" s="1" t="n">
        <v>45710</v>
      </c>
      <c r="D2930" t="inlineStr">
        <is>
          <t>ÖSTERGÖTLANDS LÄN</t>
        </is>
      </c>
      <c r="E2930" t="inlineStr">
        <is>
          <t>YDRE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11351-2021</t>
        </is>
      </c>
      <c r="B2931" s="1" t="n">
        <v>44263</v>
      </c>
      <c r="C2931" s="1" t="n">
        <v>45710</v>
      </c>
      <c r="D2931" t="inlineStr">
        <is>
          <t>ÖSTERGÖTLANDS LÄN</t>
        </is>
      </c>
      <c r="E2931" t="inlineStr">
        <is>
          <t>VADSTENA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11347-2021</t>
        </is>
      </c>
      <c r="B2932" s="1" t="n">
        <v>44263</v>
      </c>
      <c r="C2932" s="1" t="n">
        <v>45710</v>
      </c>
      <c r="D2932" t="inlineStr">
        <is>
          <t>ÖSTERGÖTLANDS LÄN</t>
        </is>
      </c>
      <c r="E2932" t="inlineStr">
        <is>
          <t>VADSTENA</t>
        </is>
      </c>
      <c r="G2932" t="n">
        <v>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11358-2021</t>
        </is>
      </c>
      <c r="B2933" s="1" t="n">
        <v>44263</v>
      </c>
      <c r="C2933" s="1" t="n">
        <v>45710</v>
      </c>
      <c r="D2933" t="inlineStr">
        <is>
          <t>ÖSTERGÖTLANDS LÄN</t>
        </is>
      </c>
      <c r="E2933" t="inlineStr">
        <is>
          <t>YDRE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11494-2021</t>
        </is>
      </c>
      <c r="B2934" s="1" t="n">
        <v>44264</v>
      </c>
      <c r="C2934" s="1" t="n">
        <v>45710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11744-2021</t>
        </is>
      </c>
      <c r="B2935" s="1" t="n">
        <v>44265</v>
      </c>
      <c r="C2935" s="1" t="n">
        <v>45710</v>
      </c>
      <c r="D2935" t="inlineStr">
        <is>
          <t>ÖSTERGÖTLANDS LÄN</t>
        </is>
      </c>
      <c r="E2935" t="inlineStr">
        <is>
          <t>ÖDESHÖG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11892-2021</t>
        </is>
      </c>
      <c r="B2936" s="1" t="n">
        <v>44265</v>
      </c>
      <c r="C2936" s="1" t="n">
        <v>45710</v>
      </c>
      <c r="D2936" t="inlineStr">
        <is>
          <t>ÖSTERGÖTLANDS LÄN</t>
        </is>
      </c>
      <c r="E2936" t="inlineStr">
        <is>
          <t>FINSPÅNG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11858-2021</t>
        </is>
      </c>
      <c r="B2937" s="1" t="n">
        <v>44265</v>
      </c>
      <c r="C2937" s="1" t="n">
        <v>45710</v>
      </c>
      <c r="D2937" t="inlineStr">
        <is>
          <t>ÖSTERGÖTLANDS LÄN</t>
        </is>
      </c>
      <c r="E2937" t="inlineStr">
        <is>
          <t>MOTALA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11907-2021</t>
        </is>
      </c>
      <c r="B2938" s="1" t="n">
        <v>44265</v>
      </c>
      <c r="C2938" s="1" t="n">
        <v>45710</v>
      </c>
      <c r="D2938" t="inlineStr">
        <is>
          <t>ÖSTERGÖTLANDS LÄN</t>
        </is>
      </c>
      <c r="E2938" t="inlineStr">
        <is>
          <t>SÖDERKÖPING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11902-2021</t>
        </is>
      </c>
      <c r="B2939" s="1" t="n">
        <v>44265</v>
      </c>
      <c r="C2939" s="1" t="n">
        <v>45710</v>
      </c>
      <c r="D2939" t="inlineStr">
        <is>
          <t>ÖSTERGÖTLANDS LÄN</t>
        </is>
      </c>
      <c r="E2939" t="inlineStr">
        <is>
          <t>FINSPÅNG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11982-2021</t>
        </is>
      </c>
      <c r="B2940" s="1" t="n">
        <v>44266</v>
      </c>
      <c r="C2940" s="1" t="n">
        <v>45710</v>
      </c>
      <c r="D2940" t="inlineStr">
        <is>
          <t>ÖSTERGÖTLANDS LÄN</t>
        </is>
      </c>
      <c r="E2940" t="inlineStr">
        <is>
          <t>LINKÖPING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11965-2021</t>
        </is>
      </c>
      <c r="B2941" s="1" t="n">
        <v>44266</v>
      </c>
      <c r="C2941" s="1" t="n">
        <v>45710</v>
      </c>
      <c r="D2941" t="inlineStr">
        <is>
          <t>ÖSTERGÖTLANDS LÄN</t>
        </is>
      </c>
      <c r="E2941" t="inlineStr">
        <is>
          <t>SÖDERKÖPING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12016-2021</t>
        </is>
      </c>
      <c r="B2942" s="1" t="n">
        <v>44266</v>
      </c>
      <c r="C2942" s="1" t="n">
        <v>45710</v>
      </c>
      <c r="D2942" t="inlineStr">
        <is>
          <t>ÖSTERGÖTLANDS LÄN</t>
        </is>
      </c>
      <c r="E2942" t="inlineStr">
        <is>
          <t>KINDA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12034-2021</t>
        </is>
      </c>
      <c r="B2943" s="1" t="n">
        <v>44266</v>
      </c>
      <c r="C2943" s="1" t="n">
        <v>45710</v>
      </c>
      <c r="D2943" t="inlineStr">
        <is>
          <t>ÖSTERGÖTLANDS LÄN</t>
        </is>
      </c>
      <c r="E2943" t="inlineStr">
        <is>
          <t>VALDEMARSVIK</t>
        </is>
      </c>
      <c r="G2943" t="n">
        <v>6.4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11967-2021</t>
        </is>
      </c>
      <c r="B2944" s="1" t="n">
        <v>44266</v>
      </c>
      <c r="C2944" s="1" t="n">
        <v>45710</v>
      </c>
      <c r="D2944" t="inlineStr">
        <is>
          <t>ÖSTERGÖTLANDS LÄN</t>
        </is>
      </c>
      <c r="E2944" t="inlineStr">
        <is>
          <t>SÖDERKÖPING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12128-2021</t>
        </is>
      </c>
      <c r="B2945" s="1" t="n">
        <v>44266</v>
      </c>
      <c r="C2945" s="1" t="n">
        <v>45710</v>
      </c>
      <c r="D2945" t="inlineStr">
        <is>
          <t>ÖSTERGÖTLANDS LÄN</t>
        </is>
      </c>
      <c r="E2945" t="inlineStr">
        <is>
          <t>KINDA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12235-2021</t>
        </is>
      </c>
      <c r="B2946" s="1" t="n">
        <v>44266</v>
      </c>
      <c r="C2946" s="1" t="n">
        <v>45710</v>
      </c>
      <c r="D2946" t="inlineStr">
        <is>
          <t>ÖSTERGÖTLANDS LÄN</t>
        </is>
      </c>
      <c r="E2946" t="inlineStr">
        <is>
          <t>MOTALA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12168-2021</t>
        </is>
      </c>
      <c r="B2947" s="1" t="n">
        <v>44266</v>
      </c>
      <c r="C2947" s="1" t="n">
        <v>45710</v>
      </c>
      <c r="D2947" t="inlineStr">
        <is>
          <t>ÖSTERGÖTLANDS LÄN</t>
        </is>
      </c>
      <c r="E2947" t="inlineStr">
        <is>
          <t>MJÖLBY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12380-2021</t>
        </is>
      </c>
      <c r="B2948" s="1" t="n">
        <v>44267</v>
      </c>
      <c r="C2948" s="1" t="n">
        <v>45710</v>
      </c>
      <c r="D2948" t="inlineStr">
        <is>
          <t>ÖSTERGÖTLANDS LÄN</t>
        </is>
      </c>
      <c r="E2948" t="inlineStr">
        <is>
          <t>KINDA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12456-2021</t>
        </is>
      </c>
      <c r="B2949" s="1" t="n">
        <v>44267</v>
      </c>
      <c r="C2949" s="1" t="n">
        <v>45710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12464-2021</t>
        </is>
      </c>
      <c r="B2950" s="1" t="n">
        <v>44267</v>
      </c>
      <c r="C2950" s="1" t="n">
        <v>45710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Övriga Aktiebolag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12561-2021</t>
        </is>
      </c>
      <c r="B2951" s="1" t="n">
        <v>44267</v>
      </c>
      <c r="C2951" s="1" t="n">
        <v>45710</v>
      </c>
      <c r="D2951" t="inlineStr">
        <is>
          <t>ÖSTERGÖTLANDS LÄN</t>
        </is>
      </c>
      <c r="E2951" t="inlineStr">
        <is>
          <t>FINSPÅNG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12458-2021</t>
        </is>
      </c>
      <c r="B2952" s="1" t="n">
        <v>44267</v>
      </c>
      <c r="C2952" s="1" t="n">
        <v>45710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12455-2021</t>
        </is>
      </c>
      <c r="B2953" s="1" t="n">
        <v>44267</v>
      </c>
      <c r="C2953" s="1" t="n">
        <v>45710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12460-2021</t>
        </is>
      </c>
      <c r="B2954" s="1" t="n">
        <v>44267</v>
      </c>
      <c r="C2954" s="1" t="n">
        <v>45710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12565-2021</t>
        </is>
      </c>
      <c r="B2955" s="1" t="n">
        <v>44267</v>
      </c>
      <c r="C2955" s="1" t="n">
        <v>45710</v>
      </c>
      <c r="D2955" t="inlineStr">
        <is>
          <t>ÖSTERGÖTLANDS LÄN</t>
        </is>
      </c>
      <c r="E2955" t="inlineStr">
        <is>
          <t>FINSPÅNG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12578-2021</t>
        </is>
      </c>
      <c r="B2956" s="1" t="n">
        <v>44270</v>
      </c>
      <c r="C2956" s="1" t="n">
        <v>45710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2.4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  <c r="U2956">
        <f>HYPERLINK("https://klasma.github.io/Logging_0512/knärot/A 12578-2021 karta knärot.png", "A 12578-2021")</f>
        <v/>
      </c>
      <c r="V2956">
        <f>HYPERLINK("https://klasma.github.io/Logging_0512/klagomål/A 12578-2021 FSC-klagomål.docx", "A 12578-2021")</f>
        <v/>
      </c>
      <c r="W2956">
        <f>HYPERLINK("https://klasma.github.io/Logging_0512/klagomålsmail/A 12578-2021 FSC-klagomål mail.docx", "A 12578-2021")</f>
        <v/>
      </c>
      <c r="X2956">
        <f>HYPERLINK("https://klasma.github.io/Logging_0512/tillsyn/A 12578-2021 tillsynsbegäran.docx", "A 12578-2021")</f>
        <v/>
      </c>
      <c r="Y2956">
        <f>HYPERLINK("https://klasma.github.io/Logging_0512/tillsynsmail/A 12578-2021 tillsynsbegäran mail.docx", "A 12578-2021")</f>
        <v/>
      </c>
    </row>
    <row r="2957" ht="15" customHeight="1">
      <c r="A2957" t="inlineStr">
        <is>
          <t>A 12571-2021</t>
        </is>
      </c>
      <c r="B2957" s="1" t="n">
        <v>44270</v>
      </c>
      <c r="C2957" s="1" t="n">
        <v>45710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12577-2021</t>
        </is>
      </c>
      <c r="B2958" s="1" t="n">
        <v>44270</v>
      </c>
      <c r="C2958" s="1" t="n">
        <v>45710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11.2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12573-2021</t>
        </is>
      </c>
      <c r="B2959" s="1" t="n">
        <v>44270</v>
      </c>
      <c r="C2959" s="1" t="n">
        <v>45710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12580-2021</t>
        </is>
      </c>
      <c r="B2960" s="1" t="n">
        <v>44270</v>
      </c>
      <c r="C2960" s="1" t="n">
        <v>45710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12685-2021</t>
        </is>
      </c>
      <c r="B2961" s="1" t="n">
        <v>44270</v>
      </c>
      <c r="C2961" s="1" t="n">
        <v>45710</v>
      </c>
      <c r="D2961" t="inlineStr">
        <is>
          <t>ÖSTERGÖTLANDS LÄN</t>
        </is>
      </c>
      <c r="E2961" t="inlineStr">
        <is>
          <t>NORRKÖPING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12976-2021</t>
        </is>
      </c>
      <c r="B2962" s="1" t="n">
        <v>44271</v>
      </c>
      <c r="C2962" s="1" t="n">
        <v>45710</v>
      </c>
      <c r="D2962" t="inlineStr">
        <is>
          <t>ÖSTERGÖTLANDS LÄN</t>
        </is>
      </c>
      <c r="E2962" t="inlineStr">
        <is>
          <t>BOXHOLM</t>
        </is>
      </c>
      <c r="F2962" t="inlineStr">
        <is>
          <t>Övriga Aktiebolag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13001-2021</t>
        </is>
      </c>
      <c r="B2963" s="1" t="n">
        <v>44271</v>
      </c>
      <c r="C2963" s="1" t="n">
        <v>45710</v>
      </c>
      <c r="D2963" t="inlineStr">
        <is>
          <t>ÖSTERGÖTLANDS LÄN</t>
        </is>
      </c>
      <c r="E2963" t="inlineStr">
        <is>
          <t>LINKÖPING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13092-2021</t>
        </is>
      </c>
      <c r="B2964" s="1" t="n">
        <v>44271</v>
      </c>
      <c r="C2964" s="1" t="n">
        <v>45710</v>
      </c>
      <c r="D2964" t="inlineStr">
        <is>
          <t>ÖSTERGÖTLANDS LÄN</t>
        </is>
      </c>
      <c r="E2964" t="inlineStr">
        <is>
          <t>MOTALA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13093-2021</t>
        </is>
      </c>
      <c r="B2965" s="1" t="n">
        <v>44271</v>
      </c>
      <c r="C2965" s="1" t="n">
        <v>45710</v>
      </c>
      <c r="D2965" t="inlineStr">
        <is>
          <t>ÖSTERGÖTLANDS LÄN</t>
        </is>
      </c>
      <c r="E2965" t="inlineStr">
        <is>
          <t>MOTALA</t>
        </is>
      </c>
      <c r="G2965" t="n">
        <v>3.8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13021-2021</t>
        </is>
      </c>
      <c r="B2966" s="1" t="n">
        <v>44271</v>
      </c>
      <c r="C2966" s="1" t="n">
        <v>45710</v>
      </c>
      <c r="D2966" t="inlineStr">
        <is>
          <t>ÖSTERGÖTLANDS LÄN</t>
        </is>
      </c>
      <c r="E2966" t="inlineStr">
        <is>
          <t>NORRKÖPING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13094-2021</t>
        </is>
      </c>
      <c r="B2967" s="1" t="n">
        <v>44271</v>
      </c>
      <c r="C2967" s="1" t="n">
        <v>45710</v>
      </c>
      <c r="D2967" t="inlineStr">
        <is>
          <t>ÖSTERGÖTLANDS LÄN</t>
        </is>
      </c>
      <c r="E2967" t="inlineStr">
        <is>
          <t>MOTALA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13022-2021</t>
        </is>
      </c>
      <c r="B2968" s="1" t="n">
        <v>44271</v>
      </c>
      <c r="C2968" s="1" t="n">
        <v>45710</v>
      </c>
      <c r="D2968" t="inlineStr">
        <is>
          <t>ÖSTERGÖTLANDS LÄN</t>
        </is>
      </c>
      <c r="E2968" t="inlineStr">
        <is>
          <t>NORRKÖPING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13096-2021</t>
        </is>
      </c>
      <c r="B2969" s="1" t="n">
        <v>44271</v>
      </c>
      <c r="C2969" s="1" t="n">
        <v>45710</v>
      </c>
      <c r="D2969" t="inlineStr">
        <is>
          <t>ÖSTERGÖTLANDS LÄN</t>
        </is>
      </c>
      <c r="E2969" t="inlineStr">
        <is>
          <t>MOTALA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13138-2021</t>
        </is>
      </c>
      <c r="B2970" s="1" t="n">
        <v>44272</v>
      </c>
      <c r="C2970" s="1" t="n">
        <v>45710</v>
      </c>
      <c r="D2970" t="inlineStr">
        <is>
          <t>ÖSTERGÖTLANDS LÄN</t>
        </is>
      </c>
      <c r="E2970" t="inlineStr">
        <is>
          <t>FINSPÅNG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13163-2021</t>
        </is>
      </c>
      <c r="B2971" s="1" t="n">
        <v>44272</v>
      </c>
      <c r="C2971" s="1" t="n">
        <v>45710</v>
      </c>
      <c r="D2971" t="inlineStr">
        <is>
          <t>ÖSTERGÖTLANDS LÄN</t>
        </is>
      </c>
      <c r="E2971" t="inlineStr">
        <is>
          <t>NORRKÖPING</t>
        </is>
      </c>
      <c r="F2971" t="inlineStr">
        <is>
          <t>Allmännings- och besparingsskogar</t>
        </is>
      </c>
      <c r="G2971" t="n">
        <v>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13161-2021</t>
        </is>
      </c>
      <c r="B2972" s="1" t="n">
        <v>44272</v>
      </c>
      <c r="C2972" s="1" t="n">
        <v>45710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13273-2021</t>
        </is>
      </c>
      <c r="B2973" s="1" t="n">
        <v>44272</v>
      </c>
      <c r="C2973" s="1" t="n">
        <v>45710</v>
      </c>
      <c r="D2973" t="inlineStr">
        <is>
          <t>ÖSTERGÖTLANDS LÄN</t>
        </is>
      </c>
      <c r="E2973" t="inlineStr">
        <is>
          <t>KINDA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13262-2021</t>
        </is>
      </c>
      <c r="B2974" s="1" t="n">
        <v>44272</v>
      </c>
      <c r="C2974" s="1" t="n">
        <v>45710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5.7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13275-2021</t>
        </is>
      </c>
      <c r="B2975" s="1" t="n">
        <v>44272</v>
      </c>
      <c r="C2975" s="1" t="n">
        <v>45710</v>
      </c>
      <c r="D2975" t="inlineStr">
        <is>
          <t>ÖSTERGÖTLANDS LÄN</t>
        </is>
      </c>
      <c r="E2975" t="inlineStr">
        <is>
          <t>NORRKÖPING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13419-2021</t>
        </is>
      </c>
      <c r="B2976" s="1" t="n">
        <v>44273</v>
      </c>
      <c r="C2976" s="1" t="n">
        <v>45710</v>
      </c>
      <c r="D2976" t="inlineStr">
        <is>
          <t>ÖSTERGÖTLANDS LÄN</t>
        </is>
      </c>
      <c r="E2976" t="inlineStr">
        <is>
          <t>VALDEMARSVIK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13480-2021</t>
        </is>
      </c>
      <c r="B2977" s="1" t="n">
        <v>44273</v>
      </c>
      <c r="C2977" s="1" t="n">
        <v>45710</v>
      </c>
      <c r="D2977" t="inlineStr">
        <is>
          <t>ÖSTERGÖTLANDS LÄN</t>
        </is>
      </c>
      <c r="E2977" t="inlineStr">
        <is>
          <t>MJÖLBY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13488-2021</t>
        </is>
      </c>
      <c r="B2978" s="1" t="n">
        <v>44273</v>
      </c>
      <c r="C2978" s="1" t="n">
        <v>45710</v>
      </c>
      <c r="D2978" t="inlineStr">
        <is>
          <t>ÖSTERGÖTLANDS LÄN</t>
        </is>
      </c>
      <c r="E2978" t="inlineStr">
        <is>
          <t>MJÖLBY</t>
        </is>
      </c>
      <c r="G2978" t="n">
        <v>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13549-2021</t>
        </is>
      </c>
      <c r="B2979" s="1" t="n">
        <v>44273</v>
      </c>
      <c r="C2979" s="1" t="n">
        <v>45710</v>
      </c>
      <c r="D2979" t="inlineStr">
        <is>
          <t>ÖSTERGÖTLANDS LÄN</t>
        </is>
      </c>
      <c r="E2979" t="inlineStr">
        <is>
          <t>ÅTVIDABERG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13547-2021</t>
        </is>
      </c>
      <c r="B2980" s="1" t="n">
        <v>44273</v>
      </c>
      <c r="C2980" s="1" t="n">
        <v>45710</v>
      </c>
      <c r="D2980" t="inlineStr">
        <is>
          <t>ÖSTERGÖTLANDS LÄN</t>
        </is>
      </c>
      <c r="E2980" t="inlineStr">
        <is>
          <t>ÅTVIDABERG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13633-2021</t>
        </is>
      </c>
      <c r="B2981" s="1" t="n">
        <v>44274</v>
      </c>
      <c r="C2981" s="1" t="n">
        <v>45710</v>
      </c>
      <c r="D2981" t="inlineStr">
        <is>
          <t>ÖSTERGÖTLANDS LÄN</t>
        </is>
      </c>
      <c r="E2981" t="inlineStr">
        <is>
          <t>BOXHOLM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13661-2021</t>
        </is>
      </c>
      <c r="B2982" s="1" t="n">
        <v>44274</v>
      </c>
      <c r="C2982" s="1" t="n">
        <v>45710</v>
      </c>
      <c r="D2982" t="inlineStr">
        <is>
          <t>ÖSTERGÖTLANDS LÄN</t>
        </is>
      </c>
      <c r="E2982" t="inlineStr">
        <is>
          <t>KINDA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13636-2021</t>
        </is>
      </c>
      <c r="B2983" s="1" t="n">
        <v>44274</v>
      </c>
      <c r="C2983" s="1" t="n">
        <v>45710</v>
      </c>
      <c r="D2983" t="inlineStr">
        <is>
          <t>ÖSTERGÖTLANDS LÄN</t>
        </is>
      </c>
      <c r="E2983" t="inlineStr">
        <is>
          <t>BOXHOLM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13697-2021</t>
        </is>
      </c>
      <c r="B2984" s="1" t="n">
        <v>44274</v>
      </c>
      <c r="C2984" s="1" t="n">
        <v>45710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Övriga Aktiebolag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13735-2021</t>
        </is>
      </c>
      <c r="B2985" s="1" t="n">
        <v>44274</v>
      </c>
      <c r="C2985" s="1" t="n">
        <v>45710</v>
      </c>
      <c r="D2985" t="inlineStr">
        <is>
          <t>ÖSTERGÖTLANDS LÄN</t>
        </is>
      </c>
      <c r="E2985" t="inlineStr">
        <is>
          <t>BOXHOLM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13772-2021</t>
        </is>
      </c>
      <c r="B2986" s="1" t="n">
        <v>44274</v>
      </c>
      <c r="C2986" s="1" t="n">
        <v>45710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13767-2021</t>
        </is>
      </c>
      <c r="B2987" s="1" t="n">
        <v>44274</v>
      </c>
      <c r="C2987" s="1" t="n">
        <v>45710</v>
      </c>
      <c r="D2987" t="inlineStr">
        <is>
          <t>ÖSTERGÖTLANDS LÄN</t>
        </is>
      </c>
      <c r="E2987" t="inlineStr">
        <is>
          <t>MOTALA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13773-2021</t>
        </is>
      </c>
      <c r="B2988" s="1" t="n">
        <v>44274</v>
      </c>
      <c r="C2988" s="1" t="n">
        <v>45710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13763-2021</t>
        </is>
      </c>
      <c r="B2989" s="1" t="n">
        <v>44274</v>
      </c>
      <c r="C2989" s="1" t="n">
        <v>45710</v>
      </c>
      <c r="D2989" t="inlineStr">
        <is>
          <t>ÖSTERGÖTLANDS LÄN</t>
        </is>
      </c>
      <c r="E2989" t="inlineStr">
        <is>
          <t>MOTALA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13769-2021</t>
        </is>
      </c>
      <c r="B2990" s="1" t="n">
        <v>44274</v>
      </c>
      <c r="C2990" s="1" t="n">
        <v>45710</v>
      </c>
      <c r="D2990" t="inlineStr">
        <is>
          <t>ÖSTERGÖTLANDS LÄN</t>
        </is>
      </c>
      <c r="E2990" t="inlineStr">
        <is>
          <t>MOTALA</t>
        </is>
      </c>
      <c r="F2990" t="inlineStr">
        <is>
          <t>Sveaskog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13764-2021</t>
        </is>
      </c>
      <c r="B2991" s="1" t="n">
        <v>44274</v>
      </c>
      <c r="C2991" s="1" t="n">
        <v>45710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13770-2021</t>
        </is>
      </c>
      <c r="B2992" s="1" t="n">
        <v>44274</v>
      </c>
      <c r="C2992" s="1" t="n">
        <v>45710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13776-2021</t>
        </is>
      </c>
      <c r="B2993" s="1" t="n">
        <v>44274</v>
      </c>
      <c r="C2993" s="1" t="n">
        <v>45710</v>
      </c>
      <c r="D2993" t="inlineStr">
        <is>
          <t>ÖSTERGÖTLANDS LÄN</t>
        </is>
      </c>
      <c r="E2993" t="inlineStr">
        <is>
          <t>MOTALA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13922-2021</t>
        </is>
      </c>
      <c r="B2994" s="1" t="n">
        <v>44277</v>
      </c>
      <c r="C2994" s="1" t="n">
        <v>45710</v>
      </c>
      <c r="D2994" t="inlineStr">
        <is>
          <t>ÖSTERGÖTLANDS LÄN</t>
        </is>
      </c>
      <c r="E2994" t="inlineStr">
        <is>
          <t>LINKÖPING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14115-2021</t>
        </is>
      </c>
      <c r="B2995" s="1" t="n">
        <v>44278</v>
      </c>
      <c r="C2995" s="1" t="n">
        <v>45710</v>
      </c>
      <c r="D2995" t="inlineStr">
        <is>
          <t>ÖSTERGÖTLANDS LÄN</t>
        </is>
      </c>
      <c r="E2995" t="inlineStr">
        <is>
          <t>ÅTVIDABERG</t>
        </is>
      </c>
      <c r="G2995" t="n">
        <v>5.9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14187-2021</t>
        </is>
      </c>
      <c r="B2996" s="1" t="n">
        <v>44278</v>
      </c>
      <c r="C2996" s="1" t="n">
        <v>45710</v>
      </c>
      <c r="D2996" t="inlineStr">
        <is>
          <t>ÖSTERGÖTLANDS LÄN</t>
        </is>
      </c>
      <c r="E2996" t="inlineStr">
        <is>
          <t>KINDA</t>
        </is>
      </c>
      <c r="G2996" t="n">
        <v>8.9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14173-2021</t>
        </is>
      </c>
      <c r="B2997" s="1" t="n">
        <v>44278</v>
      </c>
      <c r="C2997" s="1" t="n">
        <v>45710</v>
      </c>
      <c r="D2997" t="inlineStr">
        <is>
          <t>ÖSTERGÖTLANDS LÄN</t>
        </is>
      </c>
      <c r="E2997" t="inlineStr">
        <is>
          <t>MOTALA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14312-2021</t>
        </is>
      </c>
      <c r="B2998" s="1" t="n">
        <v>44278</v>
      </c>
      <c r="C2998" s="1" t="n">
        <v>45710</v>
      </c>
      <c r="D2998" t="inlineStr">
        <is>
          <t>ÖSTERGÖTLANDS LÄN</t>
        </is>
      </c>
      <c r="E2998" t="inlineStr">
        <is>
          <t>VALDEMARSVIK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14423-2021</t>
        </is>
      </c>
      <c r="B2999" s="1" t="n">
        <v>44279</v>
      </c>
      <c r="C2999" s="1" t="n">
        <v>45710</v>
      </c>
      <c r="D2999" t="inlineStr">
        <is>
          <t>ÖSTERGÖTLANDS LÄN</t>
        </is>
      </c>
      <c r="E2999" t="inlineStr">
        <is>
          <t>BOXHOLM</t>
        </is>
      </c>
      <c r="F2999" t="inlineStr">
        <is>
          <t>Övriga Aktiebolag</t>
        </is>
      </c>
      <c r="G2999" t="n">
        <v>6.2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14480-2021</t>
        </is>
      </c>
      <c r="B3000" s="1" t="n">
        <v>44279</v>
      </c>
      <c r="C3000" s="1" t="n">
        <v>45710</v>
      </c>
      <c r="D3000" t="inlineStr">
        <is>
          <t>ÖSTERGÖTLANDS LÄN</t>
        </is>
      </c>
      <c r="E3000" t="inlineStr">
        <is>
          <t>NORRKÖPING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14465-2021</t>
        </is>
      </c>
      <c r="B3001" s="1" t="n">
        <v>44279</v>
      </c>
      <c r="C3001" s="1" t="n">
        <v>45710</v>
      </c>
      <c r="D3001" t="inlineStr">
        <is>
          <t>ÖSTERGÖTLANDS LÄN</t>
        </is>
      </c>
      <c r="E3001" t="inlineStr">
        <is>
          <t>BOXHOLM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14484-2021</t>
        </is>
      </c>
      <c r="B3002" s="1" t="n">
        <v>44279</v>
      </c>
      <c r="C3002" s="1" t="n">
        <v>45710</v>
      </c>
      <c r="D3002" t="inlineStr">
        <is>
          <t>ÖSTERGÖTLANDS LÄN</t>
        </is>
      </c>
      <c r="E3002" t="inlineStr">
        <is>
          <t>NORRKÖPING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14543-2021</t>
        </is>
      </c>
      <c r="B3003" s="1" t="n">
        <v>44279</v>
      </c>
      <c r="C3003" s="1" t="n">
        <v>45710</v>
      </c>
      <c r="D3003" t="inlineStr">
        <is>
          <t>ÖSTERGÖTLANDS LÄN</t>
        </is>
      </c>
      <c r="E3003" t="inlineStr">
        <is>
          <t>YDRE</t>
        </is>
      </c>
      <c r="F3003" t="inlineStr">
        <is>
          <t>Sveaskog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14483-2021</t>
        </is>
      </c>
      <c r="B3004" s="1" t="n">
        <v>44279</v>
      </c>
      <c r="C3004" s="1" t="n">
        <v>45710</v>
      </c>
      <c r="D3004" t="inlineStr">
        <is>
          <t>ÖSTERGÖTLANDS LÄN</t>
        </is>
      </c>
      <c r="E3004" t="inlineStr">
        <is>
          <t>NORRKÖPING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14561-2021</t>
        </is>
      </c>
      <c r="B3005" s="1" t="n">
        <v>44279</v>
      </c>
      <c r="C3005" s="1" t="n">
        <v>45710</v>
      </c>
      <c r="D3005" t="inlineStr">
        <is>
          <t>ÖSTERGÖTLANDS LÄN</t>
        </is>
      </c>
      <c r="E3005" t="inlineStr">
        <is>
          <t>VALDEMARSVIK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14572-2021</t>
        </is>
      </c>
      <c r="B3006" s="1" t="n">
        <v>44279</v>
      </c>
      <c r="C3006" s="1" t="n">
        <v>45710</v>
      </c>
      <c r="D3006" t="inlineStr">
        <is>
          <t>ÖSTERGÖTLANDS LÄN</t>
        </is>
      </c>
      <c r="E3006" t="inlineStr">
        <is>
          <t>ÅTVIDABERG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14796-2021</t>
        </is>
      </c>
      <c r="B3007" s="1" t="n">
        <v>44280</v>
      </c>
      <c r="C3007" s="1" t="n">
        <v>45710</v>
      </c>
      <c r="D3007" t="inlineStr">
        <is>
          <t>ÖSTERGÖTLANDS LÄN</t>
        </is>
      </c>
      <c r="E3007" t="inlineStr">
        <is>
          <t>MOTALA</t>
        </is>
      </c>
      <c r="F3007" t="inlineStr">
        <is>
          <t>Sveaskog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14679-2021</t>
        </is>
      </c>
      <c r="B3008" s="1" t="n">
        <v>44280</v>
      </c>
      <c r="C3008" s="1" t="n">
        <v>45710</v>
      </c>
      <c r="D3008" t="inlineStr">
        <is>
          <t>ÖSTERGÖTLANDS LÄN</t>
        </is>
      </c>
      <c r="E3008" t="inlineStr">
        <is>
          <t>MJÖLBY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14794-2021</t>
        </is>
      </c>
      <c r="B3009" s="1" t="n">
        <v>44280</v>
      </c>
      <c r="C3009" s="1" t="n">
        <v>45710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7.3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14606-2021</t>
        </is>
      </c>
      <c r="B3010" s="1" t="n">
        <v>44280</v>
      </c>
      <c r="C3010" s="1" t="n">
        <v>45710</v>
      </c>
      <c r="D3010" t="inlineStr">
        <is>
          <t>ÖSTERGÖTLANDS LÄN</t>
        </is>
      </c>
      <c r="E3010" t="inlineStr">
        <is>
          <t>ÅTVIDABERG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14793-2021</t>
        </is>
      </c>
      <c r="B3011" s="1" t="n">
        <v>44280</v>
      </c>
      <c r="C3011" s="1" t="n">
        <v>45710</v>
      </c>
      <c r="D3011" t="inlineStr">
        <is>
          <t>ÖSTERGÖTLANDS LÄN</t>
        </is>
      </c>
      <c r="E3011" t="inlineStr">
        <is>
          <t>FINSPÅNG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14801-2021</t>
        </is>
      </c>
      <c r="B3012" s="1" t="n">
        <v>44280</v>
      </c>
      <c r="C3012" s="1" t="n">
        <v>45710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14875-2021</t>
        </is>
      </c>
      <c r="B3013" s="1" t="n">
        <v>44281</v>
      </c>
      <c r="C3013" s="1" t="n">
        <v>45710</v>
      </c>
      <c r="D3013" t="inlineStr">
        <is>
          <t>ÖSTERGÖTLANDS LÄN</t>
        </is>
      </c>
      <c r="E3013" t="inlineStr">
        <is>
          <t>VALDEMARSVIK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15271-2021</t>
        </is>
      </c>
      <c r="B3014" s="1" t="n">
        <v>44284</v>
      </c>
      <c r="C3014" s="1" t="n">
        <v>45710</v>
      </c>
      <c r="D3014" t="inlineStr">
        <is>
          <t>ÖSTERGÖTLANDS LÄN</t>
        </is>
      </c>
      <c r="E3014" t="inlineStr">
        <is>
          <t>KINDA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15420-2021</t>
        </is>
      </c>
      <c r="B3015" s="1" t="n">
        <v>44284</v>
      </c>
      <c r="C3015" s="1" t="n">
        <v>45710</v>
      </c>
      <c r="D3015" t="inlineStr">
        <is>
          <t>ÖSTERGÖTLANDS LÄN</t>
        </is>
      </c>
      <c r="E3015" t="inlineStr">
        <is>
          <t>KINDA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15507-2021</t>
        </is>
      </c>
      <c r="B3016" s="1" t="n">
        <v>44285</v>
      </c>
      <c r="C3016" s="1" t="n">
        <v>45710</v>
      </c>
      <c r="D3016" t="inlineStr">
        <is>
          <t>ÖSTERGÖTLANDS LÄN</t>
        </is>
      </c>
      <c r="E3016" t="inlineStr">
        <is>
          <t>BOXHOLM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15434-2021</t>
        </is>
      </c>
      <c r="B3017" s="1" t="n">
        <v>44285</v>
      </c>
      <c r="C3017" s="1" t="n">
        <v>45710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15870-2021</t>
        </is>
      </c>
      <c r="B3018" s="1" t="n">
        <v>44286</v>
      </c>
      <c r="C3018" s="1" t="n">
        <v>45710</v>
      </c>
      <c r="D3018" t="inlineStr">
        <is>
          <t>ÖSTERGÖTLANDS LÄN</t>
        </is>
      </c>
      <c r="E3018" t="inlineStr">
        <is>
          <t>NORRKÖPING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15866-2021</t>
        </is>
      </c>
      <c r="B3019" s="1" t="n">
        <v>44286</v>
      </c>
      <c r="C3019" s="1" t="n">
        <v>45710</v>
      </c>
      <c r="D3019" t="inlineStr">
        <is>
          <t>ÖSTERGÖTLANDS LÄN</t>
        </is>
      </c>
      <c r="E3019" t="inlineStr">
        <is>
          <t>NORRKÖPING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15872-2021</t>
        </is>
      </c>
      <c r="B3020" s="1" t="n">
        <v>44286</v>
      </c>
      <c r="C3020" s="1" t="n">
        <v>45710</v>
      </c>
      <c r="D3020" t="inlineStr">
        <is>
          <t>ÖSTERGÖTLANDS LÄN</t>
        </is>
      </c>
      <c r="E3020" t="inlineStr">
        <is>
          <t>NORRKÖPING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16057-2021</t>
        </is>
      </c>
      <c r="B3021" s="1" t="n">
        <v>44287</v>
      </c>
      <c r="C3021" s="1" t="n">
        <v>45710</v>
      </c>
      <c r="D3021" t="inlineStr">
        <is>
          <t>ÖSTERGÖTLANDS LÄN</t>
        </is>
      </c>
      <c r="E3021" t="inlineStr">
        <is>
          <t>VALDEMARSVIK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16258-2021</t>
        </is>
      </c>
      <c r="B3022" s="1" t="n">
        <v>44292</v>
      </c>
      <c r="C3022" s="1" t="n">
        <v>45710</v>
      </c>
      <c r="D3022" t="inlineStr">
        <is>
          <t>ÖSTERGÖTLANDS LÄN</t>
        </is>
      </c>
      <c r="E3022" t="inlineStr">
        <is>
          <t>ÅTVIDABERG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16367-2021</t>
        </is>
      </c>
      <c r="B3023" s="1" t="n">
        <v>44292</v>
      </c>
      <c r="C3023" s="1" t="n">
        <v>45710</v>
      </c>
      <c r="D3023" t="inlineStr">
        <is>
          <t>ÖSTERGÖTLANDS LÄN</t>
        </is>
      </c>
      <c r="E3023" t="inlineStr">
        <is>
          <t>ÅTVIDABERG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16382-2021</t>
        </is>
      </c>
      <c r="B3024" s="1" t="n">
        <v>44292</v>
      </c>
      <c r="C3024" s="1" t="n">
        <v>45710</v>
      </c>
      <c r="D3024" t="inlineStr">
        <is>
          <t>ÖSTERGÖTLANDS LÄN</t>
        </is>
      </c>
      <c r="E3024" t="inlineStr">
        <is>
          <t>YDRE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16364-2021</t>
        </is>
      </c>
      <c r="B3025" s="1" t="n">
        <v>44292</v>
      </c>
      <c r="C3025" s="1" t="n">
        <v>45710</v>
      </c>
      <c r="D3025" t="inlineStr">
        <is>
          <t>ÖSTERGÖTLANDS LÄN</t>
        </is>
      </c>
      <c r="E3025" t="inlineStr">
        <is>
          <t>ÅTVIDABERG</t>
        </is>
      </c>
      <c r="G3025" t="n">
        <v>5.3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16278-2021</t>
        </is>
      </c>
      <c r="B3026" s="1" t="n">
        <v>44292</v>
      </c>
      <c r="C3026" s="1" t="n">
        <v>45710</v>
      </c>
      <c r="D3026" t="inlineStr">
        <is>
          <t>ÖSTERGÖTLANDS LÄN</t>
        </is>
      </c>
      <c r="E3026" t="inlineStr">
        <is>
          <t>ÅTVIDABERG</t>
        </is>
      </c>
      <c r="G3026" t="n">
        <v>9.199999999999999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16292-2021</t>
        </is>
      </c>
      <c r="B3027" s="1" t="n">
        <v>44292</v>
      </c>
      <c r="C3027" s="1" t="n">
        <v>45710</v>
      </c>
      <c r="D3027" t="inlineStr">
        <is>
          <t>ÖSTERGÖTLANDS LÄN</t>
        </is>
      </c>
      <c r="E3027" t="inlineStr">
        <is>
          <t>ÅTVIDABERG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16365-2021</t>
        </is>
      </c>
      <c r="B3028" s="1" t="n">
        <v>44292</v>
      </c>
      <c r="C3028" s="1" t="n">
        <v>45710</v>
      </c>
      <c r="D3028" t="inlineStr">
        <is>
          <t>ÖSTERGÖTLANDS LÄN</t>
        </is>
      </c>
      <c r="E3028" t="inlineStr">
        <is>
          <t>ÅTVIDABERG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16363-2021</t>
        </is>
      </c>
      <c r="B3029" s="1" t="n">
        <v>44292</v>
      </c>
      <c r="C3029" s="1" t="n">
        <v>45710</v>
      </c>
      <c r="D3029" t="inlineStr">
        <is>
          <t>ÖSTERGÖTLANDS LÄN</t>
        </is>
      </c>
      <c r="E3029" t="inlineStr">
        <is>
          <t>ÅTVIDABERG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16369-2021</t>
        </is>
      </c>
      <c r="B3030" s="1" t="n">
        <v>44292</v>
      </c>
      <c r="C3030" s="1" t="n">
        <v>45710</v>
      </c>
      <c r="D3030" t="inlineStr">
        <is>
          <t>ÖSTERGÖTLANDS LÄN</t>
        </is>
      </c>
      <c r="E3030" t="inlineStr">
        <is>
          <t>ÅTVIDABERG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16396-2021</t>
        </is>
      </c>
      <c r="B3031" s="1" t="n">
        <v>44293</v>
      </c>
      <c r="C3031" s="1" t="n">
        <v>45710</v>
      </c>
      <c r="D3031" t="inlineStr">
        <is>
          <t>ÖSTERGÖTLANDS LÄN</t>
        </is>
      </c>
      <c r="E3031" t="inlineStr">
        <is>
          <t>VALDEMARSVIK</t>
        </is>
      </c>
      <c r="F3031" t="inlineStr">
        <is>
          <t>Kommuner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16462-2021</t>
        </is>
      </c>
      <c r="B3032" s="1" t="n">
        <v>44293</v>
      </c>
      <c r="C3032" s="1" t="n">
        <v>45710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24.7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16480-2021</t>
        </is>
      </c>
      <c r="B3033" s="1" t="n">
        <v>44293</v>
      </c>
      <c r="C3033" s="1" t="n">
        <v>45710</v>
      </c>
      <c r="D3033" t="inlineStr">
        <is>
          <t>ÖSTERGÖTLANDS LÄN</t>
        </is>
      </c>
      <c r="E3033" t="inlineStr">
        <is>
          <t>ÅTVIDABERG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16402-2021</t>
        </is>
      </c>
      <c r="B3034" s="1" t="n">
        <v>44293</v>
      </c>
      <c r="C3034" s="1" t="n">
        <v>45710</v>
      </c>
      <c r="D3034" t="inlineStr">
        <is>
          <t>ÖSTERGÖTLANDS LÄN</t>
        </is>
      </c>
      <c r="E3034" t="inlineStr">
        <is>
          <t>VALDEMARSVIK</t>
        </is>
      </c>
      <c r="F3034" t="inlineStr">
        <is>
          <t>Kommuner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16469-2021</t>
        </is>
      </c>
      <c r="B3035" s="1" t="n">
        <v>44293</v>
      </c>
      <c r="C3035" s="1" t="n">
        <v>45710</v>
      </c>
      <c r="D3035" t="inlineStr">
        <is>
          <t>ÖSTERGÖTLANDS LÄN</t>
        </is>
      </c>
      <c r="E3035" t="inlineStr">
        <is>
          <t>LINKÖPING</t>
        </is>
      </c>
      <c r="F3035" t="inlineStr">
        <is>
          <t>Allmännings- och besparingsskogar</t>
        </is>
      </c>
      <c r="G3035" t="n">
        <v>33.5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16579-2021</t>
        </is>
      </c>
      <c r="B3036" s="1" t="n">
        <v>44294</v>
      </c>
      <c r="C3036" s="1" t="n">
        <v>45710</v>
      </c>
      <c r="D3036" t="inlineStr">
        <is>
          <t>ÖSTERGÖTLANDS LÄN</t>
        </is>
      </c>
      <c r="E3036" t="inlineStr">
        <is>
          <t>KINDA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16626-2021</t>
        </is>
      </c>
      <c r="B3037" s="1" t="n">
        <v>44294</v>
      </c>
      <c r="C3037" s="1" t="n">
        <v>45710</v>
      </c>
      <c r="D3037" t="inlineStr">
        <is>
          <t>ÖSTERGÖTLANDS LÄN</t>
        </is>
      </c>
      <c r="E3037" t="inlineStr">
        <is>
          <t>NORRKÖPING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16715-2021</t>
        </is>
      </c>
      <c r="B3038" s="1" t="n">
        <v>44294</v>
      </c>
      <c r="C3038" s="1" t="n">
        <v>45710</v>
      </c>
      <c r="D3038" t="inlineStr">
        <is>
          <t>ÖSTERGÖTLANDS LÄN</t>
        </is>
      </c>
      <c r="E3038" t="inlineStr">
        <is>
          <t>LINKÖPING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16756-2021</t>
        </is>
      </c>
      <c r="B3039" s="1" t="n">
        <v>44294</v>
      </c>
      <c r="C3039" s="1" t="n">
        <v>45710</v>
      </c>
      <c r="D3039" t="inlineStr">
        <is>
          <t>ÖSTERGÖTLANDS LÄN</t>
        </is>
      </c>
      <c r="E3039" t="inlineStr">
        <is>
          <t>FINSPÅNG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16585-2021</t>
        </is>
      </c>
      <c r="B3040" s="1" t="n">
        <v>44294</v>
      </c>
      <c r="C3040" s="1" t="n">
        <v>45710</v>
      </c>
      <c r="D3040" t="inlineStr">
        <is>
          <t>ÖSTERGÖTLANDS LÄN</t>
        </is>
      </c>
      <c r="E3040" t="inlineStr">
        <is>
          <t>KINDA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16659-2021</t>
        </is>
      </c>
      <c r="B3041" s="1" t="n">
        <v>44294</v>
      </c>
      <c r="C3041" s="1" t="n">
        <v>45710</v>
      </c>
      <c r="D3041" t="inlineStr">
        <is>
          <t>ÖSTERGÖTLANDS LÄN</t>
        </is>
      </c>
      <c r="E3041" t="inlineStr">
        <is>
          <t>SÖDERKÖPING</t>
        </is>
      </c>
      <c r="G3041" t="n">
        <v>9.6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16737-2021</t>
        </is>
      </c>
      <c r="B3042" s="1" t="n">
        <v>44294</v>
      </c>
      <c r="C3042" s="1" t="n">
        <v>45710</v>
      </c>
      <c r="D3042" t="inlineStr">
        <is>
          <t>ÖSTERGÖTLANDS LÄN</t>
        </is>
      </c>
      <c r="E3042" t="inlineStr">
        <is>
          <t>NORRKÖPING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16892-2021</t>
        </is>
      </c>
      <c r="B3043" s="1" t="n">
        <v>44294</v>
      </c>
      <c r="C3043" s="1" t="n">
        <v>45710</v>
      </c>
      <c r="D3043" t="inlineStr">
        <is>
          <t>ÖSTERGÖTLANDS LÄN</t>
        </is>
      </c>
      <c r="E3043" t="inlineStr">
        <is>
          <t>ÅTVIDABERG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17018-2021</t>
        </is>
      </c>
      <c r="B3044" s="1" t="n">
        <v>44295</v>
      </c>
      <c r="C3044" s="1" t="n">
        <v>45710</v>
      </c>
      <c r="D3044" t="inlineStr">
        <is>
          <t>ÖSTERGÖTLANDS LÄN</t>
        </is>
      </c>
      <c r="E3044" t="inlineStr">
        <is>
          <t>YDRE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16933-2021</t>
        </is>
      </c>
      <c r="B3045" s="1" t="n">
        <v>44295</v>
      </c>
      <c r="C3045" s="1" t="n">
        <v>45710</v>
      </c>
      <c r="D3045" t="inlineStr">
        <is>
          <t>ÖSTERGÖTLANDS LÄN</t>
        </is>
      </c>
      <c r="E3045" t="inlineStr">
        <is>
          <t>YDRE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17038-2021</t>
        </is>
      </c>
      <c r="B3046" s="1" t="n">
        <v>44295</v>
      </c>
      <c r="C3046" s="1" t="n">
        <v>45710</v>
      </c>
      <c r="D3046" t="inlineStr">
        <is>
          <t>ÖSTERGÖTLANDS LÄN</t>
        </is>
      </c>
      <c r="E3046" t="inlineStr">
        <is>
          <t>ÅTVIDABERG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17010-2021</t>
        </is>
      </c>
      <c r="B3047" s="1" t="n">
        <v>44295</v>
      </c>
      <c r="C3047" s="1" t="n">
        <v>45710</v>
      </c>
      <c r="D3047" t="inlineStr">
        <is>
          <t>ÖSTERGÖTLANDS LÄN</t>
        </is>
      </c>
      <c r="E3047" t="inlineStr">
        <is>
          <t>YDRE</t>
        </is>
      </c>
      <c r="G3047" t="n">
        <v>6.6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17233-2021</t>
        </is>
      </c>
      <c r="B3048" s="1" t="n">
        <v>44298</v>
      </c>
      <c r="C3048" s="1" t="n">
        <v>45710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17246-2021</t>
        </is>
      </c>
      <c r="B3049" s="1" t="n">
        <v>44298</v>
      </c>
      <c r="C3049" s="1" t="n">
        <v>45710</v>
      </c>
      <c r="D3049" t="inlineStr">
        <is>
          <t>ÖSTERGÖTLANDS LÄN</t>
        </is>
      </c>
      <c r="E3049" t="inlineStr">
        <is>
          <t>FINSPÅNG</t>
        </is>
      </c>
      <c r="G3049" t="n">
        <v>8.699999999999999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17292-2021</t>
        </is>
      </c>
      <c r="B3050" s="1" t="n">
        <v>44298</v>
      </c>
      <c r="C3050" s="1" t="n">
        <v>45710</v>
      </c>
      <c r="D3050" t="inlineStr">
        <is>
          <t>ÖSTERGÖTLANDS LÄN</t>
        </is>
      </c>
      <c r="E3050" t="inlineStr">
        <is>
          <t>LINKÖPING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17307-2021</t>
        </is>
      </c>
      <c r="B3051" s="1" t="n">
        <v>44298</v>
      </c>
      <c r="C3051" s="1" t="n">
        <v>45710</v>
      </c>
      <c r="D3051" t="inlineStr">
        <is>
          <t>ÖSTERGÖTLANDS LÄN</t>
        </is>
      </c>
      <c r="E3051" t="inlineStr">
        <is>
          <t>YDRE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17636-2021</t>
        </is>
      </c>
      <c r="B3052" s="1" t="n">
        <v>44300</v>
      </c>
      <c r="C3052" s="1" t="n">
        <v>45710</v>
      </c>
      <c r="D3052" t="inlineStr">
        <is>
          <t>ÖSTERGÖTLANDS LÄN</t>
        </is>
      </c>
      <c r="E3052" t="inlineStr">
        <is>
          <t>NORRKÖPING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17633-2021</t>
        </is>
      </c>
      <c r="B3053" s="1" t="n">
        <v>44300</v>
      </c>
      <c r="C3053" s="1" t="n">
        <v>45710</v>
      </c>
      <c r="D3053" t="inlineStr">
        <is>
          <t>ÖSTERGÖTLANDS LÄN</t>
        </is>
      </c>
      <c r="E3053" t="inlineStr">
        <is>
          <t>NORRKÖPING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17797-2021</t>
        </is>
      </c>
      <c r="B3054" s="1" t="n">
        <v>44300</v>
      </c>
      <c r="C3054" s="1" t="n">
        <v>45710</v>
      </c>
      <c r="D3054" t="inlineStr">
        <is>
          <t>ÖSTERGÖTLANDS LÄN</t>
        </is>
      </c>
      <c r="E3054" t="inlineStr">
        <is>
          <t>MJÖLBY</t>
        </is>
      </c>
      <c r="G3054" t="n">
        <v>4.4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17880-2021</t>
        </is>
      </c>
      <c r="B3055" s="1" t="n">
        <v>44301</v>
      </c>
      <c r="C3055" s="1" t="n">
        <v>45710</v>
      </c>
      <c r="D3055" t="inlineStr">
        <is>
          <t>ÖSTERGÖTLANDS LÄN</t>
        </is>
      </c>
      <c r="E3055" t="inlineStr">
        <is>
          <t>BOXHOLM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17890-2021</t>
        </is>
      </c>
      <c r="B3056" s="1" t="n">
        <v>44301</v>
      </c>
      <c r="C3056" s="1" t="n">
        <v>45710</v>
      </c>
      <c r="D3056" t="inlineStr">
        <is>
          <t>ÖSTERGÖTLANDS LÄN</t>
        </is>
      </c>
      <c r="E3056" t="inlineStr">
        <is>
          <t>NORRKÖPING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17523-2021</t>
        </is>
      </c>
      <c r="B3057" s="1" t="n">
        <v>44301</v>
      </c>
      <c r="C3057" s="1" t="n">
        <v>45710</v>
      </c>
      <c r="D3057" t="inlineStr">
        <is>
          <t>ÖSTERGÖTLANDS LÄN</t>
        </is>
      </c>
      <c r="E3057" t="inlineStr">
        <is>
          <t>NORRKÖPING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17901-2021</t>
        </is>
      </c>
      <c r="B3058" s="1" t="n">
        <v>44301</v>
      </c>
      <c r="C3058" s="1" t="n">
        <v>45710</v>
      </c>
      <c r="D3058" t="inlineStr">
        <is>
          <t>ÖSTERGÖTLANDS LÄN</t>
        </is>
      </c>
      <c r="E3058" t="inlineStr">
        <is>
          <t>NORRKÖPING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17882-2021</t>
        </is>
      </c>
      <c r="B3059" s="1" t="n">
        <v>44301</v>
      </c>
      <c r="C3059" s="1" t="n">
        <v>45710</v>
      </c>
      <c r="D3059" t="inlineStr">
        <is>
          <t>ÖSTERGÖTLANDS LÄN</t>
        </is>
      </c>
      <c r="E3059" t="inlineStr">
        <is>
          <t>BOXHOLM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18177-2021</t>
        </is>
      </c>
      <c r="B3060" s="1" t="n">
        <v>44302</v>
      </c>
      <c r="C3060" s="1" t="n">
        <v>45710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18184-2021</t>
        </is>
      </c>
      <c r="B3061" s="1" t="n">
        <v>44302</v>
      </c>
      <c r="C3061" s="1" t="n">
        <v>45710</v>
      </c>
      <c r="D3061" t="inlineStr">
        <is>
          <t>ÖSTERGÖTLANDS LÄN</t>
        </is>
      </c>
      <c r="E3061" t="inlineStr">
        <is>
          <t>FINSPÅNG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18187-2021</t>
        </is>
      </c>
      <c r="B3062" s="1" t="n">
        <v>44302</v>
      </c>
      <c r="C3062" s="1" t="n">
        <v>45710</v>
      </c>
      <c r="D3062" t="inlineStr">
        <is>
          <t>ÖSTERGÖTLANDS LÄN</t>
        </is>
      </c>
      <c r="E3062" t="inlineStr">
        <is>
          <t>FINSPÅNG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18009-2021</t>
        </is>
      </c>
      <c r="B3063" s="1" t="n">
        <v>44302</v>
      </c>
      <c r="C3063" s="1" t="n">
        <v>45710</v>
      </c>
      <c r="D3063" t="inlineStr">
        <is>
          <t>ÖSTERGÖTLANDS LÄN</t>
        </is>
      </c>
      <c r="E3063" t="inlineStr">
        <is>
          <t>NORRKÖPING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18145-2021</t>
        </is>
      </c>
      <c r="B3064" s="1" t="n">
        <v>44302</v>
      </c>
      <c r="C3064" s="1" t="n">
        <v>45710</v>
      </c>
      <c r="D3064" t="inlineStr">
        <is>
          <t>ÖSTERGÖTLANDS LÄN</t>
        </is>
      </c>
      <c r="E3064" t="inlineStr">
        <is>
          <t>LINKÖPING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18324-2021</t>
        </is>
      </c>
      <c r="B3065" s="1" t="n">
        <v>44305</v>
      </c>
      <c r="C3065" s="1" t="n">
        <v>45710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Kyrkan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18262-2021</t>
        </is>
      </c>
      <c r="B3066" s="1" t="n">
        <v>44305</v>
      </c>
      <c r="C3066" s="1" t="n">
        <v>45710</v>
      </c>
      <c r="D3066" t="inlineStr">
        <is>
          <t>ÖSTERGÖTLANDS LÄN</t>
        </is>
      </c>
      <c r="E3066" t="inlineStr">
        <is>
          <t>FINSPÅNG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18318-2021</t>
        </is>
      </c>
      <c r="B3067" s="1" t="n">
        <v>44305</v>
      </c>
      <c r="C3067" s="1" t="n">
        <v>45710</v>
      </c>
      <c r="D3067" t="inlineStr">
        <is>
          <t>ÖSTERGÖTLANDS LÄN</t>
        </is>
      </c>
      <c r="E3067" t="inlineStr">
        <is>
          <t>ÅTVIDABERG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18361-2021</t>
        </is>
      </c>
      <c r="B3068" s="1" t="n">
        <v>44305</v>
      </c>
      <c r="C3068" s="1" t="n">
        <v>45710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18314-2021</t>
        </is>
      </c>
      <c r="B3069" s="1" t="n">
        <v>44305</v>
      </c>
      <c r="C3069" s="1" t="n">
        <v>45710</v>
      </c>
      <c r="D3069" t="inlineStr">
        <is>
          <t>ÖSTERGÖTLANDS LÄN</t>
        </is>
      </c>
      <c r="E3069" t="inlineStr">
        <is>
          <t>YDRE</t>
        </is>
      </c>
      <c r="F3069" t="inlineStr">
        <is>
          <t>Kyrkan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18326-2021</t>
        </is>
      </c>
      <c r="B3070" s="1" t="n">
        <v>44305</v>
      </c>
      <c r="C3070" s="1" t="n">
        <v>45710</v>
      </c>
      <c r="D3070" t="inlineStr">
        <is>
          <t>ÖSTERGÖTLANDS LÄN</t>
        </is>
      </c>
      <c r="E3070" t="inlineStr">
        <is>
          <t>YDRE</t>
        </is>
      </c>
      <c r="F3070" t="inlineStr">
        <is>
          <t>Kyrkan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18367-2021</t>
        </is>
      </c>
      <c r="B3071" s="1" t="n">
        <v>44305</v>
      </c>
      <c r="C3071" s="1" t="n">
        <v>45710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18549-2021</t>
        </is>
      </c>
      <c r="B3072" s="1" t="n">
        <v>44306</v>
      </c>
      <c r="C3072" s="1" t="n">
        <v>45710</v>
      </c>
      <c r="D3072" t="inlineStr">
        <is>
          <t>ÖSTERGÖTLANDS LÄN</t>
        </is>
      </c>
      <c r="E3072" t="inlineStr">
        <is>
          <t>NORRKÖPING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18785-2021</t>
        </is>
      </c>
      <c r="B3073" s="1" t="n">
        <v>44307</v>
      </c>
      <c r="C3073" s="1" t="n">
        <v>45710</v>
      </c>
      <c r="D3073" t="inlineStr">
        <is>
          <t>ÖSTERGÖTLANDS LÄN</t>
        </is>
      </c>
      <c r="E3073" t="inlineStr">
        <is>
          <t>MOTALA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18840-2021</t>
        </is>
      </c>
      <c r="B3074" s="1" t="n">
        <v>44307</v>
      </c>
      <c r="C3074" s="1" t="n">
        <v>45710</v>
      </c>
      <c r="D3074" t="inlineStr">
        <is>
          <t>ÖSTERGÖTLANDS LÄN</t>
        </is>
      </c>
      <c r="E3074" t="inlineStr">
        <is>
          <t>ÖDESHÖG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18765-2021</t>
        </is>
      </c>
      <c r="B3075" s="1" t="n">
        <v>44307</v>
      </c>
      <c r="C3075" s="1" t="n">
        <v>45710</v>
      </c>
      <c r="D3075" t="inlineStr">
        <is>
          <t>ÖSTERGÖTLANDS LÄN</t>
        </is>
      </c>
      <c r="E3075" t="inlineStr">
        <is>
          <t>NORRKÖPING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19104-2021</t>
        </is>
      </c>
      <c r="B3076" s="1" t="n">
        <v>44308</v>
      </c>
      <c r="C3076" s="1" t="n">
        <v>45710</v>
      </c>
      <c r="D3076" t="inlineStr">
        <is>
          <t>ÖSTERGÖTLANDS LÄN</t>
        </is>
      </c>
      <c r="E3076" t="inlineStr">
        <is>
          <t>MOTALA</t>
        </is>
      </c>
      <c r="F3076" t="inlineStr">
        <is>
          <t>Allmännings- och besparingsskogar</t>
        </is>
      </c>
      <c r="G3076" t="n">
        <v>4.4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18988-2021</t>
        </is>
      </c>
      <c r="B3077" s="1" t="n">
        <v>44308</v>
      </c>
      <c r="C3077" s="1" t="n">
        <v>45710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18956-2021</t>
        </is>
      </c>
      <c r="B3078" s="1" t="n">
        <v>44308</v>
      </c>
      <c r="C3078" s="1" t="n">
        <v>45710</v>
      </c>
      <c r="D3078" t="inlineStr">
        <is>
          <t>ÖSTERGÖTLANDS LÄN</t>
        </is>
      </c>
      <c r="E3078" t="inlineStr">
        <is>
          <t>LINKÖPING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19050-2021</t>
        </is>
      </c>
      <c r="B3079" s="1" t="n">
        <v>44308</v>
      </c>
      <c r="C3079" s="1" t="n">
        <v>45710</v>
      </c>
      <c r="D3079" t="inlineStr">
        <is>
          <t>ÖSTERGÖTLANDS LÄN</t>
        </is>
      </c>
      <c r="E3079" t="inlineStr">
        <is>
          <t>VALDEMARSVIK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19119-2021</t>
        </is>
      </c>
      <c r="B3080" s="1" t="n">
        <v>44308</v>
      </c>
      <c r="C3080" s="1" t="n">
        <v>45710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Allmännings- och besparingsskogar</t>
        </is>
      </c>
      <c r="G3080" t="n">
        <v>7.2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19071-2021</t>
        </is>
      </c>
      <c r="B3081" s="1" t="n">
        <v>44308</v>
      </c>
      <c r="C3081" s="1" t="n">
        <v>45710</v>
      </c>
      <c r="D3081" t="inlineStr">
        <is>
          <t>ÖSTERGÖTLANDS LÄN</t>
        </is>
      </c>
      <c r="E3081" t="inlineStr">
        <is>
          <t>KINDA</t>
        </is>
      </c>
      <c r="G3081" t="n">
        <v>4.5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19187-2021</t>
        </is>
      </c>
      <c r="B3082" s="1" t="n">
        <v>44308</v>
      </c>
      <c r="C3082" s="1" t="n">
        <v>45710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Allmännings- och besparingsskogar</t>
        </is>
      </c>
      <c r="G3082" t="n">
        <v>20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19183-2021</t>
        </is>
      </c>
      <c r="B3083" s="1" t="n">
        <v>44308</v>
      </c>
      <c r="C3083" s="1" t="n">
        <v>45710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Allmännings- och besparingsskogar</t>
        </is>
      </c>
      <c r="G3083" t="n">
        <v>4.6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19324-2021</t>
        </is>
      </c>
      <c r="B3084" s="1" t="n">
        <v>44309</v>
      </c>
      <c r="C3084" s="1" t="n">
        <v>45710</v>
      </c>
      <c r="D3084" t="inlineStr">
        <is>
          <t>ÖSTERGÖTLANDS LÄN</t>
        </is>
      </c>
      <c r="E3084" t="inlineStr">
        <is>
          <t>KINDA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19329-2021</t>
        </is>
      </c>
      <c r="B3085" s="1" t="n">
        <v>44309</v>
      </c>
      <c r="C3085" s="1" t="n">
        <v>45710</v>
      </c>
      <c r="D3085" t="inlineStr">
        <is>
          <t>ÖSTERGÖTLANDS LÄN</t>
        </is>
      </c>
      <c r="E3085" t="inlineStr">
        <is>
          <t>KINDA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19634-2021</t>
        </is>
      </c>
      <c r="B3086" s="1" t="n">
        <v>44309</v>
      </c>
      <c r="C3086" s="1" t="n">
        <v>45710</v>
      </c>
      <c r="D3086" t="inlineStr">
        <is>
          <t>ÖSTERGÖTLANDS LÄN</t>
        </is>
      </c>
      <c r="E3086" t="inlineStr">
        <is>
          <t>MOTALA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19254-2021</t>
        </is>
      </c>
      <c r="B3087" s="1" t="n">
        <v>44309</v>
      </c>
      <c r="C3087" s="1" t="n">
        <v>45710</v>
      </c>
      <c r="D3087" t="inlineStr">
        <is>
          <t>ÖSTERGÖTLANDS LÄN</t>
        </is>
      </c>
      <c r="E3087" t="inlineStr">
        <is>
          <t>LINKÖPING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19466-2021</t>
        </is>
      </c>
      <c r="B3088" s="1" t="n">
        <v>44311</v>
      </c>
      <c r="C3088" s="1" t="n">
        <v>45710</v>
      </c>
      <c r="D3088" t="inlineStr">
        <is>
          <t>ÖSTERGÖTLANDS LÄN</t>
        </is>
      </c>
      <c r="E3088" t="inlineStr">
        <is>
          <t>YDRE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19582-2021</t>
        </is>
      </c>
      <c r="B3089" s="1" t="n">
        <v>44312</v>
      </c>
      <c r="C3089" s="1" t="n">
        <v>45710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7.4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19631-2021</t>
        </is>
      </c>
      <c r="B3090" s="1" t="n">
        <v>44312</v>
      </c>
      <c r="C3090" s="1" t="n">
        <v>45710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19610-2021</t>
        </is>
      </c>
      <c r="B3091" s="1" t="n">
        <v>44312</v>
      </c>
      <c r="C3091" s="1" t="n">
        <v>45710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19785-2021</t>
        </is>
      </c>
      <c r="B3092" s="1" t="n">
        <v>44313</v>
      </c>
      <c r="C3092" s="1" t="n">
        <v>45710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19755-2021</t>
        </is>
      </c>
      <c r="B3093" s="1" t="n">
        <v>44313</v>
      </c>
      <c r="C3093" s="1" t="n">
        <v>45710</v>
      </c>
      <c r="D3093" t="inlineStr">
        <is>
          <t>ÖSTERGÖTLANDS LÄN</t>
        </is>
      </c>
      <c r="E3093" t="inlineStr">
        <is>
          <t>FINSPÅNG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19799-2021</t>
        </is>
      </c>
      <c r="B3094" s="1" t="n">
        <v>44313</v>
      </c>
      <c r="C3094" s="1" t="n">
        <v>45710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Kyrkan</t>
        </is>
      </c>
      <c r="G3094" t="n">
        <v>5.7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19872-2021</t>
        </is>
      </c>
      <c r="B3095" s="1" t="n">
        <v>44313</v>
      </c>
      <c r="C3095" s="1" t="n">
        <v>45710</v>
      </c>
      <c r="D3095" t="inlineStr">
        <is>
          <t>ÖSTERGÖTLANDS LÄN</t>
        </is>
      </c>
      <c r="E3095" t="inlineStr">
        <is>
          <t>FINSPÅNG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19971-2021</t>
        </is>
      </c>
      <c r="B3096" s="1" t="n">
        <v>44313</v>
      </c>
      <c r="C3096" s="1" t="n">
        <v>45710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19827-2021</t>
        </is>
      </c>
      <c r="B3097" s="1" t="n">
        <v>44313</v>
      </c>
      <c r="C3097" s="1" t="n">
        <v>45710</v>
      </c>
      <c r="D3097" t="inlineStr">
        <is>
          <t>ÖSTERGÖTLANDS LÄN</t>
        </is>
      </c>
      <c r="E3097" t="inlineStr">
        <is>
          <t>NORRKÖPING</t>
        </is>
      </c>
      <c r="F3097" t="inlineStr">
        <is>
          <t>Holmen skog AB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19838-2021</t>
        </is>
      </c>
      <c r="B3098" s="1" t="n">
        <v>44313</v>
      </c>
      <c r="C3098" s="1" t="n">
        <v>45710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19891-2021</t>
        </is>
      </c>
      <c r="B3099" s="1" t="n">
        <v>44313</v>
      </c>
      <c r="C3099" s="1" t="n">
        <v>45710</v>
      </c>
      <c r="D3099" t="inlineStr">
        <is>
          <t>ÖSTERGÖTLANDS LÄN</t>
        </is>
      </c>
      <c r="E3099" t="inlineStr">
        <is>
          <t>MOTALA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19960-2021</t>
        </is>
      </c>
      <c r="B3100" s="1" t="n">
        <v>44313</v>
      </c>
      <c r="C3100" s="1" t="n">
        <v>45710</v>
      </c>
      <c r="D3100" t="inlineStr">
        <is>
          <t>ÖSTERGÖTLANDS LÄN</t>
        </is>
      </c>
      <c r="E3100" t="inlineStr">
        <is>
          <t>KINDA</t>
        </is>
      </c>
      <c r="G3100" t="n">
        <v>5.5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19987-2021</t>
        </is>
      </c>
      <c r="B3101" s="1" t="n">
        <v>44313</v>
      </c>
      <c r="C3101" s="1" t="n">
        <v>45710</v>
      </c>
      <c r="D3101" t="inlineStr">
        <is>
          <t>ÖSTERGÖTLANDS LÄN</t>
        </is>
      </c>
      <c r="E3101" t="inlineStr">
        <is>
          <t>FINSPÅNG</t>
        </is>
      </c>
      <c r="G3101" t="n">
        <v>3.9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20083-2021</t>
        </is>
      </c>
      <c r="B3102" s="1" t="n">
        <v>44314</v>
      </c>
      <c r="C3102" s="1" t="n">
        <v>45710</v>
      </c>
      <c r="D3102" t="inlineStr">
        <is>
          <t>ÖSTERGÖTLANDS LÄN</t>
        </is>
      </c>
      <c r="E3102" t="inlineStr">
        <is>
          <t>KINDA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20226-2021</t>
        </is>
      </c>
      <c r="B3103" s="1" t="n">
        <v>44314</v>
      </c>
      <c r="C3103" s="1" t="n">
        <v>45710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20056-2021</t>
        </is>
      </c>
      <c r="B3104" s="1" t="n">
        <v>44314</v>
      </c>
      <c r="C3104" s="1" t="n">
        <v>45710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20287-2021</t>
        </is>
      </c>
      <c r="B3105" s="1" t="n">
        <v>44314</v>
      </c>
      <c r="C3105" s="1" t="n">
        <v>45710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20235-2021</t>
        </is>
      </c>
      <c r="B3106" s="1" t="n">
        <v>44314</v>
      </c>
      <c r="C3106" s="1" t="n">
        <v>45710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20171-2021</t>
        </is>
      </c>
      <c r="B3107" s="1" t="n">
        <v>44314</v>
      </c>
      <c r="C3107" s="1" t="n">
        <v>45710</v>
      </c>
      <c r="D3107" t="inlineStr">
        <is>
          <t>ÖSTERGÖTLANDS LÄN</t>
        </is>
      </c>
      <c r="E3107" t="inlineStr">
        <is>
          <t>VALDEMARSVIK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20480-2021</t>
        </is>
      </c>
      <c r="B3108" s="1" t="n">
        <v>44315</v>
      </c>
      <c r="C3108" s="1" t="n">
        <v>45710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5.4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20411-2021</t>
        </is>
      </c>
      <c r="B3109" s="1" t="n">
        <v>44315</v>
      </c>
      <c r="C3109" s="1" t="n">
        <v>45710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20534-2021</t>
        </is>
      </c>
      <c r="B3110" s="1" t="n">
        <v>44315</v>
      </c>
      <c r="C3110" s="1" t="n">
        <v>45710</v>
      </c>
      <c r="D3110" t="inlineStr">
        <is>
          <t>ÖSTERGÖTLANDS LÄN</t>
        </is>
      </c>
      <c r="E3110" t="inlineStr">
        <is>
          <t>VALDEMARSVIK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20403-2021</t>
        </is>
      </c>
      <c r="B3111" s="1" t="n">
        <v>44315</v>
      </c>
      <c r="C3111" s="1" t="n">
        <v>45710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20444-2021</t>
        </is>
      </c>
      <c r="B3112" s="1" t="n">
        <v>44315</v>
      </c>
      <c r="C3112" s="1" t="n">
        <v>45710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20485-2021</t>
        </is>
      </c>
      <c r="B3113" s="1" t="n">
        <v>44315</v>
      </c>
      <c r="C3113" s="1" t="n">
        <v>45710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20587-2021</t>
        </is>
      </c>
      <c r="B3114" s="1" t="n">
        <v>44316</v>
      </c>
      <c r="C3114" s="1" t="n">
        <v>45710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20629-2021</t>
        </is>
      </c>
      <c r="B3115" s="1" t="n">
        <v>44316</v>
      </c>
      <c r="C3115" s="1" t="n">
        <v>45710</v>
      </c>
      <c r="D3115" t="inlineStr">
        <is>
          <t>ÖSTERGÖTLANDS LÄN</t>
        </is>
      </c>
      <c r="E3115" t="inlineStr">
        <is>
          <t>YDRE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21667-2021</t>
        </is>
      </c>
      <c r="B3116" s="1" t="n">
        <v>44316</v>
      </c>
      <c r="C3116" s="1" t="n">
        <v>45710</v>
      </c>
      <c r="D3116" t="inlineStr">
        <is>
          <t>ÖSTERGÖTLANDS LÄN</t>
        </is>
      </c>
      <c r="E3116" t="inlineStr">
        <is>
          <t>KINDA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20901-2021</t>
        </is>
      </c>
      <c r="B3117" s="1" t="n">
        <v>44319</v>
      </c>
      <c r="C3117" s="1" t="n">
        <v>45710</v>
      </c>
      <c r="D3117" t="inlineStr">
        <is>
          <t>ÖSTERGÖTLANDS LÄN</t>
        </is>
      </c>
      <c r="E3117" t="inlineStr">
        <is>
          <t>LINKÖPING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20914-2021</t>
        </is>
      </c>
      <c r="B3118" s="1" t="n">
        <v>44319</v>
      </c>
      <c r="C3118" s="1" t="n">
        <v>45710</v>
      </c>
      <c r="D3118" t="inlineStr">
        <is>
          <t>ÖSTERGÖTLANDS LÄN</t>
        </is>
      </c>
      <c r="E3118" t="inlineStr">
        <is>
          <t>KINDA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20972-2021</t>
        </is>
      </c>
      <c r="B3119" s="1" t="n">
        <v>44319</v>
      </c>
      <c r="C3119" s="1" t="n">
        <v>45710</v>
      </c>
      <c r="D3119" t="inlineStr">
        <is>
          <t>ÖSTERGÖTLANDS LÄN</t>
        </is>
      </c>
      <c r="E3119" t="inlineStr">
        <is>
          <t>KINDA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20935-2021</t>
        </is>
      </c>
      <c r="B3120" s="1" t="n">
        <v>44319</v>
      </c>
      <c r="C3120" s="1" t="n">
        <v>45710</v>
      </c>
      <c r="D3120" t="inlineStr">
        <is>
          <t>ÖSTERGÖTLANDS LÄN</t>
        </is>
      </c>
      <c r="E3120" t="inlineStr">
        <is>
          <t>MJÖLBY</t>
        </is>
      </c>
      <c r="F3120" t="inlineStr">
        <is>
          <t>Kommuner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20920-2021</t>
        </is>
      </c>
      <c r="B3121" s="1" t="n">
        <v>44319</v>
      </c>
      <c r="C3121" s="1" t="n">
        <v>45710</v>
      </c>
      <c r="D3121" t="inlineStr">
        <is>
          <t>ÖSTERGÖTLANDS LÄN</t>
        </is>
      </c>
      <c r="E3121" t="inlineStr">
        <is>
          <t>KINDA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21293-2021</t>
        </is>
      </c>
      <c r="B3122" s="1" t="n">
        <v>44320</v>
      </c>
      <c r="C3122" s="1" t="n">
        <v>45710</v>
      </c>
      <c r="D3122" t="inlineStr">
        <is>
          <t>ÖSTERGÖTLANDS LÄN</t>
        </is>
      </c>
      <c r="E3122" t="inlineStr">
        <is>
          <t>KINDA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21286-2021</t>
        </is>
      </c>
      <c r="B3123" s="1" t="n">
        <v>44320</v>
      </c>
      <c r="C3123" s="1" t="n">
        <v>45710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Allmännings- och besparingsskogar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21371-2021</t>
        </is>
      </c>
      <c r="B3124" s="1" t="n">
        <v>44321</v>
      </c>
      <c r="C3124" s="1" t="n">
        <v>45710</v>
      </c>
      <c r="D3124" t="inlineStr">
        <is>
          <t>ÖSTERGÖTLANDS LÄN</t>
        </is>
      </c>
      <c r="E3124" t="inlineStr">
        <is>
          <t>VALDEMARSVIK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21575-2021</t>
        </is>
      </c>
      <c r="B3125" s="1" t="n">
        <v>44321</v>
      </c>
      <c r="C3125" s="1" t="n">
        <v>45710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21577-2021</t>
        </is>
      </c>
      <c r="B3126" s="1" t="n">
        <v>44321</v>
      </c>
      <c r="C3126" s="1" t="n">
        <v>45710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21874-2021</t>
        </is>
      </c>
      <c r="B3127" s="1" t="n">
        <v>44322</v>
      </c>
      <c r="C3127" s="1" t="n">
        <v>45710</v>
      </c>
      <c r="D3127" t="inlineStr">
        <is>
          <t>ÖSTERGÖTLANDS LÄN</t>
        </is>
      </c>
      <c r="E3127" t="inlineStr">
        <is>
          <t>VALDEMARSVIK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21863-2021</t>
        </is>
      </c>
      <c r="B3128" s="1" t="n">
        <v>44322</v>
      </c>
      <c r="C3128" s="1" t="n">
        <v>45710</v>
      </c>
      <c r="D3128" t="inlineStr">
        <is>
          <t>ÖSTERGÖTLANDS LÄN</t>
        </is>
      </c>
      <c r="E3128" t="inlineStr">
        <is>
          <t>NORRKÖPING</t>
        </is>
      </c>
      <c r="G3128" t="n">
        <v>8.300000000000001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22378-2021</t>
        </is>
      </c>
      <c r="B3129" s="1" t="n">
        <v>44322</v>
      </c>
      <c r="C3129" s="1" t="n">
        <v>45710</v>
      </c>
      <c r="D3129" t="inlineStr">
        <is>
          <t>ÖSTERGÖTLANDS LÄN</t>
        </is>
      </c>
      <c r="E3129" t="inlineStr">
        <is>
          <t>KINDA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22048-2021</t>
        </is>
      </c>
      <c r="B3130" s="1" t="n">
        <v>44323</v>
      </c>
      <c r="C3130" s="1" t="n">
        <v>45710</v>
      </c>
      <c r="D3130" t="inlineStr">
        <is>
          <t>ÖSTERGÖTLANDS LÄN</t>
        </is>
      </c>
      <c r="E3130" t="inlineStr">
        <is>
          <t>KINDA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22174-2021</t>
        </is>
      </c>
      <c r="B3131" s="1" t="n">
        <v>44325</v>
      </c>
      <c r="C3131" s="1" t="n">
        <v>45710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Sveaskog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22244-2021</t>
        </is>
      </c>
      <c r="B3132" s="1" t="n">
        <v>44326</v>
      </c>
      <c r="C3132" s="1" t="n">
        <v>45710</v>
      </c>
      <c r="D3132" t="inlineStr">
        <is>
          <t>ÖSTERGÖTLANDS LÄN</t>
        </is>
      </c>
      <c r="E3132" t="inlineStr">
        <is>
          <t>NORRKÖPING</t>
        </is>
      </c>
      <c r="G3132" t="n">
        <v>13.7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22276-2021</t>
        </is>
      </c>
      <c r="B3133" s="1" t="n">
        <v>44326</v>
      </c>
      <c r="C3133" s="1" t="n">
        <v>45710</v>
      </c>
      <c r="D3133" t="inlineStr">
        <is>
          <t>ÖSTERGÖTLANDS LÄN</t>
        </is>
      </c>
      <c r="E3133" t="inlineStr">
        <is>
          <t>KINDA</t>
        </is>
      </c>
      <c r="G3133" t="n">
        <v>0.1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22272-2021</t>
        </is>
      </c>
      <c r="B3134" s="1" t="n">
        <v>44326</v>
      </c>
      <c r="C3134" s="1" t="n">
        <v>45710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22492-2021</t>
        </is>
      </c>
      <c r="B3135" s="1" t="n">
        <v>44326</v>
      </c>
      <c r="C3135" s="1" t="n">
        <v>45710</v>
      </c>
      <c r="D3135" t="inlineStr">
        <is>
          <t>ÖSTERGÖTLANDS LÄN</t>
        </is>
      </c>
      <c r="E3135" t="inlineStr">
        <is>
          <t>NORRKÖPING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22471-2021</t>
        </is>
      </c>
      <c r="B3136" s="1" t="n">
        <v>44326</v>
      </c>
      <c r="C3136" s="1" t="n">
        <v>45710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22491-2021</t>
        </is>
      </c>
      <c r="B3137" s="1" t="n">
        <v>44326</v>
      </c>
      <c r="C3137" s="1" t="n">
        <v>45710</v>
      </c>
      <c r="D3137" t="inlineStr">
        <is>
          <t>ÖSTERGÖTLANDS LÄN</t>
        </is>
      </c>
      <c r="E3137" t="inlineStr">
        <is>
          <t>NORRKÖPING</t>
        </is>
      </c>
      <c r="G3137" t="n">
        <v>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22453-2021</t>
        </is>
      </c>
      <c r="B3138" s="1" t="n">
        <v>44326</v>
      </c>
      <c r="C3138" s="1" t="n">
        <v>45710</v>
      </c>
      <c r="D3138" t="inlineStr">
        <is>
          <t>ÖSTERGÖTLANDS LÄN</t>
        </is>
      </c>
      <c r="E3138" t="inlineStr">
        <is>
          <t>VALDEMARSVIK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22470-2021</t>
        </is>
      </c>
      <c r="B3139" s="1" t="n">
        <v>44326</v>
      </c>
      <c r="C3139" s="1" t="n">
        <v>45710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22489-2021</t>
        </is>
      </c>
      <c r="B3140" s="1" t="n">
        <v>44326</v>
      </c>
      <c r="C3140" s="1" t="n">
        <v>45710</v>
      </c>
      <c r="D3140" t="inlineStr">
        <is>
          <t>ÖSTERGÖTLANDS LÄN</t>
        </is>
      </c>
      <c r="E3140" t="inlineStr">
        <is>
          <t>NORRKÖPING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22493-2021</t>
        </is>
      </c>
      <c r="B3141" s="1" t="n">
        <v>44326</v>
      </c>
      <c r="C3141" s="1" t="n">
        <v>45710</v>
      </c>
      <c r="D3141" t="inlineStr">
        <is>
          <t>ÖSTERGÖTLANDS LÄN</t>
        </is>
      </c>
      <c r="E3141" t="inlineStr">
        <is>
          <t>NORRKÖPING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22573-2021</t>
        </is>
      </c>
      <c r="B3142" s="1" t="n">
        <v>44327</v>
      </c>
      <c r="C3142" s="1" t="n">
        <v>45710</v>
      </c>
      <c r="D3142" t="inlineStr">
        <is>
          <t>ÖSTERGÖTLANDS LÄN</t>
        </is>
      </c>
      <c r="E3142" t="inlineStr">
        <is>
          <t>ÅTVIDABERG</t>
        </is>
      </c>
      <c r="F3142" t="inlineStr">
        <is>
          <t>Övriga Aktiebolag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22767-2021</t>
        </is>
      </c>
      <c r="B3143" s="1" t="n">
        <v>44327</v>
      </c>
      <c r="C3143" s="1" t="n">
        <v>45710</v>
      </c>
      <c r="D3143" t="inlineStr">
        <is>
          <t>ÖSTERGÖTLANDS LÄN</t>
        </is>
      </c>
      <c r="E3143" t="inlineStr">
        <is>
          <t>MOTALA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22879-2021</t>
        </is>
      </c>
      <c r="B3144" s="1" t="n">
        <v>44328</v>
      </c>
      <c r="C3144" s="1" t="n">
        <v>45710</v>
      </c>
      <c r="D3144" t="inlineStr">
        <is>
          <t>ÖSTERGÖTLANDS LÄN</t>
        </is>
      </c>
      <c r="E3144" t="inlineStr">
        <is>
          <t>MOTALA</t>
        </is>
      </c>
      <c r="F3144" t="inlineStr">
        <is>
          <t>Sveaskog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22882-2021</t>
        </is>
      </c>
      <c r="B3145" s="1" t="n">
        <v>44328</v>
      </c>
      <c r="C3145" s="1" t="n">
        <v>45710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Sveaskog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22875-2021</t>
        </is>
      </c>
      <c r="B3146" s="1" t="n">
        <v>44328</v>
      </c>
      <c r="C3146" s="1" t="n">
        <v>45710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5.2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22884-2021</t>
        </is>
      </c>
      <c r="B3147" s="1" t="n">
        <v>44328</v>
      </c>
      <c r="C3147" s="1" t="n">
        <v>45710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22878-2021</t>
        </is>
      </c>
      <c r="B3148" s="1" t="n">
        <v>44328</v>
      </c>
      <c r="C3148" s="1" t="n">
        <v>45710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22886-2021</t>
        </is>
      </c>
      <c r="B3149" s="1" t="n">
        <v>44328</v>
      </c>
      <c r="C3149" s="1" t="n">
        <v>45710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23199-2021</t>
        </is>
      </c>
      <c r="B3150" s="1" t="n">
        <v>44333</v>
      </c>
      <c r="C3150" s="1" t="n">
        <v>45710</v>
      </c>
      <c r="D3150" t="inlineStr">
        <is>
          <t>ÖSTERGÖTLANDS LÄN</t>
        </is>
      </c>
      <c r="E3150" t="inlineStr">
        <is>
          <t>ÅTVIDABERG</t>
        </is>
      </c>
      <c r="F3150" t="inlineStr">
        <is>
          <t>Övriga Aktiebolag</t>
        </is>
      </c>
      <c r="G3150" t="n">
        <v>7.2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23438-2021</t>
        </is>
      </c>
      <c r="B3151" s="1" t="n">
        <v>44333</v>
      </c>
      <c r="C3151" s="1" t="n">
        <v>45710</v>
      </c>
      <c r="D3151" t="inlineStr">
        <is>
          <t>ÖSTERGÖTLANDS LÄN</t>
        </is>
      </c>
      <c r="E3151" t="inlineStr">
        <is>
          <t>NORRKÖPING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23569-2021</t>
        </is>
      </c>
      <c r="B3152" s="1" t="n">
        <v>44333</v>
      </c>
      <c r="C3152" s="1" t="n">
        <v>45710</v>
      </c>
      <c r="D3152" t="inlineStr">
        <is>
          <t>ÖSTERGÖTLANDS LÄN</t>
        </is>
      </c>
      <c r="E3152" t="inlineStr">
        <is>
          <t>NORRKÖPING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23603-2021</t>
        </is>
      </c>
      <c r="B3153" s="1" t="n">
        <v>44334</v>
      </c>
      <c r="C3153" s="1" t="n">
        <v>45710</v>
      </c>
      <c r="D3153" t="inlineStr">
        <is>
          <t>ÖSTERGÖTLANDS LÄN</t>
        </is>
      </c>
      <c r="E3153" t="inlineStr">
        <is>
          <t>MOTALA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23717-2021</t>
        </is>
      </c>
      <c r="B3154" s="1" t="n">
        <v>44334</v>
      </c>
      <c r="C3154" s="1" t="n">
        <v>45710</v>
      </c>
      <c r="D3154" t="inlineStr">
        <is>
          <t>ÖSTERGÖTLANDS LÄN</t>
        </is>
      </c>
      <c r="E3154" t="inlineStr">
        <is>
          <t>KINDA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23715-2021</t>
        </is>
      </c>
      <c r="B3155" s="1" t="n">
        <v>44334</v>
      </c>
      <c r="C3155" s="1" t="n">
        <v>45710</v>
      </c>
      <c r="D3155" t="inlineStr">
        <is>
          <t>ÖSTERGÖTLANDS LÄN</t>
        </is>
      </c>
      <c r="E3155" t="inlineStr">
        <is>
          <t>KINDA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23886-2021</t>
        </is>
      </c>
      <c r="B3156" s="1" t="n">
        <v>44335</v>
      </c>
      <c r="C3156" s="1" t="n">
        <v>45710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23959-2021</t>
        </is>
      </c>
      <c r="B3157" s="1" t="n">
        <v>44335</v>
      </c>
      <c r="C3157" s="1" t="n">
        <v>45710</v>
      </c>
      <c r="D3157" t="inlineStr">
        <is>
          <t>ÖSTERGÖTLANDS LÄN</t>
        </is>
      </c>
      <c r="E3157" t="inlineStr">
        <is>
          <t>MJÖLBY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23990-2021</t>
        </is>
      </c>
      <c r="B3158" s="1" t="n">
        <v>44335</v>
      </c>
      <c r="C3158" s="1" t="n">
        <v>45710</v>
      </c>
      <c r="D3158" t="inlineStr">
        <is>
          <t>ÖSTERGÖTLANDS LÄN</t>
        </is>
      </c>
      <c r="E3158" t="inlineStr">
        <is>
          <t>KINDA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24362-2021</t>
        </is>
      </c>
      <c r="B3159" s="1" t="n">
        <v>44337</v>
      </c>
      <c r="C3159" s="1" t="n">
        <v>45710</v>
      </c>
      <c r="D3159" t="inlineStr">
        <is>
          <t>ÖSTERGÖTLANDS LÄN</t>
        </is>
      </c>
      <c r="E3159" t="inlineStr">
        <is>
          <t>KINDA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24370-2021</t>
        </is>
      </c>
      <c r="B3160" s="1" t="n">
        <v>44337</v>
      </c>
      <c r="C3160" s="1" t="n">
        <v>45710</v>
      </c>
      <c r="D3160" t="inlineStr">
        <is>
          <t>ÖSTERGÖTLANDS LÄN</t>
        </is>
      </c>
      <c r="E3160" t="inlineStr">
        <is>
          <t>KINDA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24565-2021</t>
        </is>
      </c>
      <c r="B3161" s="1" t="n">
        <v>44339</v>
      </c>
      <c r="C3161" s="1" t="n">
        <v>45710</v>
      </c>
      <c r="D3161" t="inlineStr">
        <is>
          <t>ÖSTERGÖTLANDS LÄN</t>
        </is>
      </c>
      <c r="E3161" t="inlineStr">
        <is>
          <t>MOTALA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24686-2021</t>
        </is>
      </c>
      <c r="B3162" s="1" t="n">
        <v>44340</v>
      </c>
      <c r="C3162" s="1" t="n">
        <v>45710</v>
      </c>
      <c r="D3162" t="inlineStr">
        <is>
          <t>ÖSTERGÖTLANDS LÄN</t>
        </is>
      </c>
      <c r="E3162" t="inlineStr">
        <is>
          <t>YDRE</t>
        </is>
      </c>
      <c r="F3162" t="inlineStr">
        <is>
          <t>Sveaskog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24687-2021</t>
        </is>
      </c>
      <c r="B3163" s="1" t="n">
        <v>44340</v>
      </c>
      <c r="C3163" s="1" t="n">
        <v>45710</v>
      </c>
      <c r="D3163" t="inlineStr">
        <is>
          <t>ÖSTERGÖTLANDS LÄN</t>
        </is>
      </c>
      <c r="E3163" t="inlineStr">
        <is>
          <t>YDRE</t>
        </is>
      </c>
      <c r="F3163" t="inlineStr">
        <is>
          <t>Sveaskog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24766-2021</t>
        </is>
      </c>
      <c r="B3164" s="1" t="n">
        <v>44340</v>
      </c>
      <c r="C3164" s="1" t="n">
        <v>45710</v>
      </c>
      <c r="D3164" t="inlineStr">
        <is>
          <t>ÖSTERGÖTLANDS LÄN</t>
        </is>
      </c>
      <c r="E3164" t="inlineStr">
        <is>
          <t>NORRKÖPING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24739-2021</t>
        </is>
      </c>
      <c r="B3165" s="1" t="n">
        <v>44340</v>
      </c>
      <c r="C3165" s="1" t="n">
        <v>45710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Sveaskog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24839-2021</t>
        </is>
      </c>
      <c r="B3166" s="1" t="n">
        <v>44340</v>
      </c>
      <c r="C3166" s="1" t="n">
        <v>45710</v>
      </c>
      <c r="D3166" t="inlineStr">
        <is>
          <t>ÖSTERGÖTLANDS LÄN</t>
        </is>
      </c>
      <c r="E3166" t="inlineStr">
        <is>
          <t>NORRKÖPING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25079-2021</t>
        </is>
      </c>
      <c r="B3167" s="1" t="n">
        <v>44341</v>
      </c>
      <c r="C3167" s="1" t="n">
        <v>45710</v>
      </c>
      <c r="D3167" t="inlineStr">
        <is>
          <t>ÖSTERGÖTLANDS LÄN</t>
        </is>
      </c>
      <c r="E3167" t="inlineStr">
        <is>
          <t>KINDA</t>
        </is>
      </c>
      <c r="G3167" t="n">
        <v>10.5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25273-2021</t>
        </is>
      </c>
      <c r="B3168" s="1" t="n">
        <v>44342</v>
      </c>
      <c r="C3168" s="1" t="n">
        <v>45710</v>
      </c>
      <c r="D3168" t="inlineStr">
        <is>
          <t>ÖSTERGÖTLANDS LÄN</t>
        </is>
      </c>
      <c r="E3168" t="inlineStr">
        <is>
          <t>SÖDERKÖPING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25305-2021</t>
        </is>
      </c>
      <c r="B3169" s="1" t="n">
        <v>44342</v>
      </c>
      <c r="C3169" s="1" t="n">
        <v>45710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Övriga Aktiebolag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25355-2021</t>
        </is>
      </c>
      <c r="B3170" s="1" t="n">
        <v>44342</v>
      </c>
      <c r="C3170" s="1" t="n">
        <v>45710</v>
      </c>
      <c r="D3170" t="inlineStr">
        <is>
          <t>ÖSTERGÖTLANDS LÄN</t>
        </is>
      </c>
      <c r="E3170" t="inlineStr">
        <is>
          <t>SÖDERKÖPING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25314-2021</t>
        </is>
      </c>
      <c r="B3171" s="1" t="n">
        <v>44342</v>
      </c>
      <c r="C3171" s="1" t="n">
        <v>45710</v>
      </c>
      <c r="D3171" t="inlineStr">
        <is>
          <t>ÖSTERGÖTLANDS LÄN</t>
        </is>
      </c>
      <c r="E3171" t="inlineStr">
        <is>
          <t>ÅTVIDABERG</t>
        </is>
      </c>
      <c r="F3171" t="inlineStr">
        <is>
          <t>Sveaskog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25488-2021</t>
        </is>
      </c>
      <c r="B3172" s="1" t="n">
        <v>44342</v>
      </c>
      <c r="C3172" s="1" t="n">
        <v>45710</v>
      </c>
      <c r="D3172" t="inlineStr">
        <is>
          <t>ÖSTERGÖTLANDS LÄN</t>
        </is>
      </c>
      <c r="E3172" t="inlineStr">
        <is>
          <t>ÅTVIDABERG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25292-2021</t>
        </is>
      </c>
      <c r="B3173" s="1" t="n">
        <v>44342</v>
      </c>
      <c r="C3173" s="1" t="n">
        <v>45710</v>
      </c>
      <c r="D3173" t="inlineStr">
        <is>
          <t>ÖSTERGÖTLANDS LÄN</t>
        </is>
      </c>
      <c r="E3173" t="inlineStr">
        <is>
          <t>LINKÖPING</t>
        </is>
      </c>
      <c r="F3173" t="inlineStr">
        <is>
          <t>Övriga Aktiebolag</t>
        </is>
      </c>
      <c r="G3173" t="n">
        <v>12.8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25486-2021</t>
        </is>
      </c>
      <c r="B3174" s="1" t="n">
        <v>44342</v>
      </c>
      <c r="C3174" s="1" t="n">
        <v>45710</v>
      </c>
      <c r="D3174" t="inlineStr">
        <is>
          <t>ÖSTERGÖTLANDS LÄN</t>
        </is>
      </c>
      <c r="E3174" t="inlineStr">
        <is>
          <t>ÅTVIDABERG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25776-2021</t>
        </is>
      </c>
      <c r="B3175" s="1" t="n">
        <v>44343</v>
      </c>
      <c r="C3175" s="1" t="n">
        <v>45710</v>
      </c>
      <c r="D3175" t="inlineStr">
        <is>
          <t>ÖSTERGÖTLANDS LÄN</t>
        </is>
      </c>
      <c r="E3175" t="inlineStr">
        <is>
          <t>LINKÖPING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25627-2021</t>
        </is>
      </c>
      <c r="B3176" s="1" t="n">
        <v>44343</v>
      </c>
      <c r="C3176" s="1" t="n">
        <v>45710</v>
      </c>
      <c r="D3176" t="inlineStr">
        <is>
          <t>ÖSTERGÖTLANDS LÄN</t>
        </is>
      </c>
      <c r="E3176" t="inlineStr">
        <is>
          <t>YDRE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25737-2021</t>
        </is>
      </c>
      <c r="B3177" s="1" t="n">
        <v>44343</v>
      </c>
      <c r="C3177" s="1" t="n">
        <v>45710</v>
      </c>
      <c r="D3177" t="inlineStr">
        <is>
          <t>ÖSTERGÖTLANDS LÄN</t>
        </is>
      </c>
      <c r="E3177" t="inlineStr">
        <is>
          <t>MOTALA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25951-2021</t>
        </is>
      </c>
      <c r="B3178" s="1" t="n">
        <v>44344</v>
      </c>
      <c r="C3178" s="1" t="n">
        <v>45710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25831-2021</t>
        </is>
      </c>
      <c r="B3179" s="1" t="n">
        <v>44344</v>
      </c>
      <c r="C3179" s="1" t="n">
        <v>45710</v>
      </c>
      <c r="D3179" t="inlineStr">
        <is>
          <t>ÖSTERGÖTLANDS LÄN</t>
        </is>
      </c>
      <c r="E3179" t="inlineStr">
        <is>
          <t>ÅTVIDABERG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26046-2021</t>
        </is>
      </c>
      <c r="B3180" s="1" t="n">
        <v>44344</v>
      </c>
      <c r="C3180" s="1" t="n">
        <v>45710</v>
      </c>
      <c r="D3180" t="inlineStr">
        <is>
          <t>ÖSTERGÖTLANDS LÄN</t>
        </is>
      </c>
      <c r="E3180" t="inlineStr">
        <is>
          <t>YDRE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26375-2021</t>
        </is>
      </c>
      <c r="B3181" s="1" t="n">
        <v>44347</v>
      </c>
      <c r="C3181" s="1" t="n">
        <v>45710</v>
      </c>
      <c r="D3181" t="inlineStr">
        <is>
          <t>ÖSTERGÖTLANDS LÄN</t>
        </is>
      </c>
      <c r="E3181" t="inlineStr">
        <is>
          <t>YDRE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26388-2021</t>
        </is>
      </c>
      <c r="B3182" s="1" t="n">
        <v>44347</v>
      </c>
      <c r="C3182" s="1" t="n">
        <v>45710</v>
      </c>
      <c r="D3182" t="inlineStr">
        <is>
          <t>ÖSTERGÖTLANDS LÄN</t>
        </is>
      </c>
      <c r="E3182" t="inlineStr">
        <is>
          <t>YDRE</t>
        </is>
      </c>
      <c r="G3182" t="n">
        <v>6.3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26197-2021</t>
        </is>
      </c>
      <c r="B3183" s="1" t="n">
        <v>44347</v>
      </c>
      <c r="C3183" s="1" t="n">
        <v>45710</v>
      </c>
      <c r="D3183" t="inlineStr">
        <is>
          <t>ÖSTERGÖTLANDS LÄN</t>
        </is>
      </c>
      <c r="E3183" t="inlineStr">
        <is>
          <t>LINKÖPING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26302-2021</t>
        </is>
      </c>
      <c r="B3184" s="1" t="n">
        <v>44347</v>
      </c>
      <c r="C3184" s="1" t="n">
        <v>45710</v>
      </c>
      <c r="D3184" t="inlineStr">
        <is>
          <t>ÖSTERGÖTLANDS LÄN</t>
        </is>
      </c>
      <c r="E3184" t="inlineStr">
        <is>
          <t>BOXHOLM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26363-2021</t>
        </is>
      </c>
      <c r="B3185" s="1" t="n">
        <v>44347</v>
      </c>
      <c r="C3185" s="1" t="n">
        <v>45710</v>
      </c>
      <c r="D3185" t="inlineStr">
        <is>
          <t>ÖSTERGÖTLANDS LÄN</t>
        </is>
      </c>
      <c r="E3185" t="inlineStr">
        <is>
          <t>YDRE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26370-2021</t>
        </is>
      </c>
      <c r="B3186" s="1" t="n">
        <v>44347</v>
      </c>
      <c r="C3186" s="1" t="n">
        <v>45710</v>
      </c>
      <c r="D3186" t="inlineStr">
        <is>
          <t>ÖSTERGÖTLANDS LÄN</t>
        </is>
      </c>
      <c r="E3186" t="inlineStr">
        <is>
          <t>YDRE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26380-2021</t>
        </is>
      </c>
      <c r="B3187" s="1" t="n">
        <v>44347</v>
      </c>
      <c r="C3187" s="1" t="n">
        <v>45710</v>
      </c>
      <c r="D3187" t="inlineStr">
        <is>
          <t>ÖSTERGÖTLANDS LÄN</t>
        </is>
      </c>
      <c r="E3187" t="inlineStr">
        <is>
          <t>YDRE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26546-2021</t>
        </is>
      </c>
      <c r="B3188" s="1" t="n">
        <v>44348</v>
      </c>
      <c r="C3188" s="1" t="n">
        <v>45710</v>
      </c>
      <c r="D3188" t="inlineStr">
        <is>
          <t>ÖSTERGÖTLANDS LÄN</t>
        </is>
      </c>
      <c r="E3188" t="inlineStr">
        <is>
          <t>MOTALA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26464-2021</t>
        </is>
      </c>
      <c r="B3189" s="1" t="n">
        <v>44348</v>
      </c>
      <c r="C3189" s="1" t="n">
        <v>45710</v>
      </c>
      <c r="D3189" t="inlineStr">
        <is>
          <t>ÖSTERGÖTLANDS LÄN</t>
        </is>
      </c>
      <c r="E3189" t="inlineStr">
        <is>
          <t>NORRKÖPING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26497-2021</t>
        </is>
      </c>
      <c r="B3190" s="1" t="n">
        <v>44348</v>
      </c>
      <c r="C3190" s="1" t="n">
        <v>45710</v>
      </c>
      <c r="D3190" t="inlineStr">
        <is>
          <t>ÖSTERGÖTLANDS LÄN</t>
        </is>
      </c>
      <c r="E3190" t="inlineStr">
        <is>
          <t>NORRKÖPING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26581-2021</t>
        </is>
      </c>
      <c r="B3191" s="1" t="n">
        <v>44348</v>
      </c>
      <c r="C3191" s="1" t="n">
        <v>45710</v>
      </c>
      <c r="D3191" t="inlineStr">
        <is>
          <t>ÖSTERGÖTLANDS LÄN</t>
        </is>
      </c>
      <c r="E3191" t="inlineStr">
        <is>
          <t>MJÖLBY</t>
        </is>
      </c>
      <c r="G3191" t="n">
        <v>9.300000000000001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26696-2021</t>
        </is>
      </c>
      <c r="B3192" s="1" t="n">
        <v>44348</v>
      </c>
      <c r="C3192" s="1" t="n">
        <v>45710</v>
      </c>
      <c r="D3192" t="inlineStr">
        <is>
          <t>ÖSTERGÖTLANDS LÄN</t>
        </is>
      </c>
      <c r="E3192" t="inlineStr">
        <is>
          <t>MJÖLBY</t>
        </is>
      </c>
      <c r="G3192" t="n">
        <v>15.5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26695-2021</t>
        </is>
      </c>
      <c r="B3193" s="1" t="n">
        <v>44348</v>
      </c>
      <c r="C3193" s="1" t="n">
        <v>45710</v>
      </c>
      <c r="D3193" t="inlineStr">
        <is>
          <t>ÖSTERGÖTLANDS LÄN</t>
        </is>
      </c>
      <c r="E3193" t="inlineStr">
        <is>
          <t>MJÖLBY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27185-2021</t>
        </is>
      </c>
      <c r="B3194" s="1" t="n">
        <v>44350</v>
      </c>
      <c r="C3194" s="1" t="n">
        <v>45710</v>
      </c>
      <c r="D3194" t="inlineStr">
        <is>
          <t>ÖSTERGÖTLANDS LÄN</t>
        </is>
      </c>
      <c r="E3194" t="inlineStr">
        <is>
          <t>LINKÖPING</t>
        </is>
      </c>
      <c r="F3194" t="inlineStr">
        <is>
          <t>Allmännings- och besparingsskogar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27313-2021</t>
        </is>
      </c>
      <c r="B3195" s="1" t="n">
        <v>44350</v>
      </c>
      <c r="C3195" s="1" t="n">
        <v>45710</v>
      </c>
      <c r="D3195" t="inlineStr">
        <is>
          <t>ÖSTERGÖTLANDS LÄN</t>
        </is>
      </c>
      <c r="E3195" t="inlineStr">
        <is>
          <t>LINKÖPING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27694-2021</t>
        </is>
      </c>
      <c r="B3196" s="1" t="n">
        <v>44354</v>
      </c>
      <c r="C3196" s="1" t="n">
        <v>45710</v>
      </c>
      <c r="D3196" t="inlineStr">
        <is>
          <t>ÖSTERGÖTLANDS LÄN</t>
        </is>
      </c>
      <c r="E3196" t="inlineStr">
        <is>
          <t>NORRKÖPING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27708-2021</t>
        </is>
      </c>
      <c r="B3197" s="1" t="n">
        <v>44354</v>
      </c>
      <c r="C3197" s="1" t="n">
        <v>45710</v>
      </c>
      <c r="D3197" t="inlineStr">
        <is>
          <t>ÖSTERGÖTLANDS LÄN</t>
        </is>
      </c>
      <c r="E3197" t="inlineStr">
        <is>
          <t>NORRKÖPING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27785-2021</t>
        </is>
      </c>
      <c r="B3198" s="1" t="n">
        <v>44354</v>
      </c>
      <c r="C3198" s="1" t="n">
        <v>45710</v>
      </c>
      <c r="D3198" t="inlineStr">
        <is>
          <t>ÖSTERGÖTLANDS LÄN</t>
        </is>
      </c>
      <c r="E3198" t="inlineStr">
        <is>
          <t>NORRKÖPING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27798-2021</t>
        </is>
      </c>
      <c r="B3199" s="1" t="n">
        <v>44354</v>
      </c>
      <c r="C3199" s="1" t="n">
        <v>45710</v>
      </c>
      <c r="D3199" t="inlineStr">
        <is>
          <t>ÖSTERGÖTLANDS LÄN</t>
        </is>
      </c>
      <c r="E3199" t="inlineStr">
        <is>
          <t>NORRKÖPING</t>
        </is>
      </c>
      <c r="G3199" t="n">
        <v>9.5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27811-2021</t>
        </is>
      </c>
      <c r="B3200" s="1" t="n">
        <v>44354</v>
      </c>
      <c r="C3200" s="1" t="n">
        <v>45710</v>
      </c>
      <c r="D3200" t="inlineStr">
        <is>
          <t>ÖSTERGÖTLANDS LÄN</t>
        </is>
      </c>
      <c r="E3200" t="inlineStr">
        <is>
          <t>KINDA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27891-2021</t>
        </is>
      </c>
      <c r="B3201" s="1" t="n">
        <v>44354</v>
      </c>
      <c r="C3201" s="1" t="n">
        <v>45710</v>
      </c>
      <c r="D3201" t="inlineStr">
        <is>
          <t>ÖSTERGÖTLANDS LÄN</t>
        </is>
      </c>
      <c r="E3201" t="inlineStr">
        <is>
          <t>LINKÖPING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27937-2021</t>
        </is>
      </c>
      <c r="B3202" s="1" t="n">
        <v>44354</v>
      </c>
      <c r="C3202" s="1" t="n">
        <v>45710</v>
      </c>
      <c r="D3202" t="inlineStr">
        <is>
          <t>ÖSTERGÖTLANDS LÄN</t>
        </is>
      </c>
      <c r="E3202" t="inlineStr">
        <is>
          <t>VALDEMARSVIK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28059-2021</t>
        </is>
      </c>
      <c r="B3203" s="1" t="n">
        <v>44355</v>
      </c>
      <c r="C3203" s="1" t="n">
        <v>45710</v>
      </c>
      <c r="D3203" t="inlineStr">
        <is>
          <t>ÖSTERGÖTLANDS LÄN</t>
        </is>
      </c>
      <c r="E3203" t="inlineStr">
        <is>
          <t>VALDEMARSVIK</t>
        </is>
      </c>
      <c r="G3203" t="n">
        <v>2.8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28018-2021</t>
        </is>
      </c>
      <c r="B3204" s="1" t="n">
        <v>44355</v>
      </c>
      <c r="C3204" s="1" t="n">
        <v>45710</v>
      </c>
      <c r="D3204" t="inlineStr">
        <is>
          <t>ÖSTERGÖTLANDS LÄN</t>
        </is>
      </c>
      <c r="E3204" t="inlineStr">
        <is>
          <t>BOXHOLM</t>
        </is>
      </c>
      <c r="F3204" t="inlineStr">
        <is>
          <t>Övriga Aktiebolag</t>
        </is>
      </c>
      <c r="G3204" t="n">
        <v>9.5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28137-2021</t>
        </is>
      </c>
      <c r="B3205" s="1" t="n">
        <v>44355</v>
      </c>
      <c r="C3205" s="1" t="n">
        <v>45710</v>
      </c>
      <c r="D3205" t="inlineStr">
        <is>
          <t>ÖSTERGÖTLANDS LÄN</t>
        </is>
      </c>
      <c r="E3205" t="inlineStr">
        <is>
          <t>ÖDESHÖG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28152-2021</t>
        </is>
      </c>
      <c r="B3206" s="1" t="n">
        <v>44355</v>
      </c>
      <c r="C3206" s="1" t="n">
        <v>45710</v>
      </c>
      <c r="D3206" t="inlineStr">
        <is>
          <t>ÖSTERGÖTLANDS LÄN</t>
        </is>
      </c>
      <c r="E3206" t="inlineStr">
        <is>
          <t>MOTALA</t>
        </is>
      </c>
      <c r="F3206" t="inlineStr">
        <is>
          <t>Sveaskog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28477-2021</t>
        </is>
      </c>
      <c r="B3207" s="1" t="n">
        <v>44356</v>
      </c>
      <c r="C3207" s="1" t="n">
        <v>45710</v>
      </c>
      <c r="D3207" t="inlineStr">
        <is>
          <t>ÖSTERGÖTLANDS LÄN</t>
        </is>
      </c>
      <c r="E3207" t="inlineStr">
        <is>
          <t>ÖDESHÖG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28504-2021</t>
        </is>
      </c>
      <c r="B3208" s="1" t="n">
        <v>44356</v>
      </c>
      <c r="C3208" s="1" t="n">
        <v>45710</v>
      </c>
      <c r="D3208" t="inlineStr">
        <is>
          <t>ÖSTERGÖTLANDS LÄN</t>
        </is>
      </c>
      <c r="E3208" t="inlineStr">
        <is>
          <t>MOTALA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28390-2021</t>
        </is>
      </c>
      <c r="B3209" s="1" t="n">
        <v>44356</v>
      </c>
      <c r="C3209" s="1" t="n">
        <v>45710</v>
      </c>
      <c r="D3209" t="inlineStr">
        <is>
          <t>ÖSTERGÖTLANDS LÄN</t>
        </is>
      </c>
      <c r="E3209" t="inlineStr">
        <is>
          <t>ÖDESHÖG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28429-2021</t>
        </is>
      </c>
      <c r="B3210" s="1" t="n">
        <v>44356</v>
      </c>
      <c r="C3210" s="1" t="n">
        <v>45710</v>
      </c>
      <c r="D3210" t="inlineStr">
        <is>
          <t>ÖSTERGÖTLANDS LÄN</t>
        </is>
      </c>
      <c r="E3210" t="inlineStr">
        <is>
          <t>ÖDESHÖG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28466-2021</t>
        </is>
      </c>
      <c r="B3211" s="1" t="n">
        <v>44356</v>
      </c>
      <c r="C3211" s="1" t="n">
        <v>45710</v>
      </c>
      <c r="D3211" t="inlineStr">
        <is>
          <t>ÖSTERGÖTLANDS LÄN</t>
        </is>
      </c>
      <c r="E3211" t="inlineStr">
        <is>
          <t>MOTALA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28566-2021</t>
        </is>
      </c>
      <c r="B3212" s="1" t="n">
        <v>44356</v>
      </c>
      <c r="C3212" s="1" t="n">
        <v>45710</v>
      </c>
      <c r="D3212" t="inlineStr">
        <is>
          <t>ÖSTERGÖTLANDS LÄN</t>
        </is>
      </c>
      <c r="E3212" t="inlineStr">
        <is>
          <t>SÖDERKÖPING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28447-2021</t>
        </is>
      </c>
      <c r="B3213" s="1" t="n">
        <v>44356</v>
      </c>
      <c r="C3213" s="1" t="n">
        <v>45710</v>
      </c>
      <c r="D3213" t="inlineStr">
        <is>
          <t>ÖSTERGÖTLANDS LÄN</t>
        </is>
      </c>
      <c r="E3213" t="inlineStr">
        <is>
          <t>LINKÖPING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28567-2021</t>
        </is>
      </c>
      <c r="B3214" s="1" t="n">
        <v>44356</v>
      </c>
      <c r="C3214" s="1" t="n">
        <v>45710</v>
      </c>
      <c r="D3214" t="inlineStr">
        <is>
          <t>ÖSTERGÖTLANDS LÄN</t>
        </is>
      </c>
      <c r="E3214" t="inlineStr">
        <is>
          <t>SÖDERKÖPING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28716-2021</t>
        </is>
      </c>
      <c r="B3215" s="1" t="n">
        <v>44357</v>
      </c>
      <c r="C3215" s="1" t="n">
        <v>45710</v>
      </c>
      <c r="D3215" t="inlineStr">
        <is>
          <t>ÖSTERGÖTLANDS LÄN</t>
        </is>
      </c>
      <c r="E3215" t="inlineStr">
        <is>
          <t>LINKÖPING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28742-2021</t>
        </is>
      </c>
      <c r="B3216" s="1" t="n">
        <v>44357</v>
      </c>
      <c r="C3216" s="1" t="n">
        <v>45710</v>
      </c>
      <c r="D3216" t="inlineStr">
        <is>
          <t>ÖSTERGÖTLANDS LÄN</t>
        </is>
      </c>
      <c r="E3216" t="inlineStr">
        <is>
          <t>FINSPÅNG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28767-2021</t>
        </is>
      </c>
      <c r="B3217" s="1" t="n">
        <v>44357</v>
      </c>
      <c r="C3217" s="1" t="n">
        <v>45710</v>
      </c>
      <c r="D3217" t="inlineStr">
        <is>
          <t>ÖSTERGÖTLANDS LÄN</t>
        </is>
      </c>
      <c r="E3217" t="inlineStr">
        <is>
          <t>VALDEMARSVIK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28813-2021</t>
        </is>
      </c>
      <c r="B3218" s="1" t="n">
        <v>44357</v>
      </c>
      <c r="C3218" s="1" t="n">
        <v>45710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28805-2021</t>
        </is>
      </c>
      <c r="B3219" s="1" t="n">
        <v>44357</v>
      </c>
      <c r="C3219" s="1" t="n">
        <v>45710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28769-2021</t>
        </is>
      </c>
      <c r="B3220" s="1" t="n">
        <v>44357</v>
      </c>
      <c r="C3220" s="1" t="n">
        <v>45710</v>
      </c>
      <c r="D3220" t="inlineStr">
        <is>
          <t>ÖSTERGÖTLANDS LÄN</t>
        </is>
      </c>
      <c r="E3220" t="inlineStr">
        <is>
          <t>VALDEMARSVIK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28791-2021</t>
        </is>
      </c>
      <c r="B3221" s="1" t="n">
        <v>44357</v>
      </c>
      <c r="C3221" s="1" t="n">
        <v>45710</v>
      </c>
      <c r="D3221" t="inlineStr">
        <is>
          <t>ÖSTERGÖTLANDS LÄN</t>
        </is>
      </c>
      <c r="E3221" t="inlineStr">
        <is>
          <t>FINSPÅNG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28802-2021</t>
        </is>
      </c>
      <c r="B3222" s="1" t="n">
        <v>44357</v>
      </c>
      <c r="C3222" s="1" t="n">
        <v>45710</v>
      </c>
      <c r="D3222" t="inlineStr">
        <is>
          <t>ÖSTERGÖTLANDS LÄN</t>
        </is>
      </c>
      <c r="E3222" t="inlineStr">
        <is>
          <t>KINDA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28797-2021</t>
        </is>
      </c>
      <c r="B3223" s="1" t="n">
        <v>44357</v>
      </c>
      <c r="C3223" s="1" t="n">
        <v>45710</v>
      </c>
      <c r="D3223" t="inlineStr">
        <is>
          <t>ÖSTERGÖTLANDS LÄN</t>
        </is>
      </c>
      <c r="E3223" t="inlineStr">
        <is>
          <t>KINDA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28809-2021</t>
        </is>
      </c>
      <c r="B3224" s="1" t="n">
        <v>44357</v>
      </c>
      <c r="C3224" s="1" t="n">
        <v>45710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29046-2021</t>
        </is>
      </c>
      <c r="B3225" s="1" t="n">
        <v>44358</v>
      </c>
      <c r="C3225" s="1" t="n">
        <v>45710</v>
      </c>
      <c r="D3225" t="inlineStr">
        <is>
          <t>ÖSTERGÖTLANDS LÄN</t>
        </is>
      </c>
      <c r="E3225" t="inlineStr">
        <is>
          <t>YDRE</t>
        </is>
      </c>
      <c r="F3225" t="inlineStr">
        <is>
          <t>Sveaskog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29079-2021</t>
        </is>
      </c>
      <c r="B3226" s="1" t="n">
        <v>44358</v>
      </c>
      <c r="C3226" s="1" t="n">
        <v>45710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29126-2021</t>
        </is>
      </c>
      <c r="B3227" s="1" t="n">
        <v>44358</v>
      </c>
      <c r="C3227" s="1" t="n">
        <v>45710</v>
      </c>
      <c r="D3227" t="inlineStr">
        <is>
          <t>ÖSTERGÖTLANDS LÄN</t>
        </is>
      </c>
      <c r="E3227" t="inlineStr">
        <is>
          <t>ÖDESHÖG</t>
        </is>
      </c>
      <c r="F3227" t="inlineStr">
        <is>
          <t>Allmännings- och besparingsskogar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29069-2021</t>
        </is>
      </c>
      <c r="B3228" s="1" t="n">
        <v>44358</v>
      </c>
      <c r="C3228" s="1" t="n">
        <v>45710</v>
      </c>
      <c r="D3228" t="inlineStr">
        <is>
          <t>ÖSTERGÖTLANDS LÄN</t>
        </is>
      </c>
      <c r="E3228" t="inlineStr">
        <is>
          <t>YDRE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29081-2021</t>
        </is>
      </c>
      <c r="B3229" s="1" t="n">
        <v>44358</v>
      </c>
      <c r="C3229" s="1" t="n">
        <v>45710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Allmännings- och besparingsskogar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29128-2021</t>
        </is>
      </c>
      <c r="B3230" s="1" t="n">
        <v>44358</v>
      </c>
      <c r="C3230" s="1" t="n">
        <v>45710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28956-2021</t>
        </is>
      </c>
      <c r="B3231" s="1" t="n">
        <v>44358</v>
      </c>
      <c r="C3231" s="1" t="n">
        <v>45710</v>
      </c>
      <c r="D3231" t="inlineStr">
        <is>
          <t>ÖSTERGÖTLANDS LÄN</t>
        </is>
      </c>
      <c r="E3231" t="inlineStr">
        <is>
          <t>YDRE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29105-2021</t>
        </is>
      </c>
      <c r="B3232" s="1" t="n">
        <v>44358</v>
      </c>
      <c r="C3232" s="1" t="n">
        <v>45710</v>
      </c>
      <c r="D3232" t="inlineStr">
        <is>
          <t>ÖSTERGÖTLANDS LÄN</t>
        </is>
      </c>
      <c r="E3232" t="inlineStr">
        <is>
          <t>ÖDESHÖG</t>
        </is>
      </c>
      <c r="F3232" t="inlineStr">
        <is>
          <t>Allmännings- och besparingsskogar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29043-2021</t>
        </is>
      </c>
      <c r="B3233" s="1" t="n">
        <v>44358</v>
      </c>
      <c r="C3233" s="1" t="n">
        <v>45710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Allmännings- och besparingsskogar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29065-2021</t>
        </is>
      </c>
      <c r="B3234" s="1" t="n">
        <v>44358</v>
      </c>
      <c r="C3234" s="1" t="n">
        <v>45710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Allmännings- och besparingsskogar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29189-2021</t>
        </is>
      </c>
      <c r="B3235" s="1" t="n">
        <v>44358</v>
      </c>
      <c r="C3235" s="1" t="n">
        <v>45710</v>
      </c>
      <c r="D3235" t="inlineStr">
        <is>
          <t>ÖSTERGÖTLANDS LÄN</t>
        </is>
      </c>
      <c r="E3235" t="inlineStr">
        <is>
          <t>MOTALA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29203-2021</t>
        </is>
      </c>
      <c r="B3236" s="1" t="n">
        <v>44359</v>
      </c>
      <c r="C3236" s="1" t="n">
        <v>45710</v>
      </c>
      <c r="D3236" t="inlineStr">
        <is>
          <t>ÖSTERGÖTLANDS LÄN</t>
        </is>
      </c>
      <c r="E3236" t="inlineStr">
        <is>
          <t>YDRE</t>
        </is>
      </c>
      <c r="G3236" t="n">
        <v>10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29485-2021</t>
        </is>
      </c>
      <c r="B3237" s="1" t="n">
        <v>44361</v>
      </c>
      <c r="C3237" s="1" t="n">
        <v>45710</v>
      </c>
      <c r="D3237" t="inlineStr">
        <is>
          <t>ÖSTERGÖTLANDS LÄN</t>
        </is>
      </c>
      <c r="E3237" t="inlineStr">
        <is>
          <t>NORRKÖPING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29489-2021</t>
        </is>
      </c>
      <c r="B3238" s="1" t="n">
        <v>44361</v>
      </c>
      <c r="C3238" s="1" t="n">
        <v>45710</v>
      </c>
      <c r="D3238" t="inlineStr">
        <is>
          <t>ÖSTERGÖTLANDS LÄN</t>
        </is>
      </c>
      <c r="E3238" t="inlineStr">
        <is>
          <t>NORRKÖPING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29556-2021</t>
        </is>
      </c>
      <c r="B3239" s="1" t="n">
        <v>44361</v>
      </c>
      <c r="C3239" s="1" t="n">
        <v>45710</v>
      </c>
      <c r="D3239" t="inlineStr">
        <is>
          <t>ÖSTERGÖTLANDS LÄN</t>
        </is>
      </c>
      <c r="E3239" t="inlineStr">
        <is>
          <t>KINDA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29723-2021</t>
        </is>
      </c>
      <c r="B3240" s="1" t="n">
        <v>44362</v>
      </c>
      <c r="C3240" s="1" t="n">
        <v>45710</v>
      </c>
      <c r="D3240" t="inlineStr">
        <is>
          <t>ÖSTERGÖTLANDS LÄN</t>
        </is>
      </c>
      <c r="E3240" t="inlineStr">
        <is>
          <t>KINDA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29692-2021</t>
        </is>
      </c>
      <c r="B3241" s="1" t="n">
        <v>44362</v>
      </c>
      <c r="C3241" s="1" t="n">
        <v>45710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Övriga Aktiebolag</t>
        </is>
      </c>
      <c r="G3241" t="n">
        <v>7.3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29716-2021</t>
        </is>
      </c>
      <c r="B3242" s="1" t="n">
        <v>44362</v>
      </c>
      <c r="C3242" s="1" t="n">
        <v>45710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29782-2021</t>
        </is>
      </c>
      <c r="B3243" s="1" t="n">
        <v>44362</v>
      </c>
      <c r="C3243" s="1" t="n">
        <v>45710</v>
      </c>
      <c r="D3243" t="inlineStr">
        <is>
          <t>ÖSTERGÖTLANDS LÄN</t>
        </is>
      </c>
      <c r="E3243" t="inlineStr">
        <is>
          <t>YDRE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29709-2021</t>
        </is>
      </c>
      <c r="B3244" s="1" t="n">
        <v>44362</v>
      </c>
      <c r="C3244" s="1" t="n">
        <v>45710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29718-2021</t>
        </is>
      </c>
      <c r="B3245" s="1" t="n">
        <v>44362</v>
      </c>
      <c r="C3245" s="1" t="n">
        <v>45710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29871-2021</t>
        </is>
      </c>
      <c r="B3246" s="1" t="n">
        <v>44362</v>
      </c>
      <c r="C3246" s="1" t="n">
        <v>45710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29846-2021</t>
        </is>
      </c>
      <c r="B3247" s="1" t="n">
        <v>44362</v>
      </c>
      <c r="C3247" s="1" t="n">
        <v>45710</v>
      </c>
      <c r="D3247" t="inlineStr">
        <is>
          <t>ÖSTERGÖTLANDS LÄN</t>
        </is>
      </c>
      <c r="E3247" t="inlineStr">
        <is>
          <t>NORRKÖPING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29946-2021</t>
        </is>
      </c>
      <c r="B3248" s="1" t="n">
        <v>44362</v>
      </c>
      <c r="C3248" s="1" t="n">
        <v>45710</v>
      </c>
      <c r="D3248" t="inlineStr">
        <is>
          <t>ÖSTERGÖTLANDS LÄN</t>
        </is>
      </c>
      <c r="E3248" t="inlineStr">
        <is>
          <t>VALDEMARSVIK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30236-2021</t>
        </is>
      </c>
      <c r="B3249" s="1" t="n">
        <v>44363</v>
      </c>
      <c r="C3249" s="1" t="n">
        <v>45710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30232-2021</t>
        </is>
      </c>
      <c r="B3250" s="1" t="n">
        <v>44363</v>
      </c>
      <c r="C3250" s="1" t="n">
        <v>45710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30369-2021</t>
        </is>
      </c>
      <c r="B3251" s="1" t="n">
        <v>44364</v>
      </c>
      <c r="C3251" s="1" t="n">
        <v>45710</v>
      </c>
      <c r="D3251" t="inlineStr">
        <is>
          <t>ÖSTERGÖTLANDS LÄN</t>
        </is>
      </c>
      <c r="E3251" t="inlineStr">
        <is>
          <t>YDRE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30392-2021</t>
        </is>
      </c>
      <c r="B3252" s="1" t="n">
        <v>44364</v>
      </c>
      <c r="C3252" s="1" t="n">
        <v>45710</v>
      </c>
      <c r="D3252" t="inlineStr">
        <is>
          <t>ÖSTERGÖTLANDS LÄN</t>
        </is>
      </c>
      <c r="E3252" t="inlineStr">
        <is>
          <t>YDRE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30398-2021</t>
        </is>
      </c>
      <c r="B3253" s="1" t="n">
        <v>44364</v>
      </c>
      <c r="C3253" s="1" t="n">
        <v>45710</v>
      </c>
      <c r="D3253" t="inlineStr">
        <is>
          <t>ÖSTERGÖTLANDS LÄN</t>
        </is>
      </c>
      <c r="E3253" t="inlineStr">
        <is>
          <t>YDRE</t>
        </is>
      </c>
      <c r="G3253" t="n">
        <v>4.7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30364-2021</t>
        </is>
      </c>
      <c r="B3254" s="1" t="n">
        <v>44364</v>
      </c>
      <c r="C3254" s="1" t="n">
        <v>45710</v>
      </c>
      <c r="D3254" t="inlineStr">
        <is>
          <t>ÖSTERGÖTLANDS LÄN</t>
        </is>
      </c>
      <c r="E3254" t="inlineStr">
        <is>
          <t>KINDA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30395-2021</t>
        </is>
      </c>
      <c r="B3255" s="1" t="n">
        <v>44364</v>
      </c>
      <c r="C3255" s="1" t="n">
        <v>45710</v>
      </c>
      <c r="D3255" t="inlineStr">
        <is>
          <t>ÖSTERGÖTLANDS LÄN</t>
        </is>
      </c>
      <c r="E3255" t="inlineStr">
        <is>
          <t>YDRE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30471-2021</t>
        </is>
      </c>
      <c r="B3256" s="1" t="n">
        <v>44364</v>
      </c>
      <c r="C3256" s="1" t="n">
        <v>45710</v>
      </c>
      <c r="D3256" t="inlineStr">
        <is>
          <t>ÖSTERGÖTLANDS LÄN</t>
        </is>
      </c>
      <c r="E3256" t="inlineStr">
        <is>
          <t>ÖDESHÖG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30391-2021</t>
        </is>
      </c>
      <c r="B3257" s="1" t="n">
        <v>44364</v>
      </c>
      <c r="C3257" s="1" t="n">
        <v>45710</v>
      </c>
      <c r="D3257" t="inlineStr">
        <is>
          <t>ÖSTERGÖTLANDS LÄN</t>
        </is>
      </c>
      <c r="E3257" t="inlineStr">
        <is>
          <t>YDRE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30564-2021</t>
        </is>
      </c>
      <c r="B3258" s="1" t="n">
        <v>44364</v>
      </c>
      <c r="C3258" s="1" t="n">
        <v>45710</v>
      </c>
      <c r="D3258" t="inlineStr">
        <is>
          <t>ÖSTERGÖTLANDS LÄN</t>
        </is>
      </c>
      <c r="E3258" t="inlineStr">
        <is>
          <t>NORRKÖPING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30636-2021</t>
        </is>
      </c>
      <c r="B3259" s="1" t="n">
        <v>44365</v>
      </c>
      <c r="C3259" s="1" t="n">
        <v>45710</v>
      </c>
      <c r="D3259" t="inlineStr">
        <is>
          <t>ÖSTERGÖTLANDS LÄN</t>
        </is>
      </c>
      <c r="E3259" t="inlineStr">
        <is>
          <t>MJÖLBY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30639-2021</t>
        </is>
      </c>
      <c r="B3260" s="1" t="n">
        <v>44365</v>
      </c>
      <c r="C3260" s="1" t="n">
        <v>45710</v>
      </c>
      <c r="D3260" t="inlineStr">
        <is>
          <t>ÖSTERGÖTLANDS LÄN</t>
        </is>
      </c>
      <c r="E3260" t="inlineStr">
        <is>
          <t>MJÖLBY</t>
        </is>
      </c>
      <c r="F3260" t="inlineStr">
        <is>
          <t>Sveaskog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30751-2021</t>
        </is>
      </c>
      <c r="B3261" s="1" t="n">
        <v>44365</v>
      </c>
      <c r="C3261" s="1" t="n">
        <v>45710</v>
      </c>
      <c r="D3261" t="inlineStr">
        <is>
          <t>ÖSTERGÖTLANDS LÄN</t>
        </is>
      </c>
      <c r="E3261" t="inlineStr">
        <is>
          <t>MJÖLBY</t>
        </is>
      </c>
      <c r="F3261" t="inlineStr">
        <is>
          <t>Sveaskog</t>
        </is>
      </c>
      <c r="G3261" t="n">
        <v>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30953-2021</t>
        </is>
      </c>
      <c r="B3262" s="1" t="n">
        <v>44365</v>
      </c>
      <c r="C3262" s="1" t="n">
        <v>45710</v>
      </c>
      <c r="D3262" t="inlineStr">
        <is>
          <t>ÖSTERGÖTLANDS LÄN</t>
        </is>
      </c>
      <c r="E3262" t="inlineStr">
        <is>
          <t>FINSPÅNG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31253-2021</t>
        </is>
      </c>
      <c r="B3263" s="1" t="n">
        <v>44368</v>
      </c>
      <c r="C3263" s="1" t="n">
        <v>45710</v>
      </c>
      <c r="D3263" t="inlineStr">
        <is>
          <t>ÖSTERGÖTLANDS LÄN</t>
        </is>
      </c>
      <c r="E3263" t="inlineStr">
        <is>
          <t>NORRKÖPING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31303-2021</t>
        </is>
      </c>
      <c r="B3264" s="1" t="n">
        <v>44368</v>
      </c>
      <c r="C3264" s="1" t="n">
        <v>45710</v>
      </c>
      <c r="D3264" t="inlineStr">
        <is>
          <t>ÖSTERGÖTLANDS LÄN</t>
        </is>
      </c>
      <c r="E3264" t="inlineStr">
        <is>
          <t>NORRKÖPING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31309-2021</t>
        </is>
      </c>
      <c r="B3265" s="1" t="n">
        <v>44368</v>
      </c>
      <c r="C3265" s="1" t="n">
        <v>45710</v>
      </c>
      <c r="D3265" t="inlineStr">
        <is>
          <t>ÖSTERGÖTLANDS LÄN</t>
        </is>
      </c>
      <c r="E3265" t="inlineStr">
        <is>
          <t>FINSPÅNG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31334-2021</t>
        </is>
      </c>
      <c r="B3266" s="1" t="n">
        <v>44368</v>
      </c>
      <c r="C3266" s="1" t="n">
        <v>45710</v>
      </c>
      <c r="D3266" t="inlineStr">
        <is>
          <t>ÖSTERGÖTLANDS LÄN</t>
        </is>
      </c>
      <c r="E3266" t="inlineStr">
        <is>
          <t>FINSPÅNG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31269-2021</t>
        </is>
      </c>
      <c r="B3267" s="1" t="n">
        <v>44368</v>
      </c>
      <c r="C3267" s="1" t="n">
        <v>45710</v>
      </c>
      <c r="D3267" t="inlineStr">
        <is>
          <t>ÖSTERGÖTLANDS LÄN</t>
        </is>
      </c>
      <c r="E3267" t="inlineStr">
        <is>
          <t>NORRKÖPING</t>
        </is>
      </c>
      <c r="F3267" t="inlineStr">
        <is>
          <t>Allmännings- och besparingsskogar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31293-2021</t>
        </is>
      </c>
      <c r="B3268" s="1" t="n">
        <v>44368</v>
      </c>
      <c r="C3268" s="1" t="n">
        <v>45710</v>
      </c>
      <c r="D3268" t="inlineStr">
        <is>
          <t>ÖSTERGÖTLANDS LÄN</t>
        </is>
      </c>
      <c r="E3268" t="inlineStr">
        <is>
          <t>ÅTVIDABERG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31371-2021</t>
        </is>
      </c>
      <c r="B3269" s="1" t="n">
        <v>44369</v>
      </c>
      <c r="C3269" s="1" t="n">
        <v>45710</v>
      </c>
      <c r="D3269" t="inlineStr">
        <is>
          <t>ÖSTERGÖTLANDS LÄN</t>
        </is>
      </c>
      <c r="E3269" t="inlineStr">
        <is>
          <t>FINSPÅNG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31415-2021</t>
        </is>
      </c>
      <c r="B3270" s="1" t="n">
        <v>44368</v>
      </c>
      <c r="C3270" s="1" t="n">
        <v>45710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31373-2021</t>
        </is>
      </c>
      <c r="B3271" s="1" t="n">
        <v>44368</v>
      </c>
      <c r="C3271" s="1" t="n">
        <v>45710</v>
      </c>
      <c r="D3271" t="inlineStr">
        <is>
          <t>ÖSTERGÖTLANDS LÄN</t>
        </is>
      </c>
      <c r="E3271" t="inlineStr">
        <is>
          <t>FINSPÅNG</t>
        </is>
      </c>
      <c r="G3271" t="n">
        <v>13.8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31375-2021</t>
        </is>
      </c>
      <c r="B3272" s="1" t="n">
        <v>44368</v>
      </c>
      <c r="C3272" s="1" t="n">
        <v>45710</v>
      </c>
      <c r="D3272" t="inlineStr">
        <is>
          <t>ÖSTERGÖTLANDS LÄN</t>
        </is>
      </c>
      <c r="E3272" t="inlineStr">
        <is>
          <t>FINSPÅNG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31369-2021</t>
        </is>
      </c>
      <c r="B3273" s="1" t="n">
        <v>44368</v>
      </c>
      <c r="C3273" s="1" t="n">
        <v>45710</v>
      </c>
      <c r="D3273" t="inlineStr">
        <is>
          <t>ÖSTERGÖTLANDS LÄN</t>
        </is>
      </c>
      <c r="E3273" t="inlineStr">
        <is>
          <t>FINSPÅNG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31374-2021</t>
        </is>
      </c>
      <c r="B3274" s="1" t="n">
        <v>44369</v>
      </c>
      <c r="C3274" s="1" t="n">
        <v>45710</v>
      </c>
      <c r="D3274" t="inlineStr">
        <is>
          <t>ÖSTERGÖTLANDS LÄN</t>
        </is>
      </c>
      <c r="E3274" t="inlineStr">
        <is>
          <t>FINSPÅNG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31376-2021</t>
        </is>
      </c>
      <c r="B3275" s="1" t="n">
        <v>44369</v>
      </c>
      <c r="C3275" s="1" t="n">
        <v>45710</v>
      </c>
      <c r="D3275" t="inlineStr">
        <is>
          <t>ÖSTERGÖTLANDS LÄN</t>
        </is>
      </c>
      <c r="E3275" t="inlineStr">
        <is>
          <t>FINSPÅNG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31377-2021</t>
        </is>
      </c>
      <c r="B3276" s="1" t="n">
        <v>44369</v>
      </c>
      <c r="C3276" s="1" t="n">
        <v>45710</v>
      </c>
      <c r="D3276" t="inlineStr">
        <is>
          <t>ÖSTERGÖTLANDS LÄN</t>
        </is>
      </c>
      <c r="E3276" t="inlineStr">
        <is>
          <t>FINSPÅNG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31571-2021</t>
        </is>
      </c>
      <c r="B3277" s="1" t="n">
        <v>44369</v>
      </c>
      <c r="C3277" s="1" t="n">
        <v>45710</v>
      </c>
      <c r="D3277" t="inlineStr">
        <is>
          <t>ÖSTERGÖTLANDS LÄN</t>
        </is>
      </c>
      <c r="E3277" t="inlineStr">
        <is>
          <t>FINSPÅNG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31792-2021</t>
        </is>
      </c>
      <c r="B3278" s="1" t="n">
        <v>44369</v>
      </c>
      <c r="C3278" s="1" t="n">
        <v>45710</v>
      </c>
      <c r="D3278" t="inlineStr">
        <is>
          <t>ÖSTERGÖTLANDS LÄN</t>
        </is>
      </c>
      <c r="E3278" t="inlineStr">
        <is>
          <t>LINKÖPING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31850-2021</t>
        </is>
      </c>
      <c r="B3279" s="1" t="n">
        <v>44369</v>
      </c>
      <c r="C3279" s="1" t="n">
        <v>45710</v>
      </c>
      <c r="D3279" t="inlineStr">
        <is>
          <t>ÖSTERGÖTLANDS LÄN</t>
        </is>
      </c>
      <c r="E3279" t="inlineStr">
        <is>
          <t>FINSPÅNG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31770-2021</t>
        </is>
      </c>
      <c r="B3280" s="1" t="n">
        <v>44370</v>
      </c>
      <c r="C3280" s="1" t="n">
        <v>45710</v>
      </c>
      <c r="D3280" t="inlineStr">
        <is>
          <t>ÖSTERGÖTLANDS LÄN</t>
        </is>
      </c>
      <c r="E3280" t="inlineStr">
        <is>
          <t>LINKÖPING</t>
        </is>
      </c>
      <c r="G3280" t="n">
        <v>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31941-2021</t>
        </is>
      </c>
      <c r="B3281" s="1" t="n">
        <v>44370</v>
      </c>
      <c r="C3281" s="1" t="n">
        <v>45710</v>
      </c>
      <c r="D3281" t="inlineStr">
        <is>
          <t>ÖSTERGÖTLANDS LÄN</t>
        </is>
      </c>
      <c r="E3281" t="inlineStr">
        <is>
          <t>BOXHOLM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31856-2021</t>
        </is>
      </c>
      <c r="B3282" s="1" t="n">
        <v>44370</v>
      </c>
      <c r="C3282" s="1" t="n">
        <v>45710</v>
      </c>
      <c r="D3282" t="inlineStr">
        <is>
          <t>ÖSTERGÖTLANDS LÄN</t>
        </is>
      </c>
      <c r="E3282" t="inlineStr">
        <is>
          <t>YDRE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32192-2021</t>
        </is>
      </c>
      <c r="B3283" s="1" t="n">
        <v>44371</v>
      </c>
      <c r="C3283" s="1" t="n">
        <v>45710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32243-2021</t>
        </is>
      </c>
      <c r="B3284" s="1" t="n">
        <v>44371</v>
      </c>
      <c r="C3284" s="1" t="n">
        <v>45710</v>
      </c>
      <c r="D3284" t="inlineStr">
        <is>
          <t>ÖSTERGÖTLANDS LÄN</t>
        </is>
      </c>
      <c r="E3284" t="inlineStr">
        <is>
          <t>YDRE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32255-2021</t>
        </is>
      </c>
      <c r="B3285" s="1" t="n">
        <v>44371</v>
      </c>
      <c r="C3285" s="1" t="n">
        <v>45710</v>
      </c>
      <c r="D3285" t="inlineStr">
        <is>
          <t>ÖSTERGÖTLANDS LÄN</t>
        </is>
      </c>
      <c r="E3285" t="inlineStr">
        <is>
          <t>LINKÖPING</t>
        </is>
      </c>
      <c r="F3285" t="inlineStr">
        <is>
          <t>Övriga Aktiebolag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32264-2021</t>
        </is>
      </c>
      <c r="B3286" s="1" t="n">
        <v>44371</v>
      </c>
      <c r="C3286" s="1" t="n">
        <v>45710</v>
      </c>
      <c r="D3286" t="inlineStr">
        <is>
          <t>ÖSTERGÖTLANDS LÄN</t>
        </is>
      </c>
      <c r="E3286" t="inlineStr">
        <is>
          <t>LINKÖPING</t>
        </is>
      </c>
      <c r="F3286" t="inlineStr">
        <is>
          <t>Övriga Aktiebolag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32302-2021</t>
        </is>
      </c>
      <c r="B3287" s="1" t="n">
        <v>44371</v>
      </c>
      <c r="C3287" s="1" t="n">
        <v>45710</v>
      </c>
      <c r="D3287" t="inlineStr">
        <is>
          <t>ÖSTERGÖTLANDS LÄN</t>
        </is>
      </c>
      <c r="E3287" t="inlineStr">
        <is>
          <t>ÅTVIDABERG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32232-2021</t>
        </is>
      </c>
      <c r="B3288" s="1" t="n">
        <v>44371</v>
      </c>
      <c r="C3288" s="1" t="n">
        <v>45710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Övriga Aktiebolag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32177-2021</t>
        </is>
      </c>
      <c r="B3289" s="1" t="n">
        <v>44371</v>
      </c>
      <c r="C3289" s="1" t="n">
        <v>45710</v>
      </c>
      <c r="D3289" t="inlineStr">
        <is>
          <t>ÖSTERGÖTLANDS LÄN</t>
        </is>
      </c>
      <c r="E3289" t="inlineStr">
        <is>
          <t>NORRKÖPING</t>
        </is>
      </c>
      <c r="F3289" t="inlineStr">
        <is>
          <t>Holmen skog AB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32190-2021</t>
        </is>
      </c>
      <c r="B3290" s="1" t="n">
        <v>44371</v>
      </c>
      <c r="C3290" s="1" t="n">
        <v>45710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Holmen skog AB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32296-2021</t>
        </is>
      </c>
      <c r="B3291" s="1" t="n">
        <v>44371</v>
      </c>
      <c r="C3291" s="1" t="n">
        <v>45710</v>
      </c>
      <c r="D3291" t="inlineStr">
        <is>
          <t>ÖSTERGÖTLANDS LÄN</t>
        </is>
      </c>
      <c r="E3291" t="inlineStr">
        <is>
          <t>ÅTVIDABERG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32341-2021</t>
        </is>
      </c>
      <c r="B3292" s="1" t="n">
        <v>44371</v>
      </c>
      <c r="C3292" s="1" t="n">
        <v>45710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Kommuner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  <c r="U3292">
        <f>HYPERLINK("https://klasma.github.io/Logging_0583/knärot/A 32341-2021 karta knärot.png", "A 32341-2021")</f>
        <v/>
      </c>
      <c r="V3292">
        <f>HYPERLINK("https://klasma.github.io/Logging_0583/klagomål/A 32341-2021 FSC-klagomål.docx", "A 32341-2021")</f>
        <v/>
      </c>
      <c r="W3292">
        <f>HYPERLINK("https://klasma.github.io/Logging_0583/klagomålsmail/A 32341-2021 FSC-klagomål mail.docx", "A 32341-2021")</f>
        <v/>
      </c>
      <c r="X3292">
        <f>HYPERLINK("https://klasma.github.io/Logging_0583/tillsyn/A 32341-2021 tillsynsbegäran.docx", "A 32341-2021")</f>
        <v/>
      </c>
      <c r="Y3292">
        <f>HYPERLINK("https://klasma.github.io/Logging_0583/tillsynsmail/A 32341-2021 tillsynsbegäran mail.docx", "A 32341-2021")</f>
        <v/>
      </c>
    </row>
    <row r="3293" ht="15" customHeight="1">
      <c r="A3293" t="inlineStr">
        <is>
          <t>A 32370-2021</t>
        </is>
      </c>
      <c r="B3293" s="1" t="n">
        <v>44371</v>
      </c>
      <c r="C3293" s="1" t="n">
        <v>45710</v>
      </c>
      <c r="D3293" t="inlineStr">
        <is>
          <t>ÖSTERGÖTLANDS LÄN</t>
        </is>
      </c>
      <c r="E3293" t="inlineStr">
        <is>
          <t>BOXHOLM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32571-2021</t>
        </is>
      </c>
      <c r="B3294" s="1" t="n">
        <v>44371</v>
      </c>
      <c r="C3294" s="1" t="n">
        <v>45710</v>
      </c>
      <c r="D3294" t="inlineStr">
        <is>
          <t>ÖSTERGÖTLANDS LÄN</t>
        </is>
      </c>
      <c r="E3294" t="inlineStr">
        <is>
          <t>VALDEMARSVIK</t>
        </is>
      </c>
      <c r="F3294" t="inlineStr">
        <is>
          <t>Övriga Aktiebolag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32596-2021</t>
        </is>
      </c>
      <c r="B3295" s="1" t="n">
        <v>44375</v>
      </c>
      <c r="C3295" s="1" t="n">
        <v>45710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32825-2021</t>
        </is>
      </c>
      <c r="B3296" s="1" t="n">
        <v>44375</v>
      </c>
      <c r="C3296" s="1" t="n">
        <v>45710</v>
      </c>
      <c r="D3296" t="inlineStr">
        <is>
          <t>ÖSTERGÖTLANDS LÄN</t>
        </is>
      </c>
      <c r="E3296" t="inlineStr">
        <is>
          <t>KINDA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32773-2021</t>
        </is>
      </c>
      <c r="B3297" s="1" t="n">
        <v>44375</v>
      </c>
      <c r="C3297" s="1" t="n">
        <v>45710</v>
      </c>
      <c r="D3297" t="inlineStr">
        <is>
          <t>ÖSTERGÖTLANDS LÄN</t>
        </is>
      </c>
      <c r="E3297" t="inlineStr">
        <is>
          <t>MJÖLBY</t>
        </is>
      </c>
      <c r="G3297" t="n">
        <v>10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32781-2021</t>
        </is>
      </c>
      <c r="B3298" s="1" t="n">
        <v>44375</v>
      </c>
      <c r="C3298" s="1" t="n">
        <v>45710</v>
      </c>
      <c r="D3298" t="inlineStr">
        <is>
          <t>ÖSTERGÖTLANDS LÄN</t>
        </is>
      </c>
      <c r="E3298" t="inlineStr">
        <is>
          <t>KINDA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  <c r="U3298">
        <f>HYPERLINK("https://klasma.github.io/Logging_0513/knärot/A 32781-2021 karta knärot.png", "A 32781-2021")</f>
        <v/>
      </c>
      <c r="V3298">
        <f>HYPERLINK("https://klasma.github.io/Logging_0513/klagomål/A 32781-2021 FSC-klagomål.docx", "A 32781-2021")</f>
        <v/>
      </c>
      <c r="W3298">
        <f>HYPERLINK("https://klasma.github.io/Logging_0513/klagomålsmail/A 32781-2021 FSC-klagomål mail.docx", "A 32781-2021")</f>
        <v/>
      </c>
      <c r="X3298">
        <f>HYPERLINK("https://klasma.github.io/Logging_0513/tillsyn/A 32781-2021 tillsynsbegäran.docx", "A 32781-2021")</f>
        <v/>
      </c>
      <c r="Y3298">
        <f>HYPERLINK("https://klasma.github.io/Logging_0513/tillsynsmail/A 32781-2021 tillsynsbegäran mail.docx", "A 32781-2021")</f>
        <v/>
      </c>
    </row>
    <row r="3299" ht="15" customHeight="1">
      <c r="A3299" t="inlineStr">
        <is>
          <t>A 33173-2021</t>
        </is>
      </c>
      <c r="B3299" s="1" t="n">
        <v>44376</v>
      </c>
      <c r="C3299" s="1" t="n">
        <v>45710</v>
      </c>
      <c r="D3299" t="inlineStr">
        <is>
          <t>ÖSTERGÖTLANDS LÄN</t>
        </is>
      </c>
      <c r="E3299" t="inlineStr">
        <is>
          <t>FINSPÅNG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33584-2021</t>
        </is>
      </c>
      <c r="B3300" s="1" t="n">
        <v>44377</v>
      </c>
      <c r="C3300" s="1" t="n">
        <v>45710</v>
      </c>
      <c r="D3300" t="inlineStr">
        <is>
          <t>ÖSTERGÖTLANDS LÄN</t>
        </is>
      </c>
      <c r="E3300" t="inlineStr">
        <is>
          <t>FINSPÅNG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33694-2021</t>
        </is>
      </c>
      <c r="B3301" s="1" t="n">
        <v>44378</v>
      </c>
      <c r="C3301" s="1" t="n">
        <v>45710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33746-2021</t>
        </is>
      </c>
      <c r="B3302" s="1" t="n">
        <v>44378</v>
      </c>
      <c r="C3302" s="1" t="n">
        <v>45710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Holmen skog AB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33876-2021</t>
        </is>
      </c>
      <c r="B3303" s="1" t="n">
        <v>44378</v>
      </c>
      <c r="C3303" s="1" t="n">
        <v>45710</v>
      </c>
      <c r="D3303" t="inlineStr">
        <is>
          <t>ÖSTERGÖTLANDS LÄN</t>
        </is>
      </c>
      <c r="E3303" t="inlineStr">
        <is>
          <t>LINKÖPING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33891-2021</t>
        </is>
      </c>
      <c r="B3304" s="1" t="n">
        <v>44378</v>
      </c>
      <c r="C3304" s="1" t="n">
        <v>45710</v>
      </c>
      <c r="D3304" t="inlineStr">
        <is>
          <t>ÖSTERGÖTLANDS LÄN</t>
        </is>
      </c>
      <c r="E3304" t="inlineStr">
        <is>
          <t>LINKÖPING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33881-2021</t>
        </is>
      </c>
      <c r="B3305" s="1" t="n">
        <v>44378</v>
      </c>
      <c r="C3305" s="1" t="n">
        <v>45710</v>
      </c>
      <c r="D3305" t="inlineStr">
        <is>
          <t>ÖSTERGÖTLANDS LÄN</t>
        </is>
      </c>
      <c r="E3305" t="inlineStr">
        <is>
          <t>LINKÖPING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33897-2021</t>
        </is>
      </c>
      <c r="B3306" s="1" t="n">
        <v>44378</v>
      </c>
      <c r="C3306" s="1" t="n">
        <v>45710</v>
      </c>
      <c r="D3306" t="inlineStr">
        <is>
          <t>ÖSTERGÖTLANDS LÄN</t>
        </is>
      </c>
      <c r="E3306" t="inlineStr">
        <is>
          <t>VALDEMARSVIK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33868-2021</t>
        </is>
      </c>
      <c r="B3307" s="1" t="n">
        <v>44378</v>
      </c>
      <c r="C3307" s="1" t="n">
        <v>45710</v>
      </c>
      <c r="D3307" t="inlineStr">
        <is>
          <t>ÖSTERGÖTLANDS LÄN</t>
        </is>
      </c>
      <c r="E3307" t="inlineStr">
        <is>
          <t>VALDEMARSVIK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33885-2021</t>
        </is>
      </c>
      <c r="B3308" s="1" t="n">
        <v>44378</v>
      </c>
      <c r="C3308" s="1" t="n">
        <v>45710</v>
      </c>
      <c r="D3308" t="inlineStr">
        <is>
          <t>ÖSTERGÖTLANDS LÄN</t>
        </is>
      </c>
      <c r="E3308" t="inlineStr">
        <is>
          <t>LINKÖPING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33901-2021</t>
        </is>
      </c>
      <c r="B3309" s="1" t="n">
        <v>44378</v>
      </c>
      <c r="C3309" s="1" t="n">
        <v>45710</v>
      </c>
      <c r="D3309" t="inlineStr">
        <is>
          <t>ÖSTERGÖTLANDS LÄN</t>
        </is>
      </c>
      <c r="E3309" t="inlineStr">
        <is>
          <t>VALDEMARSVIK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34131-2021</t>
        </is>
      </c>
      <c r="B3310" s="1" t="n">
        <v>44379</v>
      </c>
      <c r="C3310" s="1" t="n">
        <v>45710</v>
      </c>
      <c r="D3310" t="inlineStr">
        <is>
          <t>ÖSTERGÖTLANDS LÄN</t>
        </is>
      </c>
      <c r="E3310" t="inlineStr">
        <is>
          <t>KINDA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34180-2021</t>
        </is>
      </c>
      <c r="B3311" s="1" t="n">
        <v>44379</v>
      </c>
      <c r="C3311" s="1" t="n">
        <v>45710</v>
      </c>
      <c r="D3311" t="inlineStr">
        <is>
          <t>ÖSTERGÖTLANDS LÄN</t>
        </is>
      </c>
      <c r="E3311" t="inlineStr">
        <is>
          <t>SÖDERKÖPING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34135-2021</t>
        </is>
      </c>
      <c r="B3312" s="1" t="n">
        <v>44379</v>
      </c>
      <c r="C3312" s="1" t="n">
        <v>45710</v>
      </c>
      <c r="D3312" t="inlineStr">
        <is>
          <t>ÖSTERGÖTLANDS LÄN</t>
        </is>
      </c>
      <c r="E3312" t="inlineStr">
        <is>
          <t>KINDA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34153-2021</t>
        </is>
      </c>
      <c r="B3313" s="1" t="n">
        <v>44379</v>
      </c>
      <c r="C3313" s="1" t="n">
        <v>45710</v>
      </c>
      <c r="D3313" t="inlineStr">
        <is>
          <t>ÖSTERGÖTLANDS LÄN</t>
        </is>
      </c>
      <c r="E3313" t="inlineStr">
        <is>
          <t>SÖDERKÖPING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34123-2021</t>
        </is>
      </c>
      <c r="B3314" s="1" t="n">
        <v>44379</v>
      </c>
      <c r="C3314" s="1" t="n">
        <v>45710</v>
      </c>
      <c r="D3314" t="inlineStr">
        <is>
          <t>ÖSTERGÖTLANDS LÄN</t>
        </is>
      </c>
      <c r="E3314" t="inlineStr">
        <is>
          <t>KINDA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34127-2021</t>
        </is>
      </c>
      <c r="B3315" s="1" t="n">
        <v>44379</v>
      </c>
      <c r="C3315" s="1" t="n">
        <v>45710</v>
      </c>
      <c r="D3315" t="inlineStr">
        <is>
          <t>ÖSTERGÖTLANDS LÄN</t>
        </is>
      </c>
      <c r="E3315" t="inlineStr">
        <is>
          <t>KINDA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34162-2021</t>
        </is>
      </c>
      <c r="B3316" s="1" t="n">
        <v>44379</v>
      </c>
      <c r="C3316" s="1" t="n">
        <v>45710</v>
      </c>
      <c r="D3316" t="inlineStr">
        <is>
          <t>ÖSTERGÖTLANDS LÄN</t>
        </is>
      </c>
      <c r="E3316" t="inlineStr">
        <is>
          <t>SÖDERKÖPING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34177-2021</t>
        </is>
      </c>
      <c r="B3317" s="1" t="n">
        <v>44379</v>
      </c>
      <c r="C3317" s="1" t="n">
        <v>45710</v>
      </c>
      <c r="D3317" t="inlineStr">
        <is>
          <t>ÖSTERGÖTLANDS LÄN</t>
        </is>
      </c>
      <c r="E3317" t="inlineStr">
        <is>
          <t>SÖDERKÖPING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34182-2021</t>
        </is>
      </c>
      <c r="B3318" s="1" t="n">
        <v>44379</v>
      </c>
      <c r="C3318" s="1" t="n">
        <v>45710</v>
      </c>
      <c r="D3318" t="inlineStr">
        <is>
          <t>ÖSTERGÖTLANDS LÄN</t>
        </is>
      </c>
      <c r="E3318" t="inlineStr">
        <is>
          <t>SÖDERKÖPING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34209-2021</t>
        </is>
      </c>
      <c r="B3319" s="1" t="n">
        <v>44379</v>
      </c>
      <c r="C3319" s="1" t="n">
        <v>45710</v>
      </c>
      <c r="D3319" t="inlineStr">
        <is>
          <t>ÖSTERGÖTLANDS LÄN</t>
        </is>
      </c>
      <c r="E3319" t="inlineStr">
        <is>
          <t>ÅTVIDABERG</t>
        </is>
      </c>
      <c r="F3319" t="inlineStr">
        <is>
          <t>Övriga Aktiebolag</t>
        </is>
      </c>
      <c r="G3319" t="n">
        <v>21.3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34166-2021</t>
        </is>
      </c>
      <c r="B3320" s="1" t="n">
        <v>44379</v>
      </c>
      <c r="C3320" s="1" t="n">
        <v>45710</v>
      </c>
      <c r="D3320" t="inlineStr">
        <is>
          <t>ÖSTERGÖTLANDS LÄN</t>
        </is>
      </c>
      <c r="E3320" t="inlineStr">
        <is>
          <t>SÖDERKÖPING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34139-2021</t>
        </is>
      </c>
      <c r="B3321" s="1" t="n">
        <v>44379</v>
      </c>
      <c r="C3321" s="1" t="n">
        <v>45710</v>
      </c>
      <c r="D3321" t="inlineStr">
        <is>
          <t>ÖSTERGÖTLANDS LÄN</t>
        </is>
      </c>
      <c r="E3321" t="inlineStr">
        <is>
          <t>KINDA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34486-2021</t>
        </is>
      </c>
      <c r="B3322" s="1" t="n">
        <v>44382</v>
      </c>
      <c r="C3322" s="1" t="n">
        <v>45710</v>
      </c>
      <c r="D3322" t="inlineStr">
        <is>
          <t>ÖSTERGÖTLANDS LÄN</t>
        </is>
      </c>
      <c r="E3322" t="inlineStr">
        <is>
          <t>LINKÖPING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34487-2021</t>
        </is>
      </c>
      <c r="B3323" s="1" t="n">
        <v>44382</v>
      </c>
      <c r="C3323" s="1" t="n">
        <v>45710</v>
      </c>
      <c r="D3323" t="inlineStr">
        <is>
          <t>ÖSTERGÖTLANDS LÄN</t>
        </is>
      </c>
      <c r="E3323" t="inlineStr">
        <is>
          <t>LINKÖPING</t>
        </is>
      </c>
      <c r="G3323" t="n">
        <v>7.5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34601-2021</t>
        </is>
      </c>
      <c r="B3324" s="1" t="n">
        <v>44382</v>
      </c>
      <c r="C3324" s="1" t="n">
        <v>45710</v>
      </c>
      <c r="D3324" t="inlineStr">
        <is>
          <t>ÖSTERGÖTLANDS LÄN</t>
        </is>
      </c>
      <c r="E3324" t="inlineStr">
        <is>
          <t>KINDA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34705-2021</t>
        </is>
      </c>
      <c r="B3325" s="1" t="n">
        <v>44382</v>
      </c>
      <c r="C3325" s="1" t="n">
        <v>45710</v>
      </c>
      <c r="D3325" t="inlineStr">
        <is>
          <t>ÖSTERGÖTLANDS LÄN</t>
        </is>
      </c>
      <c r="E3325" t="inlineStr">
        <is>
          <t>YDRE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34858-2021</t>
        </is>
      </c>
      <c r="B3326" s="1" t="n">
        <v>44383</v>
      </c>
      <c r="C3326" s="1" t="n">
        <v>45710</v>
      </c>
      <c r="D3326" t="inlineStr">
        <is>
          <t>ÖSTERGÖTLANDS LÄN</t>
        </is>
      </c>
      <c r="E3326" t="inlineStr">
        <is>
          <t>KINDA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35096-2021</t>
        </is>
      </c>
      <c r="B3327" s="1" t="n">
        <v>44383</v>
      </c>
      <c r="C3327" s="1" t="n">
        <v>45710</v>
      </c>
      <c r="D3327" t="inlineStr">
        <is>
          <t>ÖSTERGÖTLANDS LÄN</t>
        </is>
      </c>
      <c r="E3327" t="inlineStr">
        <is>
          <t>FINSPÅNG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35098-2021</t>
        </is>
      </c>
      <c r="B3328" s="1" t="n">
        <v>44383</v>
      </c>
      <c r="C3328" s="1" t="n">
        <v>45710</v>
      </c>
      <c r="D3328" t="inlineStr">
        <is>
          <t>ÖSTERGÖTLANDS LÄN</t>
        </is>
      </c>
      <c r="E3328" t="inlineStr">
        <is>
          <t>FINSPÅNG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35293-2021</t>
        </is>
      </c>
      <c r="B3329" s="1" t="n">
        <v>44384</v>
      </c>
      <c r="C3329" s="1" t="n">
        <v>45710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Kyrkan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35187-2021</t>
        </is>
      </c>
      <c r="B3330" s="1" t="n">
        <v>44384</v>
      </c>
      <c r="C3330" s="1" t="n">
        <v>45710</v>
      </c>
      <c r="D3330" t="inlineStr">
        <is>
          <t>ÖSTERGÖTLANDS LÄN</t>
        </is>
      </c>
      <c r="E3330" t="inlineStr">
        <is>
          <t>BOXHOLM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35275-2021</t>
        </is>
      </c>
      <c r="B3331" s="1" t="n">
        <v>44384</v>
      </c>
      <c r="C3331" s="1" t="n">
        <v>45710</v>
      </c>
      <c r="D3331" t="inlineStr">
        <is>
          <t>ÖSTERGÖTLANDS LÄN</t>
        </is>
      </c>
      <c r="E3331" t="inlineStr">
        <is>
          <t>BOXHOLM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35283-2021</t>
        </is>
      </c>
      <c r="B3332" s="1" t="n">
        <v>44384</v>
      </c>
      <c r="C3332" s="1" t="n">
        <v>45710</v>
      </c>
      <c r="D3332" t="inlineStr">
        <is>
          <t>ÖSTERGÖTLANDS LÄN</t>
        </is>
      </c>
      <c r="E3332" t="inlineStr">
        <is>
          <t>BOXHOLM</t>
        </is>
      </c>
      <c r="G3332" t="n">
        <v>0.2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35314-2021</t>
        </is>
      </c>
      <c r="B3333" s="1" t="n">
        <v>44384</v>
      </c>
      <c r="C3333" s="1" t="n">
        <v>45710</v>
      </c>
      <c r="D3333" t="inlineStr">
        <is>
          <t>ÖSTERGÖTLANDS LÄN</t>
        </is>
      </c>
      <c r="E3333" t="inlineStr">
        <is>
          <t>MOTALA</t>
        </is>
      </c>
      <c r="G3333" t="n">
        <v>5.9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35459-2021</t>
        </is>
      </c>
      <c r="B3334" s="1" t="n">
        <v>44385</v>
      </c>
      <c r="C3334" s="1" t="n">
        <v>45710</v>
      </c>
      <c r="D3334" t="inlineStr">
        <is>
          <t>ÖSTERGÖTLANDS LÄN</t>
        </is>
      </c>
      <c r="E3334" t="inlineStr">
        <is>
          <t>MOTALA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35477-2021</t>
        </is>
      </c>
      <c r="B3335" s="1" t="n">
        <v>44385</v>
      </c>
      <c r="C3335" s="1" t="n">
        <v>45710</v>
      </c>
      <c r="D3335" t="inlineStr">
        <is>
          <t>ÖSTERGÖTLANDS LÄN</t>
        </is>
      </c>
      <c r="E3335" t="inlineStr">
        <is>
          <t>MOTALA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35512-2021</t>
        </is>
      </c>
      <c r="B3336" s="1" t="n">
        <v>44385</v>
      </c>
      <c r="C3336" s="1" t="n">
        <v>45710</v>
      </c>
      <c r="D3336" t="inlineStr">
        <is>
          <t>ÖSTERGÖTLANDS LÄN</t>
        </is>
      </c>
      <c r="E3336" t="inlineStr">
        <is>
          <t>NORRKÖPING</t>
        </is>
      </c>
      <c r="G3336" t="n">
        <v>13.3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35474-2021</t>
        </is>
      </c>
      <c r="B3337" s="1" t="n">
        <v>44385</v>
      </c>
      <c r="C3337" s="1" t="n">
        <v>45710</v>
      </c>
      <c r="D3337" t="inlineStr">
        <is>
          <t>ÖSTERGÖTLANDS LÄN</t>
        </is>
      </c>
      <c r="E3337" t="inlineStr">
        <is>
          <t>ÖDESHÖG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35717-2021</t>
        </is>
      </c>
      <c r="B3338" s="1" t="n">
        <v>44386</v>
      </c>
      <c r="C3338" s="1" t="n">
        <v>45710</v>
      </c>
      <c r="D3338" t="inlineStr">
        <is>
          <t>ÖSTERGÖTLANDS LÄN</t>
        </is>
      </c>
      <c r="E3338" t="inlineStr">
        <is>
          <t>YDRE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35597-2021</t>
        </is>
      </c>
      <c r="B3339" s="1" t="n">
        <v>44386</v>
      </c>
      <c r="C3339" s="1" t="n">
        <v>45710</v>
      </c>
      <c r="D3339" t="inlineStr">
        <is>
          <t>ÖSTERGÖTLANDS LÄN</t>
        </is>
      </c>
      <c r="E3339" t="inlineStr">
        <is>
          <t>ÖDESHÖG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35884-2021</t>
        </is>
      </c>
      <c r="B3340" s="1" t="n">
        <v>44387</v>
      </c>
      <c r="C3340" s="1" t="n">
        <v>45710</v>
      </c>
      <c r="D3340" t="inlineStr">
        <is>
          <t>ÖSTERGÖTLANDS LÄN</t>
        </is>
      </c>
      <c r="E3340" t="inlineStr">
        <is>
          <t>YDRE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35883-2021</t>
        </is>
      </c>
      <c r="B3341" s="1" t="n">
        <v>44387</v>
      </c>
      <c r="C3341" s="1" t="n">
        <v>45710</v>
      </c>
      <c r="D3341" t="inlineStr">
        <is>
          <t>ÖSTERGÖTLANDS LÄN</t>
        </is>
      </c>
      <c r="E3341" t="inlineStr">
        <is>
          <t>YDRE</t>
        </is>
      </c>
      <c r="G3341" t="n">
        <v>5.8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36281-2021</t>
        </is>
      </c>
      <c r="B3342" s="1" t="n">
        <v>44390</v>
      </c>
      <c r="C3342" s="1" t="n">
        <v>45710</v>
      </c>
      <c r="D3342" t="inlineStr">
        <is>
          <t>ÖSTERGÖTLANDS LÄN</t>
        </is>
      </c>
      <c r="E3342" t="inlineStr">
        <is>
          <t>NORRKÖPING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36283-2021</t>
        </is>
      </c>
      <c r="B3343" s="1" t="n">
        <v>44390</v>
      </c>
      <c r="C3343" s="1" t="n">
        <v>45710</v>
      </c>
      <c r="D3343" t="inlineStr">
        <is>
          <t>ÖSTERGÖTLANDS LÄN</t>
        </is>
      </c>
      <c r="E3343" t="inlineStr">
        <is>
          <t>NORRKÖPING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36320-2021</t>
        </is>
      </c>
      <c r="B3344" s="1" t="n">
        <v>44390</v>
      </c>
      <c r="C3344" s="1" t="n">
        <v>45710</v>
      </c>
      <c r="D3344" t="inlineStr">
        <is>
          <t>ÖSTERGÖTLANDS LÄN</t>
        </is>
      </c>
      <c r="E3344" t="inlineStr">
        <is>
          <t>ÅTVIDABERG</t>
        </is>
      </c>
      <c r="G3344" t="n">
        <v>0.3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36545-2021</t>
        </is>
      </c>
      <c r="B3345" s="1" t="n">
        <v>44391</v>
      </c>
      <c r="C3345" s="1" t="n">
        <v>45710</v>
      </c>
      <c r="D3345" t="inlineStr">
        <is>
          <t>ÖSTERGÖTLANDS LÄN</t>
        </is>
      </c>
      <c r="E3345" t="inlineStr">
        <is>
          <t>FINSPÅNG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36657-2021</t>
        </is>
      </c>
      <c r="B3346" s="1" t="n">
        <v>44392</v>
      </c>
      <c r="C3346" s="1" t="n">
        <v>45710</v>
      </c>
      <c r="D3346" t="inlineStr">
        <is>
          <t>ÖSTERGÖTLANDS LÄN</t>
        </is>
      </c>
      <c r="E3346" t="inlineStr">
        <is>
          <t>MOTALA</t>
        </is>
      </c>
      <c r="F3346" t="inlineStr">
        <is>
          <t>Sveaskog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36726-2021</t>
        </is>
      </c>
      <c r="B3347" s="1" t="n">
        <v>44392</v>
      </c>
      <c r="C3347" s="1" t="n">
        <v>45710</v>
      </c>
      <c r="D3347" t="inlineStr">
        <is>
          <t>ÖSTERGÖTLANDS LÄN</t>
        </is>
      </c>
      <c r="E3347" t="inlineStr">
        <is>
          <t>FINSPÅNG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36652-2021</t>
        </is>
      </c>
      <c r="B3348" s="1" t="n">
        <v>44392</v>
      </c>
      <c r="C3348" s="1" t="n">
        <v>45710</v>
      </c>
      <c r="D3348" t="inlineStr">
        <is>
          <t>ÖSTERGÖTLANDS LÄN</t>
        </is>
      </c>
      <c r="E3348" t="inlineStr">
        <is>
          <t>MOTALA</t>
        </is>
      </c>
      <c r="F3348" t="inlineStr">
        <is>
          <t>Sveaskog</t>
        </is>
      </c>
      <c r="G3348" t="n">
        <v>4.8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36804-2021</t>
        </is>
      </c>
      <c r="B3349" s="1" t="n">
        <v>44392</v>
      </c>
      <c r="C3349" s="1" t="n">
        <v>45710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Sveaskog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36658-2021</t>
        </is>
      </c>
      <c r="B3350" s="1" t="n">
        <v>44392</v>
      </c>
      <c r="C3350" s="1" t="n">
        <v>45710</v>
      </c>
      <c r="D3350" t="inlineStr">
        <is>
          <t>ÖSTERGÖTLANDS LÄN</t>
        </is>
      </c>
      <c r="E3350" t="inlineStr">
        <is>
          <t>MOTALA</t>
        </is>
      </c>
      <c r="F3350" t="inlineStr">
        <is>
          <t>Sveaskog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36727-2021</t>
        </is>
      </c>
      <c r="B3351" s="1" t="n">
        <v>44392</v>
      </c>
      <c r="C3351" s="1" t="n">
        <v>45710</v>
      </c>
      <c r="D3351" t="inlineStr">
        <is>
          <t>ÖSTERGÖTLANDS LÄN</t>
        </is>
      </c>
      <c r="E3351" t="inlineStr">
        <is>
          <t>FINSPÅNG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36740-2021</t>
        </is>
      </c>
      <c r="B3352" s="1" t="n">
        <v>44392</v>
      </c>
      <c r="C3352" s="1" t="n">
        <v>45710</v>
      </c>
      <c r="D3352" t="inlineStr">
        <is>
          <t>ÖSTERGÖTLANDS LÄN</t>
        </is>
      </c>
      <c r="E3352" t="inlineStr">
        <is>
          <t>KINDA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36772-2021</t>
        </is>
      </c>
      <c r="B3353" s="1" t="n">
        <v>44392</v>
      </c>
      <c r="C3353" s="1" t="n">
        <v>45710</v>
      </c>
      <c r="D3353" t="inlineStr">
        <is>
          <t>ÖSTERGÖTLANDS LÄN</t>
        </is>
      </c>
      <c r="E3353" t="inlineStr">
        <is>
          <t>ÅTVIDABERG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36803-2021</t>
        </is>
      </c>
      <c r="B3354" s="1" t="n">
        <v>44392</v>
      </c>
      <c r="C3354" s="1" t="n">
        <v>45710</v>
      </c>
      <c r="D3354" t="inlineStr">
        <is>
          <t>ÖSTERGÖTLANDS LÄN</t>
        </is>
      </c>
      <c r="E3354" t="inlineStr">
        <is>
          <t>YDRE</t>
        </is>
      </c>
      <c r="F3354" t="inlineStr">
        <is>
          <t>Sveaskog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36777-2021</t>
        </is>
      </c>
      <c r="B3355" s="1" t="n">
        <v>44392</v>
      </c>
      <c r="C3355" s="1" t="n">
        <v>45710</v>
      </c>
      <c r="D3355" t="inlineStr">
        <is>
          <t>ÖSTERGÖTLANDS LÄN</t>
        </is>
      </c>
      <c r="E3355" t="inlineStr">
        <is>
          <t>ÅTVIDABERG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37014-2021</t>
        </is>
      </c>
      <c r="B3356" s="1" t="n">
        <v>44393</v>
      </c>
      <c r="C3356" s="1" t="n">
        <v>45710</v>
      </c>
      <c r="D3356" t="inlineStr">
        <is>
          <t>ÖSTERGÖTLANDS LÄN</t>
        </is>
      </c>
      <c r="E3356" t="inlineStr">
        <is>
          <t>LINKÖPING</t>
        </is>
      </c>
      <c r="F3356" t="inlineStr">
        <is>
          <t>Allmännings- och besparingsskogar</t>
        </is>
      </c>
      <c r="G3356" t="n">
        <v>7.7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37012-2021</t>
        </is>
      </c>
      <c r="B3357" s="1" t="n">
        <v>44393</v>
      </c>
      <c r="C3357" s="1" t="n">
        <v>45710</v>
      </c>
      <c r="D3357" t="inlineStr">
        <is>
          <t>ÖSTERGÖTLANDS LÄN</t>
        </is>
      </c>
      <c r="E3357" t="inlineStr">
        <is>
          <t>LINKÖPING</t>
        </is>
      </c>
      <c r="F3357" t="inlineStr">
        <is>
          <t>Allmännings- och besparingsskogar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36898-2021</t>
        </is>
      </c>
      <c r="B3358" s="1" t="n">
        <v>44393</v>
      </c>
      <c r="C3358" s="1" t="n">
        <v>45710</v>
      </c>
      <c r="D3358" t="inlineStr">
        <is>
          <t>ÖSTERGÖTLANDS LÄN</t>
        </is>
      </c>
      <c r="E3358" t="inlineStr">
        <is>
          <t>NORRKÖPING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37109-2021</t>
        </is>
      </c>
      <c r="B3359" s="1" t="n">
        <v>44396</v>
      </c>
      <c r="C3359" s="1" t="n">
        <v>45710</v>
      </c>
      <c r="D3359" t="inlineStr">
        <is>
          <t>ÖSTERGÖTLANDS LÄN</t>
        </is>
      </c>
      <c r="E3359" t="inlineStr">
        <is>
          <t>ÅTVIDABERG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37154-2021</t>
        </is>
      </c>
      <c r="B3360" s="1" t="n">
        <v>44396</v>
      </c>
      <c r="C3360" s="1" t="n">
        <v>45710</v>
      </c>
      <c r="D3360" t="inlineStr">
        <is>
          <t>ÖSTERGÖTLANDS LÄN</t>
        </is>
      </c>
      <c r="E3360" t="inlineStr">
        <is>
          <t>FINSPÅNG</t>
        </is>
      </c>
      <c r="G3360" t="n">
        <v>4.1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37214-2021</t>
        </is>
      </c>
      <c r="B3361" s="1" t="n">
        <v>44396</v>
      </c>
      <c r="C3361" s="1" t="n">
        <v>45710</v>
      </c>
      <c r="D3361" t="inlineStr">
        <is>
          <t>ÖSTERGÖTLANDS LÄN</t>
        </is>
      </c>
      <c r="E3361" t="inlineStr">
        <is>
          <t>MJÖLBY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37428-2021</t>
        </is>
      </c>
      <c r="B3362" s="1" t="n">
        <v>44398</v>
      </c>
      <c r="C3362" s="1" t="n">
        <v>45710</v>
      </c>
      <c r="D3362" t="inlineStr">
        <is>
          <t>ÖSTERGÖTLANDS LÄN</t>
        </is>
      </c>
      <c r="E3362" t="inlineStr">
        <is>
          <t>MOTALA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37728-2021</t>
        </is>
      </c>
      <c r="B3363" s="1" t="n">
        <v>44400</v>
      </c>
      <c r="C3363" s="1" t="n">
        <v>45710</v>
      </c>
      <c r="D3363" t="inlineStr">
        <is>
          <t>ÖSTERGÖTLANDS LÄN</t>
        </is>
      </c>
      <c r="E3363" t="inlineStr">
        <is>
          <t>ÅTVIDABERG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38057-2021</t>
        </is>
      </c>
      <c r="B3364" s="1" t="n">
        <v>44404</v>
      </c>
      <c r="C3364" s="1" t="n">
        <v>45710</v>
      </c>
      <c r="D3364" t="inlineStr">
        <is>
          <t>ÖSTERGÖTLANDS LÄN</t>
        </is>
      </c>
      <c r="E3364" t="inlineStr">
        <is>
          <t>FINSPÅNG</t>
        </is>
      </c>
      <c r="F3364" t="inlineStr">
        <is>
          <t>Holmen skog AB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38060-2021</t>
        </is>
      </c>
      <c r="B3365" s="1" t="n">
        <v>44404</v>
      </c>
      <c r="C3365" s="1" t="n">
        <v>45710</v>
      </c>
      <c r="D3365" t="inlineStr">
        <is>
          <t>ÖSTERGÖTLANDS LÄN</t>
        </is>
      </c>
      <c r="E3365" t="inlineStr">
        <is>
          <t>FINSPÅNG</t>
        </is>
      </c>
      <c r="F3365" t="inlineStr">
        <is>
          <t>Holmen skog AB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38062-2021</t>
        </is>
      </c>
      <c r="B3366" s="1" t="n">
        <v>44404</v>
      </c>
      <c r="C3366" s="1" t="n">
        <v>45710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Holmen skog AB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38134-2021</t>
        </is>
      </c>
      <c r="B3367" s="1" t="n">
        <v>44405</v>
      </c>
      <c r="C3367" s="1" t="n">
        <v>45710</v>
      </c>
      <c r="D3367" t="inlineStr">
        <is>
          <t>ÖSTERGÖTLANDS LÄN</t>
        </is>
      </c>
      <c r="E3367" t="inlineStr">
        <is>
          <t>LINKÖPING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38130-2021</t>
        </is>
      </c>
      <c r="B3368" s="1" t="n">
        <v>44405</v>
      </c>
      <c r="C3368" s="1" t="n">
        <v>45710</v>
      </c>
      <c r="D3368" t="inlineStr">
        <is>
          <t>ÖSTERGÖTLANDS LÄN</t>
        </is>
      </c>
      <c r="E3368" t="inlineStr">
        <is>
          <t>LINKÖPING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38143-2021</t>
        </is>
      </c>
      <c r="B3369" s="1" t="n">
        <v>44405</v>
      </c>
      <c r="C3369" s="1" t="n">
        <v>45710</v>
      </c>
      <c r="D3369" t="inlineStr">
        <is>
          <t>ÖSTERGÖTLANDS LÄN</t>
        </is>
      </c>
      <c r="E3369" t="inlineStr">
        <is>
          <t>LINKÖPING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38107-2021</t>
        </is>
      </c>
      <c r="B3370" s="1" t="n">
        <v>44405</v>
      </c>
      <c r="C3370" s="1" t="n">
        <v>45710</v>
      </c>
      <c r="D3370" t="inlineStr">
        <is>
          <t>ÖSTERGÖTLANDS LÄN</t>
        </is>
      </c>
      <c r="E3370" t="inlineStr">
        <is>
          <t>BOXHOLM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38254-2021</t>
        </is>
      </c>
      <c r="B3371" s="1" t="n">
        <v>44405</v>
      </c>
      <c r="C3371" s="1" t="n">
        <v>45710</v>
      </c>
      <c r="D3371" t="inlineStr">
        <is>
          <t>ÖSTERGÖTLANDS LÄN</t>
        </is>
      </c>
      <c r="E3371" t="inlineStr">
        <is>
          <t>LINKÖPING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38474-2021</t>
        </is>
      </c>
      <c r="B3372" s="1" t="n">
        <v>44406</v>
      </c>
      <c r="C3372" s="1" t="n">
        <v>45710</v>
      </c>
      <c r="D3372" t="inlineStr">
        <is>
          <t>ÖSTERGÖTLANDS LÄN</t>
        </is>
      </c>
      <c r="E3372" t="inlineStr">
        <is>
          <t>FINSPÅNG</t>
        </is>
      </c>
      <c r="G3372" t="n">
        <v>8.699999999999999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38508-2021</t>
        </is>
      </c>
      <c r="B3373" s="1" t="n">
        <v>44407</v>
      </c>
      <c r="C3373" s="1" t="n">
        <v>45710</v>
      </c>
      <c r="D3373" t="inlineStr">
        <is>
          <t>ÖSTERGÖTLANDS LÄN</t>
        </is>
      </c>
      <c r="E3373" t="inlineStr">
        <is>
          <t>SÖDERKÖPING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38567-2021</t>
        </is>
      </c>
      <c r="B3374" s="1" t="n">
        <v>44407</v>
      </c>
      <c r="C3374" s="1" t="n">
        <v>45710</v>
      </c>
      <c r="D3374" t="inlineStr">
        <is>
          <t>ÖSTERGÖTLANDS LÄN</t>
        </is>
      </c>
      <c r="E3374" t="inlineStr">
        <is>
          <t>ÅTVIDABERG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38569-2021</t>
        </is>
      </c>
      <c r="B3375" s="1" t="n">
        <v>44407</v>
      </c>
      <c r="C3375" s="1" t="n">
        <v>45710</v>
      </c>
      <c r="D3375" t="inlineStr">
        <is>
          <t>ÖSTERGÖTLANDS LÄN</t>
        </is>
      </c>
      <c r="E3375" t="inlineStr">
        <is>
          <t>ÅTVIDABERG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38666-2021</t>
        </is>
      </c>
      <c r="B3376" s="1" t="n">
        <v>44410</v>
      </c>
      <c r="C3376" s="1" t="n">
        <v>45710</v>
      </c>
      <c r="D3376" t="inlineStr">
        <is>
          <t>ÖSTERGÖTLANDS LÄN</t>
        </is>
      </c>
      <c r="E3376" t="inlineStr">
        <is>
          <t>YDRE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38642-2021</t>
        </is>
      </c>
      <c r="B3377" s="1" t="n">
        <v>44410</v>
      </c>
      <c r="C3377" s="1" t="n">
        <v>45710</v>
      </c>
      <c r="D3377" t="inlineStr">
        <is>
          <t>ÖSTERGÖTLANDS LÄN</t>
        </is>
      </c>
      <c r="E3377" t="inlineStr">
        <is>
          <t>YDRE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38662-2021</t>
        </is>
      </c>
      <c r="B3378" s="1" t="n">
        <v>44410</v>
      </c>
      <c r="C3378" s="1" t="n">
        <v>45710</v>
      </c>
      <c r="D3378" t="inlineStr">
        <is>
          <t>ÖSTERGÖTLANDS LÄN</t>
        </is>
      </c>
      <c r="E3378" t="inlineStr">
        <is>
          <t>YDRE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38805-2021</t>
        </is>
      </c>
      <c r="B3379" s="1" t="n">
        <v>44410</v>
      </c>
      <c r="C3379" s="1" t="n">
        <v>45710</v>
      </c>
      <c r="D3379" t="inlineStr">
        <is>
          <t>ÖSTERGÖTLANDS LÄN</t>
        </is>
      </c>
      <c r="E3379" t="inlineStr">
        <is>
          <t>ÅTVIDABERG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38796-2021</t>
        </is>
      </c>
      <c r="B3380" s="1" t="n">
        <v>44410</v>
      </c>
      <c r="C3380" s="1" t="n">
        <v>45710</v>
      </c>
      <c r="D3380" t="inlineStr">
        <is>
          <t>ÖSTERGÖTLANDS LÄN</t>
        </is>
      </c>
      <c r="E3380" t="inlineStr">
        <is>
          <t>VALDEMARSVIK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38827-2021</t>
        </is>
      </c>
      <c r="B3381" s="1" t="n">
        <v>44411</v>
      </c>
      <c r="C3381" s="1" t="n">
        <v>45710</v>
      </c>
      <c r="D3381" t="inlineStr">
        <is>
          <t>ÖSTERGÖTLANDS LÄN</t>
        </is>
      </c>
      <c r="E3381" t="inlineStr">
        <is>
          <t>KINDA</t>
        </is>
      </c>
      <c r="F3381" t="inlineStr">
        <is>
          <t>Övriga Aktiebolag</t>
        </is>
      </c>
      <c r="G3381" t="n">
        <v>13.6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38881-2021</t>
        </is>
      </c>
      <c r="B3382" s="1" t="n">
        <v>44411</v>
      </c>
      <c r="C3382" s="1" t="n">
        <v>45710</v>
      </c>
      <c r="D3382" t="inlineStr">
        <is>
          <t>ÖSTERGÖTLANDS LÄN</t>
        </is>
      </c>
      <c r="E3382" t="inlineStr">
        <is>
          <t>LINKÖPING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38887-2021</t>
        </is>
      </c>
      <c r="B3383" s="1" t="n">
        <v>44411</v>
      </c>
      <c r="C3383" s="1" t="n">
        <v>45710</v>
      </c>
      <c r="D3383" t="inlineStr">
        <is>
          <t>ÖSTERGÖTLANDS LÄN</t>
        </is>
      </c>
      <c r="E3383" t="inlineStr">
        <is>
          <t>LINKÖPING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38948-2021</t>
        </is>
      </c>
      <c r="B3384" s="1" t="n">
        <v>44411</v>
      </c>
      <c r="C3384" s="1" t="n">
        <v>45710</v>
      </c>
      <c r="D3384" t="inlineStr">
        <is>
          <t>ÖSTERGÖTLANDS LÄN</t>
        </is>
      </c>
      <c r="E3384" t="inlineStr">
        <is>
          <t>KINDA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38964-2021</t>
        </is>
      </c>
      <c r="B3385" s="1" t="n">
        <v>44411</v>
      </c>
      <c r="C3385" s="1" t="n">
        <v>45710</v>
      </c>
      <c r="D3385" t="inlineStr">
        <is>
          <t>ÖSTERGÖTLANDS LÄN</t>
        </is>
      </c>
      <c r="E3385" t="inlineStr">
        <is>
          <t>ÅTVIDABERG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38961-2021</t>
        </is>
      </c>
      <c r="B3386" s="1" t="n">
        <v>44411</v>
      </c>
      <c r="C3386" s="1" t="n">
        <v>45710</v>
      </c>
      <c r="D3386" t="inlineStr">
        <is>
          <t>ÖSTERGÖTLANDS LÄN</t>
        </is>
      </c>
      <c r="E3386" t="inlineStr">
        <is>
          <t>LINKÖPING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38966-2021</t>
        </is>
      </c>
      <c r="B3387" s="1" t="n">
        <v>44411</v>
      </c>
      <c r="C3387" s="1" t="n">
        <v>45710</v>
      </c>
      <c r="D3387" t="inlineStr">
        <is>
          <t>ÖSTERGÖTLANDS LÄN</t>
        </is>
      </c>
      <c r="E3387" t="inlineStr">
        <is>
          <t>ÅTVIDABERG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39007-2021</t>
        </is>
      </c>
      <c r="B3388" s="1" t="n">
        <v>44412</v>
      </c>
      <c r="C3388" s="1" t="n">
        <v>45710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39017-2021</t>
        </is>
      </c>
      <c r="B3389" s="1" t="n">
        <v>44412</v>
      </c>
      <c r="C3389" s="1" t="n">
        <v>45710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statliga verk och myndigheter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39021-2021</t>
        </is>
      </c>
      <c r="B3390" s="1" t="n">
        <v>44412</v>
      </c>
      <c r="C3390" s="1" t="n">
        <v>45710</v>
      </c>
      <c r="D3390" t="inlineStr">
        <is>
          <t>ÖSTERGÖTLANDS LÄN</t>
        </is>
      </c>
      <c r="E3390" t="inlineStr">
        <is>
          <t>LINKÖPING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39043-2021</t>
        </is>
      </c>
      <c r="B3391" s="1" t="n">
        <v>44412</v>
      </c>
      <c r="C3391" s="1" t="n">
        <v>45710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39107-2021</t>
        </is>
      </c>
      <c r="B3392" s="1" t="n">
        <v>44412</v>
      </c>
      <c r="C3392" s="1" t="n">
        <v>45710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39123-2021</t>
        </is>
      </c>
      <c r="B3393" s="1" t="n">
        <v>44412</v>
      </c>
      <c r="C3393" s="1" t="n">
        <v>45710</v>
      </c>
      <c r="D3393" t="inlineStr">
        <is>
          <t>ÖSTERGÖTLANDS LÄN</t>
        </is>
      </c>
      <c r="E3393" t="inlineStr">
        <is>
          <t>ÅTVIDABERG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39239-2021</t>
        </is>
      </c>
      <c r="B3394" s="1" t="n">
        <v>44413</v>
      </c>
      <c r="C3394" s="1" t="n">
        <v>45710</v>
      </c>
      <c r="D3394" t="inlineStr">
        <is>
          <t>ÖSTERGÖTLANDS LÄN</t>
        </is>
      </c>
      <c r="E3394" t="inlineStr">
        <is>
          <t>LINKÖPING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39224-2021</t>
        </is>
      </c>
      <c r="B3395" s="1" t="n">
        <v>44413</v>
      </c>
      <c r="C3395" s="1" t="n">
        <v>45710</v>
      </c>
      <c r="D3395" t="inlineStr">
        <is>
          <t>ÖSTERGÖTLANDS LÄN</t>
        </is>
      </c>
      <c r="E3395" t="inlineStr">
        <is>
          <t>LINKÖPING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39236-2021</t>
        </is>
      </c>
      <c r="B3396" s="1" t="n">
        <v>44413</v>
      </c>
      <c r="C3396" s="1" t="n">
        <v>45710</v>
      </c>
      <c r="D3396" t="inlineStr">
        <is>
          <t>ÖSTERGÖTLANDS LÄN</t>
        </is>
      </c>
      <c r="E3396" t="inlineStr">
        <is>
          <t>LINKÖPING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39319-2021</t>
        </is>
      </c>
      <c r="B3397" s="1" t="n">
        <v>44413</v>
      </c>
      <c r="C3397" s="1" t="n">
        <v>45710</v>
      </c>
      <c r="D3397" t="inlineStr">
        <is>
          <t>ÖSTERGÖTLANDS LÄN</t>
        </is>
      </c>
      <c r="E3397" t="inlineStr">
        <is>
          <t>YDRE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39219-2021</t>
        </is>
      </c>
      <c r="B3398" s="1" t="n">
        <v>44413</v>
      </c>
      <c r="C3398" s="1" t="n">
        <v>45710</v>
      </c>
      <c r="D3398" t="inlineStr">
        <is>
          <t>ÖSTERGÖTLANDS LÄN</t>
        </is>
      </c>
      <c r="E3398" t="inlineStr">
        <is>
          <t>LINKÖPING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39620-2021</t>
        </is>
      </c>
      <c r="B3399" s="1" t="n">
        <v>44413</v>
      </c>
      <c r="C3399" s="1" t="n">
        <v>45710</v>
      </c>
      <c r="D3399" t="inlineStr">
        <is>
          <t>ÖSTERGÖTLANDS LÄN</t>
        </is>
      </c>
      <c r="E3399" t="inlineStr">
        <is>
          <t>MOTALA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39630-2021</t>
        </is>
      </c>
      <c r="B3400" s="1" t="n">
        <v>44413</v>
      </c>
      <c r="C3400" s="1" t="n">
        <v>45710</v>
      </c>
      <c r="D3400" t="inlineStr">
        <is>
          <t>ÖSTERGÖTLANDS LÄN</t>
        </is>
      </c>
      <c r="E3400" t="inlineStr">
        <is>
          <t>MOTALA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39517-2021</t>
        </is>
      </c>
      <c r="B3401" s="1" t="n">
        <v>44415</v>
      </c>
      <c r="C3401" s="1" t="n">
        <v>45710</v>
      </c>
      <c r="D3401" t="inlineStr">
        <is>
          <t>ÖSTERGÖTLANDS LÄN</t>
        </is>
      </c>
      <c r="E3401" t="inlineStr">
        <is>
          <t>SÖDERKÖPING</t>
        </is>
      </c>
      <c r="G3401" t="n">
        <v>0.2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39494-2021</t>
        </is>
      </c>
      <c r="B3402" s="1" t="n">
        <v>44414</v>
      </c>
      <c r="C3402" s="1" t="n">
        <v>45710</v>
      </c>
      <c r="D3402" t="inlineStr">
        <is>
          <t>ÖSTERGÖTLANDS LÄN</t>
        </is>
      </c>
      <c r="E3402" t="inlineStr">
        <is>
          <t>MOTALA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39401-2021</t>
        </is>
      </c>
      <c r="B3403" s="1" t="n">
        <v>44414</v>
      </c>
      <c r="C3403" s="1" t="n">
        <v>45710</v>
      </c>
      <c r="D3403" t="inlineStr">
        <is>
          <t>ÖSTERGÖTLANDS LÄN</t>
        </is>
      </c>
      <c r="E3403" t="inlineStr">
        <is>
          <t>NORRKÖPING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39516-2021</t>
        </is>
      </c>
      <c r="B3404" s="1" t="n">
        <v>44415</v>
      </c>
      <c r="C3404" s="1" t="n">
        <v>45710</v>
      </c>
      <c r="D3404" t="inlineStr">
        <is>
          <t>ÖSTERGÖTLANDS LÄN</t>
        </is>
      </c>
      <c r="E3404" t="inlineStr">
        <is>
          <t>SÖDERKÖPING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39552-2021</t>
        </is>
      </c>
      <c r="B3405" s="1" t="n">
        <v>44416</v>
      </c>
      <c r="C3405" s="1" t="n">
        <v>45710</v>
      </c>
      <c r="D3405" t="inlineStr">
        <is>
          <t>ÖSTERGÖTLANDS LÄN</t>
        </is>
      </c>
      <c r="E3405" t="inlineStr">
        <is>
          <t>KINDA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39776-2021</t>
        </is>
      </c>
      <c r="B3406" s="1" t="n">
        <v>44417</v>
      </c>
      <c r="C3406" s="1" t="n">
        <v>45710</v>
      </c>
      <c r="D3406" t="inlineStr">
        <is>
          <t>ÖSTERGÖTLANDS LÄN</t>
        </is>
      </c>
      <c r="E3406" t="inlineStr">
        <is>
          <t>ÅTVIDABERG</t>
        </is>
      </c>
      <c r="G3406" t="n">
        <v>6.2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39906-2021</t>
        </is>
      </c>
      <c r="B3407" s="1" t="n">
        <v>44417</v>
      </c>
      <c r="C3407" s="1" t="n">
        <v>45710</v>
      </c>
      <c r="D3407" t="inlineStr">
        <is>
          <t>ÖSTERGÖTLANDS LÄN</t>
        </is>
      </c>
      <c r="E3407" t="inlineStr">
        <is>
          <t>YDRE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39864-2021</t>
        </is>
      </c>
      <c r="B3408" s="1" t="n">
        <v>44417</v>
      </c>
      <c r="C3408" s="1" t="n">
        <v>45710</v>
      </c>
      <c r="D3408" t="inlineStr">
        <is>
          <t>ÖSTERGÖTLANDS LÄN</t>
        </is>
      </c>
      <c r="E3408" t="inlineStr">
        <is>
          <t>VALDEMARSVIK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39903-2021</t>
        </is>
      </c>
      <c r="B3409" s="1" t="n">
        <v>44417</v>
      </c>
      <c r="C3409" s="1" t="n">
        <v>45710</v>
      </c>
      <c r="D3409" t="inlineStr">
        <is>
          <t>ÖSTERGÖTLANDS LÄN</t>
        </is>
      </c>
      <c r="E3409" t="inlineStr">
        <is>
          <t>YDRE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39867-2021</t>
        </is>
      </c>
      <c r="B3410" s="1" t="n">
        <v>44417</v>
      </c>
      <c r="C3410" s="1" t="n">
        <v>45710</v>
      </c>
      <c r="D3410" t="inlineStr">
        <is>
          <t>ÖSTERGÖTLANDS LÄN</t>
        </is>
      </c>
      <c r="E3410" t="inlineStr">
        <is>
          <t>VALDEMARSVIK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39882-2021</t>
        </is>
      </c>
      <c r="B3411" s="1" t="n">
        <v>44417</v>
      </c>
      <c r="C3411" s="1" t="n">
        <v>45710</v>
      </c>
      <c r="D3411" t="inlineStr">
        <is>
          <t>ÖSTERGÖTLANDS LÄN</t>
        </is>
      </c>
      <c r="E3411" t="inlineStr">
        <is>
          <t>ÅTVIDABERG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39957-2021</t>
        </is>
      </c>
      <c r="B3412" s="1" t="n">
        <v>44417</v>
      </c>
      <c r="C3412" s="1" t="n">
        <v>45710</v>
      </c>
      <c r="D3412" t="inlineStr">
        <is>
          <t>ÖSTERGÖTLANDS LÄN</t>
        </is>
      </c>
      <c r="E3412" t="inlineStr">
        <is>
          <t>VALDEMARSVIK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39965-2021</t>
        </is>
      </c>
      <c r="B3413" s="1" t="n">
        <v>44417</v>
      </c>
      <c r="C3413" s="1" t="n">
        <v>45710</v>
      </c>
      <c r="D3413" t="inlineStr">
        <is>
          <t>ÖSTERGÖTLANDS LÄN</t>
        </is>
      </c>
      <c r="E3413" t="inlineStr">
        <is>
          <t>VALDEMARSVIK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39640-2021</t>
        </is>
      </c>
      <c r="B3414" s="1" t="n">
        <v>44417</v>
      </c>
      <c r="C3414" s="1" t="n">
        <v>45710</v>
      </c>
      <c r="D3414" t="inlineStr">
        <is>
          <t>ÖSTERGÖTLANDS LÄN</t>
        </is>
      </c>
      <c r="E3414" t="inlineStr">
        <is>
          <t>ÖDESHÖG</t>
        </is>
      </c>
      <c r="F3414" t="inlineStr">
        <is>
          <t>Allmännings- och besparingsskogar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39961-2021</t>
        </is>
      </c>
      <c r="B3415" s="1" t="n">
        <v>44417</v>
      </c>
      <c r="C3415" s="1" t="n">
        <v>45710</v>
      </c>
      <c r="D3415" t="inlineStr">
        <is>
          <t>ÖSTERGÖTLANDS LÄN</t>
        </is>
      </c>
      <c r="E3415" t="inlineStr">
        <is>
          <t>VALDEMARSVIK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40046-2021</t>
        </is>
      </c>
      <c r="B3416" s="1" t="n">
        <v>44418</v>
      </c>
      <c r="C3416" s="1" t="n">
        <v>45710</v>
      </c>
      <c r="D3416" t="inlineStr">
        <is>
          <t>ÖSTERGÖTLANDS LÄN</t>
        </is>
      </c>
      <c r="E3416" t="inlineStr">
        <is>
          <t>ÅTVIDABERG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40051-2021</t>
        </is>
      </c>
      <c r="B3417" s="1" t="n">
        <v>44418</v>
      </c>
      <c r="C3417" s="1" t="n">
        <v>45710</v>
      </c>
      <c r="D3417" t="inlineStr">
        <is>
          <t>ÖSTERGÖTLANDS LÄN</t>
        </is>
      </c>
      <c r="E3417" t="inlineStr">
        <is>
          <t>KINDA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40191-2021</t>
        </is>
      </c>
      <c r="B3418" s="1" t="n">
        <v>44418</v>
      </c>
      <c r="C3418" s="1" t="n">
        <v>45710</v>
      </c>
      <c r="D3418" t="inlineStr">
        <is>
          <t>ÖSTERGÖTLANDS LÄN</t>
        </is>
      </c>
      <c r="E3418" t="inlineStr">
        <is>
          <t>MOTALA</t>
        </is>
      </c>
      <c r="G3418" t="n">
        <v>11.2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40200-2021</t>
        </is>
      </c>
      <c r="B3419" s="1" t="n">
        <v>44418</v>
      </c>
      <c r="C3419" s="1" t="n">
        <v>45710</v>
      </c>
      <c r="D3419" t="inlineStr">
        <is>
          <t>ÖSTERGÖTLANDS LÄN</t>
        </is>
      </c>
      <c r="E3419" t="inlineStr">
        <is>
          <t>YDRE</t>
        </is>
      </c>
      <c r="G3419" t="n">
        <v>5.3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40219-2021</t>
        </is>
      </c>
      <c r="B3420" s="1" t="n">
        <v>44419</v>
      </c>
      <c r="C3420" s="1" t="n">
        <v>45710</v>
      </c>
      <c r="D3420" t="inlineStr">
        <is>
          <t>ÖSTERGÖTLANDS LÄN</t>
        </is>
      </c>
      <c r="E3420" t="inlineStr">
        <is>
          <t>ÅTVIDABERG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40246-2021</t>
        </is>
      </c>
      <c r="B3421" s="1" t="n">
        <v>44419</v>
      </c>
      <c r="C3421" s="1" t="n">
        <v>45710</v>
      </c>
      <c r="D3421" t="inlineStr">
        <is>
          <t>ÖSTERGÖTLANDS LÄN</t>
        </is>
      </c>
      <c r="E3421" t="inlineStr">
        <is>
          <t>KINDA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40309-2021</t>
        </is>
      </c>
      <c r="B3422" s="1" t="n">
        <v>44419</v>
      </c>
      <c r="C3422" s="1" t="n">
        <v>45710</v>
      </c>
      <c r="D3422" t="inlineStr">
        <is>
          <t>ÖSTERGÖTLANDS LÄN</t>
        </is>
      </c>
      <c r="E3422" t="inlineStr">
        <is>
          <t>KINDA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40434-2021</t>
        </is>
      </c>
      <c r="B3423" s="1" t="n">
        <v>44419</v>
      </c>
      <c r="C3423" s="1" t="n">
        <v>45710</v>
      </c>
      <c r="D3423" t="inlineStr">
        <is>
          <t>ÖSTERGÖTLANDS LÄN</t>
        </is>
      </c>
      <c r="E3423" t="inlineStr">
        <is>
          <t>VALDEMARSVIK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40437-2021</t>
        </is>
      </c>
      <c r="B3424" s="1" t="n">
        <v>44419</v>
      </c>
      <c r="C3424" s="1" t="n">
        <v>45710</v>
      </c>
      <c r="D3424" t="inlineStr">
        <is>
          <t>ÖSTERGÖTLANDS LÄN</t>
        </is>
      </c>
      <c r="E3424" t="inlineStr">
        <is>
          <t>LINKÖPING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40306-2021</t>
        </is>
      </c>
      <c r="B3425" s="1" t="n">
        <v>44419</v>
      </c>
      <c r="C3425" s="1" t="n">
        <v>45710</v>
      </c>
      <c r="D3425" t="inlineStr">
        <is>
          <t>ÖSTERGÖTLANDS LÄN</t>
        </is>
      </c>
      <c r="E3425" t="inlineStr">
        <is>
          <t>FINSPÅNG</t>
        </is>
      </c>
      <c r="F3425" t="inlineStr">
        <is>
          <t>Holmen skog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40563-2021</t>
        </is>
      </c>
      <c r="B3426" s="1" t="n">
        <v>44420</v>
      </c>
      <c r="C3426" s="1" t="n">
        <v>45710</v>
      </c>
      <c r="D3426" t="inlineStr">
        <is>
          <t>ÖSTERGÖTLANDS LÄN</t>
        </is>
      </c>
      <c r="E3426" t="inlineStr">
        <is>
          <t>ÅTVIDABERG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40506-2021</t>
        </is>
      </c>
      <c r="B3427" s="1" t="n">
        <v>44420</v>
      </c>
      <c r="C3427" s="1" t="n">
        <v>45710</v>
      </c>
      <c r="D3427" t="inlineStr">
        <is>
          <t>ÖSTERGÖTLANDS LÄN</t>
        </is>
      </c>
      <c r="E3427" t="inlineStr">
        <is>
          <t>LINKÖPING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40544-2021</t>
        </is>
      </c>
      <c r="B3428" s="1" t="n">
        <v>44420</v>
      </c>
      <c r="C3428" s="1" t="n">
        <v>45710</v>
      </c>
      <c r="D3428" t="inlineStr">
        <is>
          <t>ÖSTERGÖTLANDS LÄN</t>
        </is>
      </c>
      <c r="E3428" t="inlineStr">
        <is>
          <t>FINSPÅNG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40618-2021</t>
        </is>
      </c>
      <c r="B3429" s="1" t="n">
        <v>44420</v>
      </c>
      <c r="C3429" s="1" t="n">
        <v>45710</v>
      </c>
      <c r="D3429" t="inlineStr">
        <is>
          <t>ÖSTERGÖTLANDS LÄN</t>
        </is>
      </c>
      <c r="E3429" t="inlineStr">
        <is>
          <t>LINKÖPING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40635-2021</t>
        </is>
      </c>
      <c r="B3430" s="1" t="n">
        <v>44420</v>
      </c>
      <c r="C3430" s="1" t="n">
        <v>45710</v>
      </c>
      <c r="D3430" t="inlineStr">
        <is>
          <t>ÖSTERGÖTLANDS LÄN</t>
        </is>
      </c>
      <c r="E3430" t="inlineStr">
        <is>
          <t>LINKÖPING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40550-2021</t>
        </is>
      </c>
      <c r="B3431" s="1" t="n">
        <v>44420</v>
      </c>
      <c r="C3431" s="1" t="n">
        <v>45710</v>
      </c>
      <c r="D3431" t="inlineStr">
        <is>
          <t>ÖSTERGÖTLANDS LÄN</t>
        </is>
      </c>
      <c r="E3431" t="inlineStr">
        <is>
          <t>FINSPÅNG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40642-2021</t>
        </is>
      </c>
      <c r="B3432" s="1" t="n">
        <v>44420</v>
      </c>
      <c r="C3432" s="1" t="n">
        <v>45710</v>
      </c>
      <c r="D3432" t="inlineStr">
        <is>
          <t>ÖSTERGÖTLANDS LÄN</t>
        </is>
      </c>
      <c r="E3432" t="inlineStr">
        <is>
          <t>SÖDERKÖPING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40811-2021</t>
        </is>
      </c>
      <c r="B3433" s="1" t="n">
        <v>44421</v>
      </c>
      <c r="C3433" s="1" t="n">
        <v>45710</v>
      </c>
      <c r="D3433" t="inlineStr">
        <is>
          <t>ÖSTERGÖTLANDS LÄN</t>
        </is>
      </c>
      <c r="E3433" t="inlineStr">
        <is>
          <t>ÖDESHÖG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40815-2021</t>
        </is>
      </c>
      <c r="B3434" s="1" t="n">
        <v>44421</v>
      </c>
      <c r="C3434" s="1" t="n">
        <v>45710</v>
      </c>
      <c r="D3434" t="inlineStr">
        <is>
          <t>ÖSTERGÖTLANDS LÄN</t>
        </is>
      </c>
      <c r="E3434" t="inlineStr">
        <is>
          <t>MOTALA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40948-2021</t>
        </is>
      </c>
      <c r="B3435" s="1" t="n">
        <v>44421</v>
      </c>
      <c r="C3435" s="1" t="n">
        <v>45710</v>
      </c>
      <c r="D3435" t="inlineStr">
        <is>
          <t>ÖSTERGÖTLANDS LÄN</t>
        </is>
      </c>
      <c r="E3435" t="inlineStr">
        <is>
          <t>MOTALA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41300-2021</t>
        </is>
      </c>
      <c r="B3436" s="1" t="n">
        <v>44424</v>
      </c>
      <c r="C3436" s="1" t="n">
        <v>45710</v>
      </c>
      <c r="D3436" t="inlineStr">
        <is>
          <t>ÖSTERGÖTLANDS LÄN</t>
        </is>
      </c>
      <c r="E3436" t="inlineStr">
        <is>
          <t>SÖDERKÖPING</t>
        </is>
      </c>
      <c r="G3436" t="n">
        <v>6.5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41345-2021</t>
        </is>
      </c>
      <c r="B3437" s="1" t="n">
        <v>44424</v>
      </c>
      <c r="C3437" s="1" t="n">
        <v>45710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Sveaskog</t>
        </is>
      </c>
      <c r="G3437" t="n">
        <v>6.3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41319-2021</t>
        </is>
      </c>
      <c r="B3438" s="1" t="n">
        <v>44424</v>
      </c>
      <c r="C3438" s="1" t="n">
        <v>45710</v>
      </c>
      <c r="D3438" t="inlineStr">
        <is>
          <t>ÖSTERGÖTLANDS LÄN</t>
        </is>
      </c>
      <c r="E3438" t="inlineStr">
        <is>
          <t>SÖDERKÖPING</t>
        </is>
      </c>
      <c r="G3438" t="n">
        <v>6.3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41397-2021</t>
        </is>
      </c>
      <c r="B3439" s="1" t="n">
        <v>44424</v>
      </c>
      <c r="C3439" s="1" t="n">
        <v>45710</v>
      </c>
      <c r="D3439" t="inlineStr">
        <is>
          <t>ÖSTERGÖTLANDS LÄN</t>
        </is>
      </c>
      <c r="E3439" t="inlineStr">
        <is>
          <t>FINSPÅNG</t>
        </is>
      </c>
      <c r="G3439" t="n">
        <v>3.7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41440-2021</t>
        </is>
      </c>
      <c r="B3440" s="1" t="n">
        <v>44424</v>
      </c>
      <c r="C3440" s="1" t="n">
        <v>45710</v>
      </c>
      <c r="D3440" t="inlineStr">
        <is>
          <t>ÖSTERGÖTLANDS LÄN</t>
        </is>
      </c>
      <c r="E3440" t="inlineStr">
        <is>
          <t>ÅTVIDABERG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41510-2021</t>
        </is>
      </c>
      <c r="B3441" s="1" t="n">
        <v>44424</v>
      </c>
      <c r="C3441" s="1" t="n">
        <v>45710</v>
      </c>
      <c r="D3441" t="inlineStr">
        <is>
          <t>ÖSTERGÖTLANDS LÄN</t>
        </is>
      </c>
      <c r="E3441" t="inlineStr">
        <is>
          <t>FINSPÅNG</t>
        </is>
      </c>
      <c r="G3441" t="n">
        <v>9.6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41445-2021</t>
        </is>
      </c>
      <c r="B3442" s="1" t="n">
        <v>44424</v>
      </c>
      <c r="C3442" s="1" t="n">
        <v>45710</v>
      </c>
      <c r="D3442" t="inlineStr">
        <is>
          <t>ÖSTERGÖTLANDS LÄN</t>
        </is>
      </c>
      <c r="E3442" t="inlineStr">
        <is>
          <t>ÅTVIDABERG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41432-2021</t>
        </is>
      </c>
      <c r="B3443" s="1" t="n">
        <v>44424</v>
      </c>
      <c r="C3443" s="1" t="n">
        <v>45710</v>
      </c>
      <c r="D3443" t="inlineStr">
        <is>
          <t>ÖSTERGÖTLANDS LÄN</t>
        </is>
      </c>
      <c r="E3443" t="inlineStr">
        <is>
          <t>MOTALA</t>
        </is>
      </c>
      <c r="G3443" t="n">
        <v>4.8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41644-2021</t>
        </is>
      </c>
      <c r="B3444" s="1" t="n">
        <v>44425</v>
      </c>
      <c r="C3444" s="1" t="n">
        <v>45710</v>
      </c>
      <c r="D3444" t="inlineStr">
        <is>
          <t>ÖSTERGÖTLANDS LÄN</t>
        </is>
      </c>
      <c r="E3444" t="inlineStr">
        <is>
          <t>MOTALA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41772-2021</t>
        </is>
      </c>
      <c r="B3445" s="1" t="n">
        <v>44425</v>
      </c>
      <c r="C3445" s="1" t="n">
        <v>45710</v>
      </c>
      <c r="D3445" t="inlineStr">
        <is>
          <t>ÖSTERGÖTLANDS LÄN</t>
        </is>
      </c>
      <c r="E3445" t="inlineStr">
        <is>
          <t>KINDA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41792-2021</t>
        </is>
      </c>
      <c r="B3446" s="1" t="n">
        <v>44425</v>
      </c>
      <c r="C3446" s="1" t="n">
        <v>45710</v>
      </c>
      <c r="D3446" t="inlineStr">
        <is>
          <t>ÖSTERGÖTLANDS LÄN</t>
        </is>
      </c>
      <c r="E3446" t="inlineStr">
        <is>
          <t>KINDA</t>
        </is>
      </c>
      <c r="G3446" t="n">
        <v>8.1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41805-2021</t>
        </is>
      </c>
      <c r="B3447" s="1" t="n">
        <v>44425</v>
      </c>
      <c r="C3447" s="1" t="n">
        <v>45710</v>
      </c>
      <c r="D3447" t="inlineStr">
        <is>
          <t>ÖSTERGÖTLANDS LÄN</t>
        </is>
      </c>
      <c r="E3447" t="inlineStr">
        <is>
          <t>FINSPÅNG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41768-2021</t>
        </is>
      </c>
      <c r="B3448" s="1" t="n">
        <v>44425</v>
      </c>
      <c r="C3448" s="1" t="n">
        <v>45710</v>
      </c>
      <c r="D3448" t="inlineStr">
        <is>
          <t>ÖSTERGÖTLANDS LÄN</t>
        </is>
      </c>
      <c r="E3448" t="inlineStr">
        <is>
          <t>KINDA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41787-2021</t>
        </is>
      </c>
      <c r="B3449" s="1" t="n">
        <v>44425</v>
      </c>
      <c r="C3449" s="1" t="n">
        <v>45710</v>
      </c>
      <c r="D3449" t="inlineStr">
        <is>
          <t>ÖSTERGÖTLANDS LÄN</t>
        </is>
      </c>
      <c r="E3449" t="inlineStr">
        <is>
          <t>MOTALA</t>
        </is>
      </c>
      <c r="G3449" t="n">
        <v>5.8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41932-2021</t>
        </is>
      </c>
      <c r="B3450" s="1" t="n">
        <v>44425</v>
      </c>
      <c r="C3450" s="1" t="n">
        <v>45710</v>
      </c>
      <c r="D3450" t="inlineStr">
        <is>
          <t>ÖSTERGÖTLANDS LÄN</t>
        </is>
      </c>
      <c r="E3450" t="inlineStr">
        <is>
          <t>FINSPÅNG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41924-2021</t>
        </is>
      </c>
      <c r="B3451" s="1" t="n">
        <v>44425</v>
      </c>
      <c r="C3451" s="1" t="n">
        <v>45710</v>
      </c>
      <c r="D3451" t="inlineStr">
        <is>
          <t>ÖSTERGÖTLANDS LÄN</t>
        </is>
      </c>
      <c r="E3451" t="inlineStr">
        <is>
          <t>FINSPÅNG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42099-2021</t>
        </is>
      </c>
      <c r="B3452" s="1" t="n">
        <v>44426</v>
      </c>
      <c r="C3452" s="1" t="n">
        <v>45710</v>
      </c>
      <c r="D3452" t="inlineStr">
        <is>
          <t>ÖSTERGÖTLANDS LÄN</t>
        </is>
      </c>
      <c r="E3452" t="inlineStr">
        <is>
          <t>YDRE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42103-2021</t>
        </is>
      </c>
      <c r="B3453" s="1" t="n">
        <v>44426</v>
      </c>
      <c r="C3453" s="1" t="n">
        <v>45710</v>
      </c>
      <c r="D3453" t="inlineStr">
        <is>
          <t>ÖSTERGÖTLANDS LÄN</t>
        </is>
      </c>
      <c r="E3453" t="inlineStr">
        <is>
          <t>YDRE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42116-2021</t>
        </is>
      </c>
      <c r="B3454" s="1" t="n">
        <v>44426</v>
      </c>
      <c r="C3454" s="1" t="n">
        <v>45710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42311-2021</t>
        </is>
      </c>
      <c r="B3455" s="1" t="n">
        <v>44427</v>
      </c>
      <c r="C3455" s="1" t="n">
        <v>45710</v>
      </c>
      <c r="D3455" t="inlineStr">
        <is>
          <t>ÖSTERGÖTLANDS LÄN</t>
        </is>
      </c>
      <c r="E3455" t="inlineStr">
        <is>
          <t>MOTALA</t>
        </is>
      </c>
      <c r="G3455" t="n">
        <v>6.5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42390-2021</t>
        </is>
      </c>
      <c r="B3456" s="1" t="n">
        <v>44427</v>
      </c>
      <c r="C3456" s="1" t="n">
        <v>45710</v>
      </c>
      <c r="D3456" t="inlineStr">
        <is>
          <t>ÖSTERGÖTLANDS LÄN</t>
        </is>
      </c>
      <c r="E3456" t="inlineStr">
        <is>
          <t>NORRKÖPING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42515-2021</t>
        </is>
      </c>
      <c r="B3457" s="1" t="n">
        <v>44427</v>
      </c>
      <c r="C3457" s="1" t="n">
        <v>45710</v>
      </c>
      <c r="D3457" t="inlineStr">
        <is>
          <t>ÖSTERGÖTLANDS LÄN</t>
        </is>
      </c>
      <c r="E3457" t="inlineStr">
        <is>
          <t>FINSPÅNG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42611-2021</t>
        </is>
      </c>
      <c r="B3458" s="1" t="n">
        <v>44428</v>
      </c>
      <c r="C3458" s="1" t="n">
        <v>45710</v>
      </c>
      <c r="D3458" t="inlineStr">
        <is>
          <t>ÖSTERGÖTLANDS LÄN</t>
        </is>
      </c>
      <c r="E3458" t="inlineStr">
        <is>
          <t>FINSPÅNG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42665-2021</t>
        </is>
      </c>
      <c r="B3459" s="1" t="n">
        <v>44428</v>
      </c>
      <c r="C3459" s="1" t="n">
        <v>45710</v>
      </c>
      <c r="D3459" t="inlineStr">
        <is>
          <t>ÖSTERGÖTLANDS LÄN</t>
        </is>
      </c>
      <c r="E3459" t="inlineStr">
        <is>
          <t>LINKÖPING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42682-2021</t>
        </is>
      </c>
      <c r="B3460" s="1" t="n">
        <v>44428</v>
      </c>
      <c r="C3460" s="1" t="n">
        <v>45710</v>
      </c>
      <c r="D3460" t="inlineStr">
        <is>
          <t>ÖSTERGÖTLANDS LÄN</t>
        </is>
      </c>
      <c r="E3460" t="inlineStr">
        <is>
          <t>FINSPÅNG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42781-2021</t>
        </is>
      </c>
      <c r="B3461" s="1" t="n">
        <v>44428</v>
      </c>
      <c r="C3461" s="1" t="n">
        <v>45710</v>
      </c>
      <c r="D3461" t="inlineStr">
        <is>
          <t>ÖSTERGÖTLANDS LÄN</t>
        </is>
      </c>
      <c r="E3461" t="inlineStr">
        <is>
          <t>YDRE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42997-2021</t>
        </is>
      </c>
      <c r="B3462" s="1" t="n">
        <v>44431</v>
      </c>
      <c r="C3462" s="1" t="n">
        <v>45710</v>
      </c>
      <c r="D3462" t="inlineStr">
        <is>
          <t>ÖSTERGÖTLANDS LÄN</t>
        </is>
      </c>
      <c r="E3462" t="inlineStr">
        <is>
          <t>LINKÖPING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42974-2021</t>
        </is>
      </c>
      <c r="B3463" s="1" t="n">
        <v>44431</v>
      </c>
      <c r="C3463" s="1" t="n">
        <v>45710</v>
      </c>
      <c r="D3463" t="inlineStr">
        <is>
          <t>ÖSTERGÖTLANDS LÄN</t>
        </is>
      </c>
      <c r="E3463" t="inlineStr">
        <is>
          <t>MOTALA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43164-2021</t>
        </is>
      </c>
      <c r="B3464" s="1" t="n">
        <v>44431</v>
      </c>
      <c r="C3464" s="1" t="n">
        <v>45710</v>
      </c>
      <c r="D3464" t="inlineStr">
        <is>
          <t>ÖSTERGÖTLANDS LÄN</t>
        </is>
      </c>
      <c r="E3464" t="inlineStr">
        <is>
          <t>FINSPÅNG</t>
        </is>
      </c>
      <c r="G3464" t="n">
        <v>3.1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43165-2021</t>
        </is>
      </c>
      <c r="B3465" s="1" t="n">
        <v>44431</v>
      </c>
      <c r="C3465" s="1" t="n">
        <v>45710</v>
      </c>
      <c r="D3465" t="inlineStr">
        <is>
          <t>ÖSTERGÖTLANDS LÄN</t>
        </is>
      </c>
      <c r="E3465" t="inlineStr">
        <is>
          <t>FINSPÅNG</t>
        </is>
      </c>
      <c r="G3465" t="n">
        <v>6.7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43166-2021</t>
        </is>
      </c>
      <c r="B3466" s="1" t="n">
        <v>44431</v>
      </c>
      <c r="C3466" s="1" t="n">
        <v>45710</v>
      </c>
      <c r="D3466" t="inlineStr">
        <is>
          <t>ÖSTERGÖTLANDS LÄN</t>
        </is>
      </c>
      <c r="E3466" t="inlineStr">
        <is>
          <t>FINSPÅNG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43167-2021</t>
        </is>
      </c>
      <c r="B3467" s="1" t="n">
        <v>44431</v>
      </c>
      <c r="C3467" s="1" t="n">
        <v>45710</v>
      </c>
      <c r="D3467" t="inlineStr">
        <is>
          <t>ÖSTERGÖTLANDS LÄN</t>
        </is>
      </c>
      <c r="E3467" t="inlineStr">
        <is>
          <t>FINSPÅNG</t>
        </is>
      </c>
      <c r="G3467" t="n">
        <v>6.9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43270-2021</t>
        </is>
      </c>
      <c r="B3468" s="1" t="n">
        <v>44432</v>
      </c>
      <c r="C3468" s="1" t="n">
        <v>45710</v>
      </c>
      <c r="D3468" t="inlineStr">
        <is>
          <t>ÖSTERGÖTLANDS LÄN</t>
        </is>
      </c>
      <c r="E3468" t="inlineStr">
        <is>
          <t>NORRKÖPING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43459-2021</t>
        </is>
      </c>
      <c r="B3469" s="1" t="n">
        <v>44432</v>
      </c>
      <c r="C3469" s="1" t="n">
        <v>45710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43559-2021</t>
        </is>
      </c>
      <c r="B3470" s="1" t="n">
        <v>44433</v>
      </c>
      <c r="C3470" s="1" t="n">
        <v>45710</v>
      </c>
      <c r="D3470" t="inlineStr">
        <is>
          <t>ÖSTERGÖTLANDS LÄN</t>
        </is>
      </c>
      <c r="E3470" t="inlineStr">
        <is>
          <t>NORRKÖPING</t>
        </is>
      </c>
      <c r="G3470" t="n">
        <v>11.1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43502-2021</t>
        </is>
      </c>
      <c r="B3471" s="1" t="n">
        <v>44433</v>
      </c>
      <c r="C3471" s="1" t="n">
        <v>45710</v>
      </c>
      <c r="D3471" t="inlineStr">
        <is>
          <t>ÖSTERGÖTLANDS LÄN</t>
        </is>
      </c>
      <c r="E3471" t="inlineStr">
        <is>
          <t>NORRKÖPING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43510-2021</t>
        </is>
      </c>
      <c r="B3472" s="1" t="n">
        <v>44433</v>
      </c>
      <c r="C3472" s="1" t="n">
        <v>45710</v>
      </c>
      <c r="D3472" t="inlineStr">
        <is>
          <t>ÖSTERGÖTLANDS LÄN</t>
        </is>
      </c>
      <c r="E3472" t="inlineStr">
        <is>
          <t>ÅTVIDABERG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43508-2021</t>
        </is>
      </c>
      <c r="B3473" s="1" t="n">
        <v>44433</v>
      </c>
      <c r="C3473" s="1" t="n">
        <v>45710</v>
      </c>
      <c r="D3473" t="inlineStr">
        <is>
          <t>ÖSTERGÖTLANDS LÄN</t>
        </is>
      </c>
      <c r="E3473" t="inlineStr">
        <is>
          <t>KINDA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43628-2021</t>
        </is>
      </c>
      <c r="B3474" s="1" t="n">
        <v>44433</v>
      </c>
      <c r="C3474" s="1" t="n">
        <v>45710</v>
      </c>
      <c r="D3474" t="inlineStr">
        <is>
          <t>ÖSTERGÖTLANDS LÄN</t>
        </is>
      </c>
      <c r="E3474" t="inlineStr">
        <is>
          <t>KINDA</t>
        </is>
      </c>
      <c r="G3474" t="n">
        <v>13.6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43504-2021</t>
        </is>
      </c>
      <c r="B3475" s="1" t="n">
        <v>44433</v>
      </c>
      <c r="C3475" s="1" t="n">
        <v>45710</v>
      </c>
      <c r="D3475" t="inlineStr">
        <is>
          <t>ÖSTERGÖTLANDS LÄN</t>
        </is>
      </c>
      <c r="E3475" t="inlineStr">
        <is>
          <t>LINKÖPING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43627-2021</t>
        </is>
      </c>
      <c r="B3476" s="1" t="n">
        <v>44433</v>
      </c>
      <c r="C3476" s="1" t="n">
        <v>45710</v>
      </c>
      <c r="D3476" t="inlineStr">
        <is>
          <t>ÖSTERGÖTLANDS LÄN</t>
        </is>
      </c>
      <c r="E3476" t="inlineStr">
        <is>
          <t>LINKÖPING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43695-2021</t>
        </is>
      </c>
      <c r="B3477" s="1" t="n">
        <v>44433</v>
      </c>
      <c r="C3477" s="1" t="n">
        <v>45710</v>
      </c>
      <c r="D3477" t="inlineStr">
        <is>
          <t>ÖSTERGÖTLANDS LÄN</t>
        </is>
      </c>
      <c r="E3477" t="inlineStr">
        <is>
          <t>MOTALA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43744-2021</t>
        </is>
      </c>
      <c r="B3478" s="1" t="n">
        <v>44433</v>
      </c>
      <c r="C3478" s="1" t="n">
        <v>45710</v>
      </c>
      <c r="D3478" t="inlineStr">
        <is>
          <t>ÖSTERGÖTLANDS LÄN</t>
        </is>
      </c>
      <c r="E3478" t="inlineStr">
        <is>
          <t>FINSPÅNG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43773-2021</t>
        </is>
      </c>
      <c r="B3479" s="1" t="n">
        <v>44433</v>
      </c>
      <c r="C3479" s="1" t="n">
        <v>45710</v>
      </c>
      <c r="D3479" t="inlineStr">
        <is>
          <t>ÖSTERGÖTLANDS LÄN</t>
        </is>
      </c>
      <c r="E3479" t="inlineStr">
        <is>
          <t>NORRKÖPING</t>
        </is>
      </c>
      <c r="F3479" t="inlineStr">
        <is>
          <t>Holmen skog AB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43858-2021</t>
        </is>
      </c>
      <c r="B3480" s="1" t="n">
        <v>44434</v>
      </c>
      <c r="C3480" s="1" t="n">
        <v>45710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Övriga Aktiebolag</t>
        </is>
      </c>
      <c r="G3480" t="n">
        <v>12.2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43905-2021</t>
        </is>
      </c>
      <c r="B3481" s="1" t="n">
        <v>44434</v>
      </c>
      <c r="C3481" s="1" t="n">
        <v>45710</v>
      </c>
      <c r="D3481" t="inlineStr">
        <is>
          <t>ÖSTERGÖTLANDS LÄN</t>
        </is>
      </c>
      <c r="E3481" t="inlineStr">
        <is>
          <t>MOTALA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44054-2021</t>
        </is>
      </c>
      <c r="B3482" s="1" t="n">
        <v>44434</v>
      </c>
      <c r="C3482" s="1" t="n">
        <v>45710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Aktiebolag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43908-2021</t>
        </is>
      </c>
      <c r="B3483" s="1" t="n">
        <v>44434</v>
      </c>
      <c r="C3483" s="1" t="n">
        <v>45710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Kyrkan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44060-2021</t>
        </is>
      </c>
      <c r="B3484" s="1" t="n">
        <v>44434</v>
      </c>
      <c r="C3484" s="1" t="n">
        <v>45710</v>
      </c>
      <c r="D3484" t="inlineStr">
        <is>
          <t>ÖSTERGÖTLANDS LÄN</t>
        </is>
      </c>
      <c r="E3484" t="inlineStr">
        <is>
          <t>VALDEMARSVIK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44109-2021</t>
        </is>
      </c>
      <c r="B3485" s="1" t="n">
        <v>44434</v>
      </c>
      <c r="C3485" s="1" t="n">
        <v>45710</v>
      </c>
      <c r="D3485" t="inlineStr">
        <is>
          <t>ÖSTERGÖTLANDS LÄN</t>
        </is>
      </c>
      <c r="E3485" t="inlineStr">
        <is>
          <t>FINSPÅNG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44203-2021</t>
        </is>
      </c>
      <c r="B3486" s="1" t="n">
        <v>44434</v>
      </c>
      <c r="C3486" s="1" t="n">
        <v>45710</v>
      </c>
      <c r="D3486" t="inlineStr">
        <is>
          <t>ÖSTERGÖTLANDS LÄN</t>
        </is>
      </c>
      <c r="E3486" t="inlineStr">
        <is>
          <t>KINDA</t>
        </is>
      </c>
      <c r="F3486" t="inlineStr">
        <is>
          <t>Allmännings- och besparingsskogar</t>
        </is>
      </c>
      <c r="G3486" t="n">
        <v>12.7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44083-2021</t>
        </is>
      </c>
      <c r="B3487" s="1" t="n">
        <v>44434</v>
      </c>
      <c r="C3487" s="1" t="n">
        <v>45710</v>
      </c>
      <c r="D3487" t="inlineStr">
        <is>
          <t>ÖSTERGÖTLANDS LÄN</t>
        </is>
      </c>
      <c r="E3487" t="inlineStr">
        <is>
          <t>ÅTVIDABERG</t>
        </is>
      </c>
      <c r="G3487" t="n">
        <v>4.2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44129-2021</t>
        </is>
      </c>
      <c r="B3488" s="1" t="n">
        <v>44434</v>
      </c>
      <c r="C3488" s="1" t="n">
        <v>45710</v>
      </c>
      <c r="D3488" t="inlineStr">
        <is>
          <t>ÖSTERGÖTLANDS LÄN</t>
        </is>
      </c>
      <c r="E3488" t="inlineStr">
        <is>
          <t>ÅTVIDABERG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44153-2021</t>
        </is>
      </c>
      <c r="B3489" s="1" t="n">
        <v>44434</v>
      </c>
      <c r="C3489" s="1" t="n">
        <v>45710</v>
      </c>
      <c r="D3489" t="inlineStr">
        <is>
          <t>ÖSTERGÖTLANDS LÄN</t>
        </is>
      </c>
      <c r="E3489" t="inlineStr">
        <is>
          <t>FINSPÅNG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44283-2021</t>
        </is>
      </c>
      <c r="B3490" s="1" t="n">
        <v>44435</v>
      </c>
      <c r="C3490" s="1" t="n">
        <v>45710</v>
      </c>
      <c r="D3490" t="inlineStr">
        <is>
          <t>ÖSTERGÖTLANDS LÄN</t>
        </is>
      </c>
      <c r="E3490" t="inlineStr">
        <is>
          <t>YDRE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44468-2021</t>
        </is>
      </c>
      <c r="B3491" s="1" t="n">
        <v>44435</v>
      </c>
      <c r="C3491" s="1" t="n">
        <v>45710</v>
      </c>
      <c r="D3491" t="inlineStr">
        <is>
          <t>ÖSTERGÖTLANDS LÄN</t>
        </is>
      </c>
      <c r="E3491" t="inlineStr">
        <is>
          <t>MJÖLBY</t>
        </is>
      </c>
      <c r="F3491" t="inlineStr">
        <is>
          <t>Kommuner</t>
        </is>
      </c>
      <c r="G3491" t="n">
        <v>3.5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44543-2021</t>
        </is>
      </c>
      <c r="B3492" s="1" t="n">
        <v>44435</v>
      </c>
      <c r="C3492" s="1" t="n">
        <v>45710</v>
      </c>
      <c r="D3492" t="inlineStr">
        <is>
          <t>ÖSTERGÖTLANDS LÄN</t>
        </is>
      </c>
      <c r="E3492" t="inlineStr">
        <is>
          <t>KINDA</t>
        </is>
      </c>
      <c r="G3492" t="n">
        <v>10.2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44611-2021</t>
        </is>
      </c>
      <c r="B3493" s="1" t="n">
        <v>44435</v>
      </c>
      <c r="C3493" s="1" t="n">
        <v>45710</v>
      </c>
      <c r="D3493" t="inlineStr">
        <is>
          <t>ÖSTERGÖTLANDS LÄN</t>
        </is>
      </c>
      <c r="E3493" t="inlineStr">
        <is>
          <t>FINSPÅNG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44663-2021</t>
        </is>
      </c>
      <c r="B3494" s="1" t="n">
        <v>44438</v>
      </c>
      <c r="C3494" s="1" t="n">
        <v>45710</v>
      </c>
      <c r="D3494" t="inlineStr">
        <is>
          <t>ÖSTERGÖTLANDS LÄN</t>
        </is>
      </c>
      <c r="E3494" t="inlineStr">
        <is>
          <t>FINSPÅNG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44665-2021</t>
        </is>
      </c>
      <c r="B3495" s="1" t="n">
        <v>44438</v>
      </c>
      <c r="C3495" s="1" t="n">
        <v>45710</v>
      </c>
      <c r="D3495" t="inlineStr">
        <is>
          <t>ÖSTERGÖTLANDS LÄN</t>
        </is>
      </c>
      <c r="E3495" t="inlineStr">
        <is>
          <t>FINSPÅNG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44661-2021</t>
        </is>
      </c>
      <c r="B3496" s="1" t="n">
        <v>44438</v>
      </c>
      <c r="C3496" s="1" t="n">
        <v>45710</v>
      </c>
      <c r="D3496" t="inlineStr">
        <is>
          <t>ÖSTERGÖTLANDS LÄN</t>
        </is>
      </c>
      <c r="E3496" t="inlineStr">
        <is>
          <t>FINSPÅNG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44859-2021</t>
        </is>
      </c>
      <c r="B3497" s="1" t="n">
        <v>44438</v>
      </c>
      <c r="C3497" s="1" t="n">
        <v>45710</v>
      </c>
      <c r="D3497" t="inlineStr">
        <is>
          <t>ÖSTERGÖTLANDS LÄN</t>
        </is>
      </c>
      <c r="E3497" t="inlineStr">
        <is>
          <t>YDRE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44741-2021</t>
        </is>
      </c>
      <c r="B3498" s="1" t="n">
        <v>44438</v>
      </c>
      <c r="C3498" s="1" t="n">
        <v>45710</v>
      </c>
      <c r="D3498" t="inlineStr">
        <is>
          <t>ÖSTERGÖTLANDS LÄN</t>
        </is>
      </c>
      <c r="E3498" t="inlineStr">
        <is>
          <t>YDRE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44856-2021</t>
        </is>
      </c>
      <c r="B3499" s="1" t="n">
        <v>44438</v>
      </c>
      <c r="C3499" s="1" t="n">
        <v>45710</v>
      </c>
      <c r="D3499" t="inlineStr">
        <is>
          <t>ÖSTERGÖTLANDS LÄN</t>
        </is>
      </c>
      <c r="E3499" t="inlineStr">
        <is>
          <t>YDRE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44937-2021</t>
        </is>
      </c>
      <c r="B3500" s="1" t="n">
        <v>44438</v>
      </c>
      <c r="C3500" s="1" t="n">
        <v>45710</v>
      </c>
      <c r="D3500" t="inlineStr">
        <is>
          <t>ÖSTERGÖTLANDS LÄN</t>
        </is>
      </c>
      <c r="E3500" t="inlineStr">
        <is>
          <t>NORRKÖPING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44936-2021</t>
        </is>
      </c>
      <c r="B3501" s="1" t="n">
        <v>44438</v>
      </c>
      <c r="C3501" s="1" t="n">
        <v>45710</v>
      </c>
      <c r="D3501" t="inlineStr">
        <is>
          <t>ÖSTERGÖTLANDS LÄN</t>
        </is>
      </c>
      <c r="E3501" t="inlineStr">
        <is>
          <t>NORRKÖPING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45099-2021</t>
        </is>
      </c>
      <c r="B3502" s="1" t="n">
        <v>44438</v>
      </c>
      <c r="C3502" s="1" t="n">
        <v>45710</v>
      </c>
      <c r="D3502" t="inlineStr">
        <is>
          <t>ÖSTERGÖTLANDS LÄN</t>
        </is>
      </c>
      <c r="E3502" t="inlineStr">
        <is>
          <t>FINSPÅNG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45100-2021</t>
        </is>
      </c>
      <c r="B3503" s="1" t="n">
        <v>44439</v>
      </c>
      <c r="C3503" s="1" t="n">
        <v>45710</v>
      </c>
      <c r="D3503" t="inlineStr">
        <is>
          <t>ÖSTERGÖTLANDS LÄN</t>
        </is>
      </c>
      <c r="E3503" t="inlineStr">
        <is>
          <t>ÅTVIDABERG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45067-2021</t>
        </is>
      </c>
      <c r="B3504" s="1" t="n">
        <v>44439</v>
      </c>
      <c r="C3504" s="1" t="n">
        <v>45710</v>
      </c>
      <c r="D3504" t="inlineStr">
        <is>
          <t>ÖSTERGÖTLANDS LÄN</t>
        </is>
      </c>
      <c r="E3504" t="inlineStr">
        <is>
          <t>ÅTVIDABERG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45170-2021</t>
        </is>
      </c>
      <c r="B3505" s="1" t="n">
        <v>44439</v>
      </c>
      <c r="C3505" s="1" t="n">
        <v>45710</v>
      </c>
      <c r="D3505" t="inlineStr">
        <is>
          <t>ÖSTERGÖTLANDS LÄN</t>
        </is>
      </c>
      <c r="E3505" t="inlineStr">
        <is>
          <t>KINDA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45194-2021</t>
        </is>
      </c>
      <c r="B3506" s="1" t="n">
        <v>44439</v>
      </c>
      <c r="C3506" s="1" t="n">
        <v>45710</v>
      </c>
      <c r="D3506" t="inlineStr">
        <is>
          <t>ÖSTERGÖTLANDS LÄN</t>
        </is>
      </c>
      <c r="E3506" t="inlineStr">
        <is>
          <t>YDRE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45362-2021</t>
        </is>
      </c>
      <c r="B3507" s="1" t="n">
        <v>44440</v>
      </c>
      <c r="C3507" s="1" t="n">
        <v>45710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Allmännings- och besparingsskogar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45381-2021</t>
        </is>
      </c>
      <c r="B3508" s="1" t="n">
        <v>44440</v>
      </c>
      <c r="C3508" s="1" t="n">
        <v>45710</v>
      </c>
      <c r="D3508" t="inlineStr">
        <is>
          <t>ÖSTERGÖTLANDS LÄN</t>
        </is>
      </c>
      <c r="E3508" t="inlineStr">
        <is>
          <t>NORRKÖPING</t>
        </is>
      </c>
      <c r="G3508" t="n">
        <v>5.1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45731-2021</t>
        </is>
      </c>
      <c r="B3509" s="1" t="n">
        <v>44441</v>
      </c>
      <c r="C3509" s="1" t="n">
        <v>45710</v>
      </c>
      <c r="D3509" t="inlineStr">
        <is>
          <t>ÖSTERGÖTLANDS LÄN</t>
        </is>
      </c>
      <c r="E3509" t="inlineStr">
        <is>
          <t>LINKÖPING</t>
        </is>
      </c>
      <c r="F3509" t="inlineStr">
        <is>
          <t>Sveaskog</t>
        </is>
      </c>
      <c r="G3509" t="n">
        <v>4.7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45733-2021</t>
        </is>
      </c>
      <c r="B3510" s="1" t="n">
        <v>44441</v>
      </c>
      <c r="C3510" s="1" t="n">
        <v>45710</v>
      </c>
      <c r="D3510" t="inlineStr">
        <is>
          <t>ÖSTERGÖTLANDS LÄN</t>
        </is>
      </c>
      <c r="E3510" t="inlineStr">
        <is>
          <t>MJÖLBY</t>
        </is>
      </c>
      <c r="F3510" t="inlineStr">
        <is>
          <t>Sveaskog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45761-2021</t>
        </is>
      </c>
      <c r="B3511" s="1" t="n">
        <v>44441</v>
      </c>
      <c r="C3511" s="1" t="n">
        <v>45710</v>
      </c>
      <c r="D3511" t="inlineStr">
        <is>
          <t>ÖSTERGÖTLANDS LÄN</t>
        </is>
      </c>
      <c r="E3511" t="inlineStr">
        <is>
          <t>FINSPÅNG</t>
        </is>
      </c>
      <c r="G3511" t="n">
        <v>3.5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45945-2021</t>
        </is>
      </c>
      <c r="B3512" s="1" t="n">
        <v>44441</v>
      </c>
      <c r="C3512" s="1" t="n">
        <v>45710</v>
      </c>
      <c r="D3512" t="inlineStr">
        <is>
          <t>ÖSTERGÖTLANDS LÄN</t>
        </is>
      </c>
      <c r="E3512" t="inlineStr">
        <is>
          <t>FINSPÅNG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45956-2021</t>
        </is>
      </c>
      <c r="B3513" s="1" t="n">
        <v>44441</v>
      </c>
      <c r="C3513" s="1" t="n">
        <v>45710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45947-2021</t>
        </is>
      </c>
      <c r="B3514" s="1" t="n">
        <v>44441</v>
      </c>
      <c r="C3514" s="1" t="n">
        <v>45710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46225-2021</t>
        </is>
      </c>
      <c r="B3515" s="1" t="n">
        <v>44442</v>
      </c>
      <c r="C3515" s="1" t="n">
        <v>45710</v>
      </c>
      <c r="D3515" t="inlineStr">
        <is>
          <t>ÖSTERGÖTLANDS LÄN</t>
        </is>
      </c>
      <c r="E3515" t="inlineStr">
        <is>
          <t>LINKÖPING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46262-2021</t>
        </is>
      </c>
      <c r="B3516" s="1" t="n">
        <v>44442</v>
      </c>
      <c r="C3516" s="1" t="n">
        <v>45710</v>
      </c>
      <c r="D3516" t="inlineStr">
        <is>
          <t>ÖSTERGÖTLANDS LÄN</t>
        </is>
      </c>
      <c r="E3516" t="inlineStr">
        <is>
          <t>KINDA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46240-2021</t>
        </is>
      </c>
      <c r="B3517" s="1" t="n">
        <v>44442</v>
      </c>
      <c r="C3517" s="1" t="n">
        <v>45710</v>
      </c>
      <c r="D3517" t="inlineStr">
        <is>
          <t>ÖSTERGÖTLANDS LÄN</t>
        </is>
      </c>
      <c r="E3517" t="inlineStr">
        <is>
          <t>MJÖLBY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46300-2021</t>
        </is>
      </c>
      <c r="B3518" s="1" t="n">
        <v>44442</v>
      </c>
      <c r="C3518" s="1" t="n">
        <v>45710</v>
      </c>
      <c r="D3518" t="inlineStr">
        <is>
          <t>ÖSTERGÖTLANDS LÄN</t>
        </is>
      </c>
      <c r="E3518" t="inlineStr">
        <is>
          <t>KINDA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46332-2021</t>
        </is>
      </c>
      <c r="B3519" s="1" t="n">
        <v>44442</v>
      </c>
      <c r="C3519" s="1" t="n">
        <v>45710</v>
      </c>
      <c r="D3519" t="inlineStr">
        <is>
          <t>ÖSTERGÖTLANDS LÄN</t>
        </is>
      </c>
      <c r="E3519" t="inlineStr">
        <is>
          <t>NORRKÖPING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46416-2021</t>
        </is>
      </c>
      <c r="B3520" s="1" t="n">
        <v>44442</v>
      </c>
      <c r="C3520" s="1" t="n">
        <v>45710</v>
      </c>
      <c r="D3520" t="inlineStr">
        <is>
          <t>ÖSTERGÖTLANDS LÄN</t>
        </is>
      </c>
      <c r="E3520" t="inlineStr">
        <is>
          <t>LINKÖPING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46405-2021</t>
        </is>
      </c>
      <c r="B3521" s="1" t="n">
        <v>44444</v>
      </c>
      <c r="C3521" s="1" t="n">
        <v>45710</v>
      </c>
      <c r="D3521" t="inlineStr">
        <is>
          <t>ÖSTERGÖTLANDS LÄN</t>
        </is>
      </c>
      <c r="E3521" t="inlineStr">
        <is>
          <t>FINSPÅNG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46542-2021</t>
        </is>
      </c>
      <c r="B3522" s="1" t="n">
        <v>44445</v>
      </c>
      <c r="C3522" s="1" t="n">
        <v>45710</v>
      </c>
      <c r="D3522" t="inlineStr">
        <is>
          <t>ÖSTERGÖTLANDS LÄN</t>
        </is>
      </c>
      <c r="E3522" t="inlineStr">
        <is>
          <t>MOTALA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46580-2021</t>
        </is>
      </c>
      <c r="B3523" s="1" t="n">
        <v>44445</v>
      </c>
      <c r="C3523" s="1" t="n">
        <v>45710</v>
      </c>
      <c r="D3523" t="inlineStr">
        <is>
          <t>ÖSTERGÖTLANDS LÄN</t>
        </is>
      </c>
      <c r="E3523" t="inlineStr">
        <is>
          <t>NORRKÖPING</t>
        </is>
      </c>
      <c r="F3523" t="inlineStr">
        <is>
          <t>Holmen skog AB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46588-2021</t>
        </is>
      </c>
      <c r="B3524" s="1" t="n">
        <v>44445</v>
      </c>
      <c r="C3524" s="1" t="n">
        <v>45710</v>
      </c>
      <c r="D3524" t="inlineStr">
        <is>
          <t>ÖSTERGÖTLANDS LÄN</t>
        </is>
      </c>
      <c r="E3524" t="inlineStr">
        <is>
          <t>BOXHOLM</t>
        </is>
      </c>
      <c r="G3524" t="n">
        <v>3.5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46675-2021</t>
        </is>
      </c>
      <c r="B3525" s="1" t="n">
        <v>44445</v>
      </c>
      <c r="C3525" s="1" t="n">
        <v>45710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Övriga statliga verk och myndigheter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46672-2021</t>
        </is>
      </c>
      <c r="B3526" s="1" t="n">
        <v>44445</v>
      </c>
      <c r="C3526" s="1" t="n">
        <v>45710</v>
      </c>
      <c r="D3526" t="inlineStr">
        <is>
          <t>ÖSTERGÖTLANDS LÄN</t>
        </is>
      </c>
      <c r="E3526" t="inlineStr">
        <is>
          <t>MOTALA</t>
        </is>
      </c>
      <c r="F3526" t="inlineStr">
        <is>
          <t>Övriga statliga verk och myndigheter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46686-2021</t>
        </is>
      </c>
      <c r="B3527" s="1" t="n">
        <v>44445</v>
      </c>
      <c r="C3527" s="1" t="n">
        <v>45710</v>
      </c>
      <c r="D3527" t="inlineStr">
        <is>
          <t>ÖSTERGÖTLANDS LÄN</t>
        </is>
      </c>
      <c r="E3527" t="inlineStr">
        <is>
          <t>KINDA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46710-2021</t>
        </is>
      </c>
      <c r="B3528" s="1" t="n">
        <v>44445</v>
      </c>
      <c r="C3528" s="1" t="n">
        <v>45710</v>
      </c>
      <c r="D3528" t="inlineStr">
        <is>
          <t>ÖSTERGÖTLANDS LÄN</t>
        </is>
      </c>
      <c r="E3528" t="inlineStr">
        <is>
          <t>ÅTVIDABERG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46730-2021</t>
        </is>
      </c>
      <c r="B3529" s="1" t="n">
        <v>44445</v>
      </c>
      <c r="C3529" s="1" t="n">
        <v>45710</v>
      </c>
      <c r="D3529" t="inlineStr">
        <is>
          <t>ÖSTERGÖTLANDS LÄN</t>
        </is>
      </c>
      <c r="E3529" t="inlineStr">
        <is>
          <t>LINKÖPING</t>
        </is>
      </c>
      <c r="F3529" t="inlineStr">
        <is>
          <t>Övriga statliga verk och myndigheter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46706-2021</t>
        </is>
      </c>
      <c r="B3530" s="1" t="n">
        <v>44445</v>
      </c>
      <c r="C3530" s="1" t="n">
        <v>45710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Övriga statliga verk och myndigheter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46727-2021</t>
        </is>
      </c>
      <c r="B3531" s="1" t="n">
        <v>44445</v>
      </c>
      <c r="C3531" s="1" t="n">
        <v>45710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statliga verk och myndigheter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46681-2021</t>
        </is>
      </c>
      <c r="B3532" s="1" t="n">
        <v>44445</v>
      </c>
      <c r="C3532" s="1" t="n">
        <v>45710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Övriga statliga verk och myndigheter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46891-2021</t>
        </is>
      </c>
      <c r="B3533" s="1" t="n">
        <v>44446</v>
      </c>
      <c r="C3533" s="1" t="n">
        <v>45710</v>
      </c>
      <c r="D3533" t="inlineStr">
        <is>
          <t>ÖSTERGÖTLANDS LÄN</t>
        </is>
      </c>
      <c r="E3533" t="inlineStr">
        <is>
          <t>LINKÖPING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46958-2021</t>
        </is>
      </c>
      <c r="B3534" s="1" t="n">
        <v>44446</v>
      </c>
      <c r="C3534" s="1" t="n">
        <v>45710</v>
      </c>
      <c r="D3534" t="inlineStr">
        <is>
          <t>ÖSTERGÖTLANDS LÄN</t>
        </is>
      </c>
      <c r="E3534" t="inlineStr">
        <is>
          <t>MOTALA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47016-2021</t>
        </is>
      </c>
      <c r="B3535" s="1" t="n">
        <v>44446</v>
      </c>
      <c r="C3535" s="1" t="n">
        <v>45710</v>
      </c>
      <c r="D3535" t="inlineStr">
        <is>
          <t>ÖSTERGÖTLANDS LÄN</t>
        </is>
      </c>
      <c r="E3535" t="inlineStr">
        <is>
          <t>KINDA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47000-2021</t>
        </is>
      </c>
      <c r="B3536" s="1" t="n">
        <v>44446</v>
      </c>
      <c r="C3536" s="1" t="n">
        <v>45710</v>
      </c>
      <c r="D3536" t="inlineStr">
        <is>
          <t>ÖSTERGÖTLANDS LÄN</t>
        </is>
      </c>
      <c r="E3536" t="inlineStr">
        <is>
          <t>KINDA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47125-2021</t>
        </is>
      </c>
      <c r="B3537" s="1" t="n">
        <v>44446</v>
      </c>
      <c r="C3537" s="1" t="n">
        <v>45710</v>
      </c>
      <c r="D3537" t="inlineStr">
        <is>
          <t>ÖSTERGÖTLANDS LÄN</t>
        </is>
      </c>
      <c r="E3537" t="inlineStr">
        <is>
          <t>NORRKÖPING</t>
        </is>
      </c>
      <c r="F3537" t="inlineStr">
        <is>
          <t>Holmen skog AB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47257-2021</t>
        </is>
      </c>
      <c r="B3538" s="1" t="n">
        <v>44447</v>
      </c>
      <c r="C3538" s="1" t="n">
        <v>45710</v>
      </c>
      <c r="D3538" t="inlineStr">
        <is>
          <t>ÖSTERGÖTLANDS LÄN</t>
        </is>
      </c>
      <c r="E3538" t="inlineStr">
        <is>
          <t>NORRKÖPING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47377-2021</t>
        </is>
      </c>
      <c r="B3539" s="1" t="n">
        <v>44447</v>
      </c>
      <c r="C3539" s="1" t="n">
        <v>45710</v>
      </c>
      <c r="D3539" t="inlineStr">
        <is>
          <t>ÖSTERGÖTLANDS LÄN</t>
        </is>
      </c>
      <c r="E3539" t="inlineStr">
        <is>
          <t>SÖDERKÖPING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47265-2021</t>
        </is>
      </c>
      <c r="B3540" s="1" t="n">
        <v>44447</v>
      </c>
      <c r="C3540" s="1" t="n">
        <v>45710</v>
      </c>
      <c r="D3540" t="inlineStr">
        <is>
          <t>ÖSTERGÖTLANDS LÄN</t>
        </is>
      </c>
      <c r="E3540" t="inlineStr">
        <is>
          <t>LINKÖPING</t>
        </is>
      </c>
      <c r="F3540" t="inlineStr">
        <is>
          <t>Övriga Aktiebolag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47252-2021</t>
        </is>
      </c>
      <c r="B3541" s="1" t="n">
        <v>44447</v>
      </c>
      <c r="C3541" s="1" t="n">
        <v>45710</v>
      </c>
      <c r="D3541" t="inlineStr">
        <is>
          <t>ÖSTERGÖTLANDS LÄN</t>
        </is>
      </c>
      <c r="E3541" t="inlineStr">
        <is>
          <t>NORRKÖPING</t>
        </is>
      </c>
      <c r="G3541" t="n">
        <v>6.4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47364-2021</t>
        </is>
      </c>
      <c r="B3542" s="1" t="n">
        <v>44447</v>
      </c>
      <c r="C3542" s="1" t="n">
        <v>45710</v>
      </c>
      <c r="D3542" t="inlineStr">
        <is>
          <t>ÖSTERGÖTLANDS LÄN</t>
        </is>
      </c>
      <c r="E3542" t="inlineStr">
        <is>
          <t>SÖDERKÖPING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47368-2021</t>
        </is>
      </c>
      <c r="B3543" s="1" t="n">
        <v>44447</v>
      </c>
      <c r="C3543" s="1" t="n">
        <v>45710</v>
      </c>
      <c r="D3543" t="inlineStr">
        <is>
          <t>ÖSTERGÖTLANDS LÄN</t>
        </is>
      </c>
      <c r="E3543" t="inlineStr">
        <is>
          <t>SÖDERKÖPING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47459-2021</t>
        </is>
      </c>
      <c r="B3544" s="1" t="n">
        <v>44447</v>
      </c>
      <c r="C3544" s="1" t="n">
        <v>45710</v>
      </c>
      <c r="D3544" t="inlineStr">
        <is>
          <t>ÖSTERGÖTLANDS LÄN</t>
        </is>
      </c>
      <c r="E3544" t="inlineStr">
        <is>
          <t>YDRE</t>
        </is>
      </c>
      <c r="F3544" t="inlineStr">
        <is>
          <t>Sveaskog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47456-2021</t>
        </is>
      </c>
      <c r="B3545" s="1" t="n">
        <v>44447</v>
      </c>
      <c r="C3545" s="1" t="n">
        <v>45710</v>
      </c>
      <c r="D3545" t="inlineStr">
        <is>
          <t>ÖSTERGÖTLANDS LÄN</t>
        </is>
      </c>
      <c r="E3545" t="inlineStr">
        <is>
          <t>YDRE</t>
        </is>
      </c>
      <c r="F3545" t="inlineStr">
        <is>
          <t>Sveaskog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47467-2021</t>
        </is>
      </c>
      <c r="B3546" s="1" t="n">
        <v>44447</v>
      </c>
      <c r="C3546" s="1" t="n">
        <v>45710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Sveaskog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47464-2021</t>
        </is>
      </c>
      <c r="B3547" s="1" t="n">
        <v>44447</v>
      </c>
      <c r="C3547" s="1" t="n">
        <v>45710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47579-2021</t>
        </is>
      </c>
      <c r="B3548" s="1" t="n">
        <v>44447</v>
      </c>
      <c r="C3548" s="1" t="n">
        <v>45710</v>
      </c>
      <c r="D3548" t="inlineStr">
        <is>
          <t>ÖSTERGÖTLANDS LÄN</t>
        </is>
      </c>
      <c r="E3548" t="inlineStr">
        <is>
          <t>KINDA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47895-2021</t>
        </is>
      </c>
      <c r="B3549" s="1" t="n">
        <v>44448</v>
      </c>
      <c r="C3549" s="1" t="n">
        <v>45710</v>
      </c>
      <c r="D3549" t="inlineStr">
        <is>
          <t>ÖSTERGÖTLANDS LÄN</t>
        </is>
      </c>
      <c r="E3549" t="inlineStr">
        <is>
          <t>NORRKÖPING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47729-2021</t>
        </is>
      </c>
      <c r="B3550" s="1" t="n">
        <v>44448</v>
      </c>
      <c r="C3550" s="1" t="n">
        <v>45710</v>
      </c>
      <c r="D3550" t="inlineStr">
        <is>
          <t>ÖSTERGÖTLANDS LÄN</t>
        </is>
      </c>
      <c r="E3550" t="inlineStr">
        <is>
          <t>ÅTVIDABERG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47836-2021</t>
        </is>
      </c>
      <c r="B3551" s="1" t="n">
        <v>44448</v>
      </c>
      <c r="C3551" s="1" t="n">
        <v>45710</v>
      </c>
      <c r="D3551" t="inlineStr">
        <is>
          <t>ÖSTERGÖTLANDS LÄN</t>
        </is>
      </c>
      <c r="E3551" t="inlineStr">
        <is>
          <t>FINSPÅNG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47899-2021</t>
        </is>
      </c>
      <c r="B3552" s="1" t="n">
        <v>44448</v>
      </c>
      <c r="C3552" s="1" t="n">
        <v>45710</v>
      </c>
      <c r="D3552" t="inlineStr">
        <is>
          <t>ÖSTERGÖTLANDS LÄN</t>
        </is>
      </c>
      <c r="E3552" t="inlineStr">
        <is>
          <t>NORRKÖPING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48091-2021</t>
        </is>
      </c>
      <c r="B3553" s="1" t="n">
        <v>44448</v>
      </c>
      <c r="C3553" s="1" t="n">
        <v>45710</v>
      </c>
      <c r="D3553" t="inlineStr">
        <is>
          <t>ÖSTERGÖTLANDS LÄN</t>
        </is>
      </c>
      <c r="E3553" t="inlineStr">
        <is>
          <t>SÖDERKÖPING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47875-2021</t>
        </is>
      </c>
      <c r="B3554" s="1" t="n">
        <v>44448</v>
      </c>
      <c r="C3554" s="1" t="n">
        <v>45710</v>
      </c>
      <c r="D3554" t="inlineStr">
        <is>
          <t>ÖSTERGÖTLANDS LÄN</t>
        </is>
      </c>
      <c r="E3554" t="inlineStr">
        <is>
          <t>MOTALA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48016-2021</t>
        </is>
      </c>
      <c r="B3555" s="1" t="n">
        <v>44449</v>
      </c>
      <c r="C3555" s="1" t="n">
        <v>45710</v>
      </c>
      <c r="D3555" t="inlineStr">
        <is>
          <t>ÖSTERGÖTLANDS LÄN</t>
        </is>
      </c>
      <c r="E3555" t="inlineStr">
        <is>
          <t>LINKÖPING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48062-2021</t>
        </is>
      </c>
      <c r="B3556" s="1" t="n">
        <v>44449</v>
      </c>
      <c r="C3556" s="1" t="n">
        <v>45710</v>
      </c>
      <c r="D3556" t="inlineStr">
        <is>
          <t>ÖSTERGÖTLANDS LÄN</t>
        </is>
      </c>
      <c r="E3556" t="inlineStr">
        <is>
          <t>VALDEMARSVIK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48291-2021</t>
        </is>
      </c>
      <c r="B3557" s="1" t="n">
        <v>44449</v>
      </c>
      <c r="C3557" s="1" t="n">
        <v>45710</v>
      </c>
      <c r="D3557" t="inlineStr">
        <is>
          <t>ÖSTERGÖTLANDS LÄN</t>
        </is>
      </c>
      <c r="E3557" t="inlineStr">
        <is>
          <t>ÅTVIDABERG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48438-2021</t>
        </is>
      </c>
      <c r="B3558" s="1" t="n">
        <v>44449</v>
      </c>
      <c r="C3558" s="1" t="n">
        <v>45710</v>
      </c>
      <c r="D3558" t="inlineStr">
        <is>
          <t>ÖSTERGÖTLANDS LÄN</t>
        </is>
      </c>
      <c r="E3558" t="inlineStr">
        <is>
          <t>MJÖLBY</t>
        </is>
      </c>
      <c r="G3558" t="n">
        <v>6.6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48230-2021</t>
        </is>
      </c>
      <c r="B3559" s="1" t="n">
        <v>44449</v>
      </c>
      <c r="C3559" s="1" t="n">
        <v>45710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Allmännings- och besparingsskogar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48431-2021</t>
        </is>
      </c>
      <c r="B3560" s="1" t="n">
        <v>44449</v>
      </c>
      <c r="C3560" s="1" t="n">
        <v>45710</v>
      </c>
      <c r="D3560" t="inlineStr">
        <is>
          <t>ÖSTERGÖTLANDS LÄN</t>
        </is>
      </c>
      <c r="E3560" t="inlineStr">
        <is>
          <t>MJÖLBY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48386-2021</t>
        </is>
      </c>
      <c r="B3561" s="1" t="n">
        <v>44452</v>
      </c>
      <c r="C3561" s="1" t="n">
        <v>45710</v>
      </c>
      <c r="D3561" t="inlineStr">
        <is>
          <t>ÖSTERGÖTLANDS LÄN</t>
        </is>
      </c>
      <c r="E3561" t="inlineStr">
        <is>
          <t>KINDA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48397-2021</t>
        </is>
      </c>
      <c r="B3562" s="1" t="n">
        <v>44452</v>
      </c>
      <c r="C3562" s="1" t="n">
        <v>45710</v>
      </c>
      <c r="D3562" t="inlineStr">
        <is>
          <t>ÖSTERGÖTLANDS LÄN</t>
        </is>
      </c>
      <c r="E3562" t="inlineStr">
        <is>
          <t>SÖDERKÖPING</t>
        </is>
      </c>
      <c r="G3562" t="n">
        <v>10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48419-2021</t>
        </is>
      </c>
      <c r="B3563" s="1" t="n">
        <v>44452</v>
      </c>
      <c r="C3563" s="1" t="n">
        <v>45710</v>
      </c>
      <c r="D3563" t="inlineStr">
        <is>
          <t>ÖSTERGÖTLANDS LÄN</t>
        </is>
      </c>
      <c r="E3563" t="inlineStr">
        <is>
          <t>YDRE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48395-2021</t>
        </is>
      </c>
      <c r="B3564" s="1" t="n">
        <v>44452</v>
      </c>
      <c r="C3564" s="1" t="n">
        <v>45710</v>
      </c>
      <c r="D3564" t="inlineStr">
        <is>
          <t>ÖSTERGÖTLANDS LÄN</t>
        </is>
      </c>
      <c r="E3564" t="inlineStr">
        <is>
          <t>SÖDERKÖPING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48448-2021</t>
        </is>
      </c>
      <c r="B3565" s="1" t="n">
        <v>44452</v>
      </c>
      <c r="C3565" s="1" t="n">
        <v>45710</v>
      </c>
      <c r="D3565" t="inlineStr">
        <is>
          <t>ÖSTERGÖTLANDS LÄN</t>
        </is>
      </c>
      <c r="E3565" t="inlineStr">
        <is>
          <t>KINDA</t>
        </is>
      </c>
      <c r="F3565" t="inlineStr">
        <is>
          <t>Övriga Aktiebolag</t>
        </is>
      </c>
      <c r="G3565" t="n">
        <v>4.1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48492-2021</t>
        </is>
      </c>
      <c r="B3566" s="1" t="n">
        <v>44452</v>
      </c>
      <c r="C3566" s="1" t="n">
        <v>45710</v>
      </c>
      <c r="D3566" t="inlineStr">
        <is>
          <t>ÖSTERGÖTLANDS LÄN</t>
        </is>
      </c>
      <c r="E3566" t="inlineStr">
        <is>
          <t>NORRKÖPING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48591-2021</t>
        </is>
      </c>
      <c r="B3567" s="1" t="n">
        <v>44452</v>
      </c>
      <c r="C3567" s="1" t="n">
        <v>45710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Holmen skog AB</t>
        </is>
      </c>
      <c r="G3567" t="n">
        <v>6.1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48799-2021</t>
        </is>
      </c>
      <c r="B3568" s="1" t="n">
        <v>44452</v>
      </c>
      <c r="C3568" s="1" t="n">
        <v>45710</v>
      </c>
      <c r="D3568" t="inlineStr">
        <is>
          <t>ÖSTERGÖTLANDS LÄN</t>
        </is>
      </c>
      <c r="E3568" t="inlineStr">
        <is>
          <t>MOTALA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48931-2021</t>
        </is>
      </c>
      <c r="B3569" s="1" t="n">
        <v>44452</v>
      </c>
      <c r="C3569" s="1" t="n">
        <v>45710</v>
      </c>
      <c r="D3569" t="inlineStr">
        <is>
          <t>ÖSTERGÖTLANDS LÄN</t>
        </is>
      </c>
      <c r="E3569" t="inlineStr">
        <is>
          <t>MOTALA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49021-2021</t>
        </is>
      </c>
      <c r="B3570" s="1" t="n">
        <v>44453</v>
      </c>
      <c r="C3570" s="1" t="n">
        <v>45710</v>
      </c>
      <c r="D3570" t="inlineStr">
        <is>
          <t>ÖSTERGÖTLANDS LÄN</t>
        </is>
      </c>
      <c r="E3570" t="inlineStr">
        <is>
          <t>SÖDERKÖPING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49302-2021</t>
        </is>
      </c>
      <c r="B3571" s="1" t="n">
        <v>44454</v>
      </c>
      <c r="C3571" s="1" t="n">
        <v>45710</v>
      </c>
      <c r="D3571" t="inlineStr">
        <is>
          <t>ÖSTERGÖTLANDS LÄN</t>
        </is>
      </c>
      <c r="E3571" t="inlineStr">
        <is>
          <t>VALDEMARSVIK</t>
        </is>
      </c>
      <c r="G3571" t="n">
        <v>14.6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49299-2021</t>
        </is>
      </c>
      <c r="B3572" s="1" t="n">
        <v>44454</v>
      </c>
      <c r="C3572" s="1" t="n">
        <v>45710</v>
      </c>
      <c r="D3572" t="inlineStr">
        <is>
          <t>ÖSTERGÖTLANDS LÄN</t>
        </is>
      </c>
      <c r="E3572" t="inlineStr">
        <is>
          <t>VALDEMARSVIK</t>
        </is>
      </c>
      <c r="G3572" t="n">
        <v>3.6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49176-2021</t>
        </is>
      </c>
      <c r="B3573" s="1" t="n">
        <v>44454</v>
      </c>
      <c r="C3573" s="1" t="n">
        <v>45710</v>
      </c>
      <c r="D3573" t="inlineStr">
        <is>
          <t>ÖSTERGÖTLANDS LÄN</t>
        </is>
      </c>
      <c r="E3573" t="inlineStr">
        <is>
          <t>ÅTVIDABERG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49303-2021</t>
        </is>
      </c>
      <c r="B3574" s="1" t="n">
        <v>44454</v>
      </c>
      <c r="C3574" s="1" t="n">
        <v>45710</v>
      </c>
      <c r="D3574" t="inlineStr">
        <is>
          <t>ÖSTERGÖTLANDS LÄN</t>
        </is>
      </c>
      <c r="E3574" t="inlineStr">
        <is>
          <t>VALDEMARSVIK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49441-2021</t>
        </is>
      </c>
      <c r="B3575" s="1" t="n">
        <v>44454</v>
      </c>
      <c r="C3575" s="1" t="n">
        <v>45710</v>
      </c>
      <c r="D3575" t="inlineStr">
        <is>
          <t>ÖSTERGÖTLANDS LÄN</t>
        </is>
      </c>
      <c r="E3575" t="inlineStr">
        <is>
          <t>KINDA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49443-2021</t>
        </is>
      </c>
      <c r="B3576" s="1" t="n">
        <v>44454</v>
      </c>
      <c r="C3576" s="1" t="n">
        <v>45710</v>
      </c>
      <c r="D3576" t="inlineStr">
        <is>
          <t>ÖSTERGÖTLANDS LÄN</t>
        </is>
      </c>
      <c r="E3576" t="inlineStr">
        <is>
          <t>KINDA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49452-2021</t>
        </is>
      </c>
      <c r="B3577" s="1" t="n">
        <v>44454</v>
      </c>
      <c r="C3577" s="1" t="n">
        <v>45710</v>
      </c>
      <c r="D3577" t="inlineStr">
        <is>
          <t>ÖSTERGÖTLANDS LÄN</t>
        </is>
      </c>
      <c r="E3577" t="inlineStr">
        <is>
          <t>NORRKÖPING</t>
        </is>
      </c>
      <c r="F3577" t="inlineStr">
        <is>
          <t>Allmännings- och besparingsskogar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49440-2021</t>
        </is>
      </c>
      <c r="B3578" s="1" t="n">
        <v>44454</v>
      </c>
      <c r="C3578" s="1" t="n">
        <v>45710</v>
      </c>
      <c r="D3578" t="inlineStr">
        <is>
          <t>ÖSTERGÖTLANDS LÄN</t>
        </is>
      </c>
      <c r="E3578" t="inlineStr">
        <is>
          <t>KINDA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49444-2021</t>
        </is>
      </c>
      <c r="B3579" s="1" t="n">
        <v>44454</v>
      </c>
      <c r="C3579" s="1" t="n">
        <v>45710</v>
      </c>
      <c r="D3579" t="inlineStr">
        <is>
          <t>ÖSTERGÖTLANDS LÄN</t>
        </is>
      </c>
      <c r="E3579" t="inlineStr">
        <is>
          <t>KINDA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49465-2021</t>
        </is>
      </c>
      <c r="B3580" s="1" t="n">
        <v>44454</v>
      </c>
      <c r="C3580" s="1" t="n">
        <v>45710</v>
      </c>
      <c r="D3580" t="inlineStr">
        <is>
          <t>ÖSTERGÖTLANDS LÄN</t>
        </is>
      </c>
      <c r="E3580" t="inlineStr">
        <is>
          <t>BOXHOLM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49506-2021</t>
        </is>
      </c>
      <c r="B3581" s="1" t="n">
        <v>44454</v>
      </c>
      <c r="C3581" s="1" t="n">
        <v>45710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49656-2021</t>
        </is>
      </c>
      <c r="B3582" s="1" t="n">
        <v>44454</v>
      </c>
      <c r="C3582" s="1" t="n">
        <v>45710</v>
      </c>
      <c r="D3582" t="inlineStr">
        <is>
          <t>ÖSTERGÖTLANDS LÄN</t>
        </is>
      </c>
      <c r="E3582" t="inlineStr">
        <is>
          <t>LINKÖPING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49787-2021</t>
        </is>
      </c>
      <c r="B3583" s="1" t="n">
        <v>44455</v>
      </c>
      <c r="C3583" s="1" t="n">
        <v>45710</v>
      </c>
      <c r="D3583" t="inlineStr">
        <is>
          <t>ÖSTERGÖTLANDS LÄN</t>
        </is>
      </c>
      <c r="E3583" t="inlineStr">
        <is>
          <t>MOTALA</t>
        </is>
      </c>
      <c r="G3583" t="n">
        <v>11.9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49566-2021</t>
        </is>
      </c>
      <c r="B3584" s="1" t="n">
        <v>44455</v>
      </c>
      <c r="C3584" s="1" t="n">
        <v>45710</v>
      </c>
      <c r="D3584" t="inlineStr">
        <is>
          <t>ÖSTERGÖTLANDS LÄN</t>
        </is>
      </c>
      <c r="E3584" t="inlineStr">
        <is>
          <t>MJÖLBY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49612-2021</t>
        </is>
      </c>
      <c r="B3585" s="1" t="n">
        <v>44455</v>
      </c>
      <c r="C3585" s="1" t="n">
        <v>45710</v>
      </c>
      <c r="D3585" t="inlineStr">
        <is>
          <t>ÖSTERGÖTLANDS LÄN</t>
        </is>
      </c>
      <c r="E3585" t="inlineStr">
        <is>
          <t>FINSPÅNG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49627-2021</t>
        </is>
      </c>
      <c r="B3586" s="1" t="n">
        <v>44455</v>
      </c>
      <c r="C3586" s="1" t="n">
        <v>45710</v>
      </c>
      <c r="D3586" t="inlineStr">
        <is>
          <t>ÖSTERGÖTLANDS LÄN</t>
        </is>
      </c>
      <c r="E3586" t="inlineStr">
        <is>
          <t>MOTALA</t>
        </is>
      </c>
      <c r="G3586" t="n">
        <v>14.2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49646-2021</t>
        </is>
      </c>
      <c r="B3587" s="1" t="n">
        <v>44455</v>
      </c>
      <c r="C3587" s="1" t="n">
        <v>45710</v>
      </c>
      <c r="D3587" t="inlineStr">
        <is>
          <t>ÖSTERGÖTLANDS LÄN</t>
        </is>
      </c>
      <c r="E3587" t="inlineStr">
        <is>
          <t>MOTALA</t>
        </is>
      </c>
      <c r="G3587" t="n">
        <v>4.5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49658-2021</t>
        </is>
      </c>
      <c r="B3588" s="1" t="n">
        <v>44455</v>
      </c>
      <c r="C3588" s="1" t="n">
        <v>45710</v>
      </c>
      <c r="D3588" t="inlineStr">
        <is>
          <t>ÖSTERGÖTLANDS LÄN</t>
        </is>
      </c>
      <c r="E3588" t="inlineStr">
        <is>
          <t>MOTALA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49791-2021</t>
        </is>
      </c>
      <c r="B3589" s="1" t="n">
        <v>44455</v>
      </c>
      <c r="C3589" s="1" t="n">
        <v>45710</v>
      </c>
      <c r="D3589" t="inlineStr">
        <is>
          <t>ÖSTERGÖTLANDS LÄN</t>
        </is>
      </c>
      <c r="E3589" t="inlineStr">
        <is>
          <t>LINKÖPING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49600-2021</t>
        </is>
      </c>
      <c r="B3590" s="1" t="n">
        <v>44455</v>
      </c>
      <c r="C3590" s="1" t="n">
        <v>45710</v>
      </c>
      <c r="D3590" t="inlineStr">
        <is>
          <t>ÖSTERGÖTLANDS LÄN</t>
        </is>
      </c>
      <c r="E3590" t="inlineStr">
        <is>
          <t>FINSPÅNG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49651-2021</t>
        </is>
      </c>
      <c r="B3591" s="1" t="n">
        <v>44455</v>
      </c>
      <c r="C3591" s="1" t="n">
        <v>45710</v>
      </c>
      <c r="D3591" t="inlineStr">
        <is>
          <t>ÖSTERGÖTLANDS LÄN</t>
        </is>
      </c>
      <c r="E3591" t="inlineStr">
        <is>
          <t>MOTALA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49881-2021</t>
        </is>
      </c>
      <c r="B3592" s="1" t="n">
        <v>44455</v>
      </c>
      <c r="C3592" s="1" t="n">
        <v>45710</v>
      </c>
      <c r="D3592" t="inlineStr">
        <is>
          <t>ÖSTERGÖTLANDS LÄN</t>
        </is>
      </c>
      <c r="E3592" t="inlineStr">
        <is>
          <t>KINDA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49897-2021</t>
        </is>
      </c>
      <c r="B3593" s="1" t="n">
        <v>44455</v>
      </c>
      <c r="C3593" s="1" t="n">
        <v>45710</v>
      </c>
      <c r="D3593" t="inlineStr">
        <is>
          <t>ÖSTERGÖTLANDS LÄN</t>
        </is>
      </c>
      <c r="E3593" t="inlineStr">
        <is>
          <t>BOXHOLM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49831-2021</t>
        </is>
      </c>
      <c r="B3594" s="1" t="n">
        <v>44455</v>
      </c>
      <c r="C3594" s="1" t="n">
        <v>45710</v>
      </c>
      <c r="D3594" t="inlineStr">
        <is>
          <t>ÖSTERGÖTLANDS LÄN</t>
        </is>
      </c>
      <c r="E3594" t="inlineStr">
        <is>
          <t>FINSPÅNG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49869-2021</t>
        </is>
      </c>
      <c r="B3595" s="1" t="n">
        <v>44455</v>
      </c>
      <c r="C3595" s="1" t="n">
        <v>45710</v>
      </c>
      <c r="D3595" t="inlineStr">
        <is>
          <t>ÖSTERGÖTLANDS LÄN</t>
        </is>
      </c>
      <c r="E3595" t="inlineStr">
        <is>
          <t>NORRKÖPING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49873-2021</t>
        </is>
      </c>
      <c r="B3596" s="1" t="n">
        <v>44455</v>
      </c>
      <c r="C3596" s="1" t="n">
        <v>45710</v>
      </c>
      <c r="D3596" t="inlineStr">
        <is>
          <t>ÖSTERGÖTLANDS LÄN</t>
        </is>
      </c>
      <c r="E3596" t="inlineStr">
        <is>
          <t>NORRKÖPING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49895-2021</t>
        </is>
      </c>
      <c r="B3597" s="1" t="n">
        <v>44455</v>
      </c>
      <c r="C3597" s="1" t="n">
        <v>45710</v>
      </c>
      <c r="D3597" t="inlineStr">
        <is>
          <t>ÖSTERGÖTLANDS LÄN</t>
        </is>
      </c>
      <c r="E3597" t="inlineStr">
        <is>
          <t>BOXHOLM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49882-2021</t>
        </is>
      </c>
      <c r="B3598" s="1" t="n">
        <v>44455</v>
      </c>
      <c r="C3598" s="1" t="n">
        <v>45710</v>
      </c>
      <c r="D3598" t="inlineStr">
        <is>
          <t>ÖSTERGÖTLANDS LÄN</t>
        </is>
      </c>
      <c r="E3598" t="inlineStr">
        <is>
          <t>NORRKÖPING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49958-2021</t>
        </is>
      </c>
      <c r="B3599" s="1" t="n">
        <v>44456</v>
      </c>
      <c r="C3599" s="1" t="n">
        <v>45710</v>
      </c>
      <c r="D3599" t="inlineStr">
        <is>
          <t>ÖSTERGÖTLANDS LÄN</t>
        </is>
      </c>
      <c r="E3599" t="inlineStr">
        <is>
          <t>FINSPÅNG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49990-2021</t>
        </is>
      </c>
      <c r="B3600" s="1" t="n">
        <v>44456</v>
      </c>
      <c r="C3600" s="1" t="n">
        <v>45710</v>
      </c>
      <c r="D3600" t="inlineStr">
        <is>
          <t>ÖSTERGÖTLANDS LÄN</t>
        </is>
      </c>
      <c r="E3600" t="inlineStr">
        <is>
          <t>BOXHOLM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50101-2021</t>
        </is>
      </c>
      <c r="B3601" s="1" t="n">
        <v>44456</v>
      </c>
      <c r="C3601" s="1" t="n">
        <v>45710</v>
      </c>
      <c r="D3601" t="inlineStr">
        <is>
          <t>ÖSTERGÖTLANDS LÄN</t>
        </is>
      </c>
      <c r="E3601" t="inlineStr">
        <is>
          <t>KINDA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50136-2021</t>
        </is>
      </c>
      <c r="B3602" s="1" t="n">
        <v>44456</v>
      </c>
      <c r="C3602" s="1" t="n">
        <v>45710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50133-2021</t>
        </is>
      </c>
      <c r="B3603" s="1" t="n">
        <v>44456</v>
      </c>
      <c r="C3603" s="1" t="n">
        <v>45710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50306-2021</t>
        </is>
      </c>
      <c r="B3604" s="1" t="n">
        <v>44459</v>
      </c>
      <c r="C3604" s="1" t="n">
        <v>45710</v>
      </c>
      <c r="D3604" t="inlineStr">
        <is>
          <t>ÖSTERGÖTLANDS LÄN</t>
        </is>
      </c>
      <c r="E3604" t="inlineStr">
        <is>
          <t>NORRKÖPING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50386-2021</t>
        </is>
      </c>
      <c r="B3605" s="1" t="n">
        <v>44459</v>
      </c>
      <c r="C3605" s="1" t="n">
        <v>45710</v>
      </c>
      <c r="D3605" t="inlineStr">
        <is>
          <t>ÖSTERGÖTLANDS LÄN</t>
        </is>
      </c>
      <c r="E3605" t="inlineStr">
        <is>
          <t>LINKÖPING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50619-2021</t>
        </is>
      </c>
      <c r="B3606" s="1" t="n">
        <v>44459</v>
      </c>
      <c r="C3606" s="1" t="n">
        <v>45710</v>
      </c>
      <c r="D3606" t="inlineStr">
        <is>
          <t>ÖSTERGÖTLANDS LÄN</t>
        </is>
      </c>
      <c r="E3606" t="inlineStr">
        <is>
          <t>SÖDERKÖPING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50558-2021</t>
        </is>
      </c>
      <c r="B3607" s="1" t="n">
        <v>44459</v>
      </c>
      <c r="C3607" s="1" t="n">
        <v>45710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50593-2021</t>
        </is>
      </c>
      <c r="B3608" s="1" t="n">
        <v>44459</v>
      </c>
      <c r="C3608" s="1" t="n">
        <v>45710</v>
      </c>
      <c r="D3608" t="inlineStr">
        <is>
          <t>ÖSTERGÖTLANDS LÄN</t>
        </is>
      </c>
      <c r="E3608" t="inlineStr">
        <is>
          <t>ÅTVIDABERG</t>
        </is>
      </c>
      <c r="G3608" t="n">
        <v>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50752-2021</t>
        </is>
      </c>
      <c r="B3609" s="1" t="n">
        <v>44460</v>
      </c>
      <c r="C3609" s="1" t="n">
        <v>45710</v>
      </c>
      <c r="D3609" t="inlineStr">
        <is>
          <t>ÖSTERGÖTLANDS LÄN</t>
        </is>
      </c>
      <c r="E3609" t="inlineStr">
        <is>
          <t>KINDA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50751-2021</t>
        </is>
      </c>
      <c r="B3610" s="1" t="n">
        <v>44460</v>
      </c>
      <c r="C3610" s="1" t="n">
        <v>45710</v>
      </c>
      <c r="D3610" t="inlineStr">
        <is>
          <t>ÖSTERGÖTLANDS LÄN</t>
        </is>
      </c>
      <c r="E3610" t="inlineStr">
        <is>
          <t>ÅTVIDABERG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51035-2021</t>
        </is>
      </c>
      <c r="B3611" s="1" t="n">
        <v>44461</v>
      </c>
      <c r="C3611" s="1" t="n">
        <v>45710</v>
      </c>
      <c r="D3611" t="inlineStr">
        <is>
          <t>ÖSTERGÖTLANDS LÄN</t>
        </is>
      </c>
      <c r="E3611" t="inlineStr">
        <is>
          <t>FINSPÅNG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50963-2021</t>
        </is>
      </c>
      <c r="B3612" s="1" t="n">
        <v>44460</v>
      </c>
      <c r="C3612" s="1" t="n">
        <v>45710</v>
      </c>
      <c r="D3612" t="inlineStr">
        <is>
          <t>ÖSTERGÖTLANDS LÄN</t>
        </is>
      </c>
      <c r="E3612" t="inlineStr">
        <is>
          <t>LINKÖPING</t>
        </is>
      </c>
      <c r="G3612" t="n">
        <v>4.4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50982-2021</t>
        </is>
      </c>
      <c r="B3613" s="1" t="n">
        <v>44460</v>
      </c>
      <c r="C3613" s="1" t="n">
        <v>45710</v>
      </c>
      <c r="D3613" t="inlineStr">
        <is>
          <t>ÖSTERGÖTLANDS LÄN</t>
        </is>
      </c>
      <c r="E3613" t="inlineStr">
        <is>
          <t>LINKÖPING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51034-2021</t>
        </is>
      </c>
      <c r="B3614" s="1" t="n">
        <v>44461</v>
      </c>
      <c r="C3614" s="1" t="n">
        <v>45710</v>
      </c>
      <c r="D3614" t="inlineStr">
        <is>
          <t>ÖSTERGÖTLANDS LÄN</t>
        </is>
      </c>
      <c r="E3614" t="inlineStr">
        <is>
          <t>FINSPÅNG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51509-2021</t>
        </is>
      </c>
      <c r="B3615" s="1" t="n">
        <v>44460</v>
      </c>
      <c r="C3615" s="1" t="n">
        <v>45710</v>
      </c>
      <c r="D3615" t="inlineStr">
        <is>
          <t>ÖSTERGÖTLANDS LÄN</t>
        </is>
      </c>
      <c r="E3615" t="inlineStr">
        <is>
          <t>BOXHOLM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51225-2021</t>
        </is>
      </c>
      <c r="B3616" s="1" t="n">
        <v>44461</v>
      </c>
      <c r="C3616" s="1" t="n">
        <v>45710</v>
      </c>
      <c r="D3616" t="inlineStr">
        <is>
          <t>ÖSTERGÖTLANDS LÄN</t>
        </is>
      </c>
      <c r="E3616" t="inlineStr">
        <is>
          <t>YDRE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51261-2021</t>
        </is>
      </c>
      <c r="B3617" s="1" t="n">
        <v>44461</v>
      </c>
      <c r="C3617" s="1" t="n">
        <v>45710</v>
      </c>
      <c r="D3617" t="inlineStr">
        <is>
          <t>ÖSTERGÖTLANDS LÄN</t>
        </is>
      </c>
      <c r="E3617" t="inlineStr">
        <is>
          <t>BOXHOLM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51332-2021</t>
        </is>
      </c>
      <c r="B3618" s="1" t="n">
        <v>44461</v>
      </c>
      <c r="C3618" s="1" t="n">
        <v>45710</v>
      </c>
      <c r="D3618" t="inlineStr">
        <is>
          <t>ÖSTERGÖTLANDS LÄN</t>
        </is>
      </c>
      <c r="E3618" t="inlineStr">
        <is>
          <t>YDRE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51633-2021</t>
        </is>
      </c>
      <c r="B3619" s="1" t="n">
        <v>44462</v>
      </c>
      <c r="C3619" s="1" t="n">
        <v>45710</v>
      </c>
      <c r="D3619" t="inlineStr">
        <is>
          <t>ÖSTERGÖTLANDS LÄN</t>
        </is>
      </c>
      <c r="E3619" t="inlineStr">
        <is>
          <t>FINSPÅNG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51655-2021</t>
        </is>
      </c>
      <c r="B3620" s="1" t="n">
        <v>44462</v>
      </c>
      <c r="C3620" s="1" t="n">
        <v>45710</v>
      </c>
      <c r="D3620" t="inlineStr">
        <is>
          <t>ÖSTERGÖTLANDS LÄN</t>
        </is>
      </c>
      <c r="E3620" t="inlineStr">
        <is>
          <t>MJÖLBY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51771-2021</t>
        </is>
      </c>
      <c r="B3621" s="1" t="n">
        <v>44462</v>
      </c>
      <c r="C3621" s="1" t="n">
        <v>45710</v>
      </c>
      <c r="D3621" t="inlineStr">
        <is>
          <t>ÖSTERGÖTLANDS LÄN</t>
        </is>
      </c>
      <c r="E3621" t="inlineStr">
        <is>
          <t>ÖDESHÖG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51838-2021</t>
        </is>
      </c>
      <c r="B3622" s="1" t="n">
        <v>44462</v>
      </c>
      <c r="C3622" s="1" t="n">
        <v>45710</v>
      </c>
      <c r="D3622" t="inlineStr">
        <is>
          <t>ÖSTERGÖTLANDS LÄN</t>
        </is>
      </c>
      <c r="E3622" t="inlineStr">
        <is>
          <t>NORRKÖPING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51881-2021</t>
        </is>
      </c>
      <c r="B3623" s="1" t="n">
        <v>44462</v>
      </c>
      <c r="C3623" s="1" t="n">
        <v>45710</v>
      </c>
      <c r="D3623" t="inlineStr">
        <is>
          <t>ÖSTERGÖTLANDS LÄN</t>
        </is>
      </c>
      <c r="E3623" t="inlineStr">
        <is>
          <t>ÅTVIDABERG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51448-2021</t>
        </is>
      </c>
      <c r="B3624" s="1" t="n">
        <v>44462</v>
      </c>
      <c r="C3624" s="1" t="n">
        <v>45710</v>
      </c>
      <c r="D3624" t="inlineStr">
        <is>
          <t>ÖSTERGÖTLANDS LÄN</t>
        </is>
      </c>
      <c r="E3624" t="inlineStr">
        <is>
          <t>FINSPÅNG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51630-2021</t>
        </is>
      </c>
      <c r="B3625" s="1" t="n">
        <v>44462</v>
      </c>
      <c r="C3625" s="1" t="n">
        <v>45710</v>
      </c>
      <c r="D3625" t="inlineStr">
        <is>
          <t>ÖSTERGÖTLANDS LÄN</t>
        </is>
      </c>
      <c r="E3625" t="inlineStr">
        <is>
          <t>MJÖLBY</t>
        </is>
      </c>
      <c r="G3625" t="n">
        <v>4.9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51642-2021</t>
        </is>
      </c>
      <c r="B3626" s="1" t="n">
        <v>44462</v>
      </c>
      <c r="C3626" s="1" t="n">
        <v>45710</v>
      </c>
      <c r="D3626" t="inlineStr">
        <is>
          <t>ÖSTERGÖTLANDS LÄN</t>
        </is>
      </c>
      <c r="E3626" t="inlineStr">
        <is>
          <t>MJÖLBY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51653-2021</t>
        </is>
      </c>
      <c r="B3627" s="1" t="n">
        <v>44462</v>
      </c>
      <c r="C3627" s="1" t="n">
        <v>45710</v>
      </c>
      <c r="D3627" t="inlineStr">
        <is>
          <t>ÖSTERGÖTLANDS LÄN</t>
        </is>
      </c>
      <c r="E3627" t="inlineStr">
        <is>
          <t>MOTALA</t>
        </is>
      </c>
      <c r="F3627" t="inlineStr">
        <is>
          <t>Sveaskog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51613-2021</t>
        </is>
      </c>
      <c r="B3628" s="1" t="n">
        <v>44462</v>
      </c>
      <c r="C3628" s="1" t="n">
        <v>45710</v>
      </c>
      <c r="D3628" t="inlineStr">
        <is>
          <t>ÖSTERGÖTLANDS LÄN</t>
        </is>
      </c>
      <c r="E3628" t="inlineStr">
        <is>
          <t>FINSPÅNG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51639-2021</t>
        </is>
      </c>
      <c r="B3629" s="1" t="n">
        <v>44462</v>
      </c>
      <c r="C3629" s="1" t="n">
        <v>45710</v>
      </c>
      <c r="D3629" t="inlineStr">
        <is>
          <t>ÖSTERGÖTLANDS LÄN</t>
        </is>
      </c>
      <c r="E3629" t="inlineStr">
        <is>
          <t>MJÖLBY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51704-2021</t>
        </is>
      </c>
      <c r="B3630" s="1" t="n">
        <v>44462</v>
      </c>
      <c r="C3630" s="1" t="n">
        <v>45710</v>
      </c>
      <c r="D3630" t="inlineStr">
        <is>
          <t>ÖSTERGÖTLANDS LÄN</t>
        </is>
      </c>
      <c r="E3630" t="inlineStr">
        <is>
          <t>ÅTVIDABERG</t>
        </is>
      </c>
      <c r="F3630" t="inlineStr">
        <is>
          <t>Övriga Aktiebolag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51814-2021</t>
        </is>
      </c>
      <c r="B3631" s="1" t="n">
        <v>44462</v>
      </c>
      <c r="C3631" s="1" t="n">
        <v>45710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Sveaskog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51836-2021</t>
        </is>
      </c>
      <c r="B3632" s="1" t="n">
        <v>44462</v>
      </c>
      <c r="C3632" s="1" t="n">
        <v>45710</v>
      </c>
      <c r="D3632" t="inlineStr">
        <is>
          <t>ÖSTERGÖTLANDS LÄN</t>
        </is>
      </c>
      <c r="E3632" t="inlineStr">
        <is>
          <t>KINDA</t>
        </is>
      </c>
      <c r="F3632" t="inlineStr">
        <is>
          <t>Övriga Aktiebolag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51808-2021</t>
        </is>
      </c>
      <c r="B3633" s="1" t="n">
        <v>44462</v>
      </c>
      <c r="C3633" s="1" t="n">
        <v>45710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51832-2021</t>
        </is>
      </c>
      <c r="B3634" s="1" t="n">
        <v>44462</v>
      </c>
      <c r="C3634" s="1" t="n">
        <v>45710</v>
      </c>
      <c r="D3634" t="inlineStr">
        <is>
          <t>ÖSTERGÖTLANDS LÄN</t>
        </is>
      </c>
      <c r="E3634" t="inlineStr">
        <is>
          <t>MOTALA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51877-2021</t>
        </is>
      </c>
      <c r="B3635" s="1" t="n">
        <v>44462</v>
      </c>
      <c r="C3635" s="1" t="n">
        <v>45710</v>
      </c>
      <c r="D3635" t="inlineStr">
        <is>
          <t>ÖSTERGÖTLANDS LÄN</t>
        </is>
      </c>
      <c r="E3635" t="inlineStr">
        <is>
          <t>NORRKÖPING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51882-2021</t>
        </is>
      </c>
      <c r="B3636" s="1" t="n">
        <v>44462</v>
      </c>
      <c r="C3636" s="1" t="n">
        <v>45710</v>
      </c>
      <c r="D3636" t="inlineStr">
        <is>
          <t>ÖSTERGÖTLANDS LÄN</t>
        </is>
      </c>
      <c r="E3636" t="inlineStr">
        <is>
          <t>ÅTVIDABERG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51982-2021</t>
        </is>
      </c>
      <c r="B3637" s="1" t="n">
        <v>44463</v>
      </c>
      <c r="C3637" s="1" t="n">
        <v>45710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Sveaskog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51989-2021</t>
        </is>
      </c>
      <c r="B3638" s="1" t="n">
        <v>44463</v>
      </c>
      <c r="C3638" s="1" t="n">
        <v>45710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Sveaskog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52206-2021</t>
        </is>
      </c>
      <c r="B3639" s="1" t="n">
        <v>44463</v>
      </c>
      <c r="C3639" s="1" t="n">
        <v>45710</v>
      </c>
      <c r="D3639" t="inlineStr">
        <is>
          <t>ÖSTERGÖTLANDS LÄN</t>
        </is>
      </c>
      <c r="E3639" t="inlineStr">
        <is>
          <t>KINDA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52223-2021</t>
        </is>
      </c>
      <c r="B3640" s="1" t="n">
        <v>44463</v>
      </c>
      <c r="C3640" s="1" t="n">
        <v>45710</v>
      </c>
      <c r="D3640" t="inlineStr">
        <is>
          <t>ÖSTERGÖTLANDS LÄN</t>
        </is>
      </c>
      <c r="E3640" t="inlineStr">
        <is>
          <t>VALDEMARSVIK</t>
        </is>
      </c>
      <c r="F3640" t="inlineStr">
        <is>
          <t>Övriga Aktiebolag</t>
        </is>
      </c>
      <c r="G3640" t="n">
        <v>10.8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52207-2021</t>
        </is>
      </c>
      <c r="B3641" s="1" t="n">
        <v>44463</v>
      </c>
      <c r="C3641" s="1" t="n">
        <v>45710</v>
      </c>
      <c r="D3641" t="inlineStr">
        <is>
          <t>ÖSTERGÖTLANDS LÄN</t>
        </is>
      </c>
      <c r="E3641" t="inlineStr">
        <is>
          <t>KINDA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53786-2021</t>
        </is>
      </c>
      <c r="B3642" s="1" t="n">
        <v>44463</v>
      </c>
      <c r="C3642" s="1" t="n">
        <v>45710</v>
      </c>
      <c r="D3642" t="inlineStr">
        <is>
          <t>ÖSTERGÖTLANDS LÄN</t>
        </is>
      </c>
      <c r="E3642" t="inlineStr">
        <is>
          <t>VALDEMARSVIK</t>
        </is>
      </c>
      <c r="F3642" t="inlineStr">
        <is>
          <t>Övriga Aktiebolag</t>
        </is>
      </c>
      <c r="G3642" t="n">
        <v>4.9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53785-2021</t>
        </is>
      </c>
      <c r="B3643" s="1" t="n">
        <v>44463</v>
      </c>
      <c r="C3643" s="1" t="n">
        <v>45710</v>
      </c>
      <c r="D3643" t="inlineStr">
        <is>
          <t>ÖSTERGÖTLANDS LÄN</t>
        </is>
      </c>
      <c r="E3643" t="inlineStr">
        <is>
          <t>VALDEMARSVIK</t>
        </is>
      </c>
      <c r="F3643" t="inlineStr">
        <is>
          <t>Övriga Aktiebolag</t>
        </is>
      </c>
      <c r="G3643" t="n">
        <v>6.9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53782-2021</t>
        </is>
      </c>
      <c r="B3644" s="1" t="n">
        <v>44463</v>
      </c>
      <c r="C3644" s="1" t="n">
        <v>45710</v>
      </c>
      <c r="D3644" t="inlineStr">
        <is>
          <t>ÖSTERGÖTLANDS LÄN</t>
        </is>
      </c>
      <c r="E3644" t="inlineStr">
        <is>
          <t>VALDEMARSVIK</t>
        </is>
      </c>
      <c r="F3644" t="inlineStr">
        <is>
          <t>Övriga Aktiebolag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52382-2021</t>
        </is>
      </c>
      <c r="B3645" s="1" t="n">
        <v>44465</v>
      </c>
      <c r="C3645" s="1" t="n">
        <v>45710</v>
      </c>
      <c r="D3645" t="inlineStr">
        <is>
          <t>ÖSTERGÖTLANDS LÄN</t>
        </is>
      </c>
      <c r="E3645" t="inlineStr">
        <is>
          <t>KINDA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52476-2021</t>
        </is>
      </c>
      <c r="B3646" s="1" t="n">
        <v>44466</v>
      </c>
      <c r="C3646" s="1" t="n">
        <v>45710</v>
      </c>
      <c r="D3646" t="inlineStr">
        <is>
          <t>ÖSTERGÖTLANDS LÄN</t>
        </is>
      </c>
      <c r="E3646" t="inlineStr">
        <is>
          <t>ÖDESHÖG</t>
        </is>
      </c>
      <c r="F3646" t="inlineStr">
        <is>
          <t>Kyrkan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52663-2021</t>
        </is>
      </c>
      <c r="B3647" s="1" t="n">
        <v>44466</v>
      </c>
      <c r="C3647" s="1" t="n">
        <v>45710</v>
      </c>
      <c r="D3647" t="inlineStr">
        <is>
          <t>ÖSTERGÖTLANDS LÄN</t>
        </is>
      </c>
      <c r="E3647" t="inlineStr">
        <is>
          <t>KINDA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52661-2021</t>
        </is>
      </c>
      <c r="B3648" s="1" t="n">
        <v>44466</v>
      </c>
      <c r="C3648" s="1" t="n">
        <v>45710</v>
      </c>
      <c r="D3648" t="inlineStr">
        <is>
          <t>ÖSTERGÖTLANDS LÄN</t>
        </is>
      </c>
      <c r="E3648" t="inlineStr">
        <is>
          <t>KINDA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52665-2021</t>
        </is>
      </c>
      <c r="B3649" s="1" t="n">
        <v>44466</v>
      </c>
      <c r="C3649" s="1" t="n">
        <v>45710</v>
      </c>
      <c r="D3649" t="inlineStr">
        <is>
          <t>ÖSTERGÖTLANDS LÄN</t>
        </is>
      </c>
      <c r="E3649" t="inlineStr">
        <is>
          <t>KINDA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52662-2021</t>
        </is>
      </c>
      <c r="B3650" s="1" t="n">
        <v>44466</v>
      </c>
      <c r="C3650" s="1" t="n">
        <v>45710</v>
      </c>
      <c r="D3650" t="inlineStr">
        <is>
          <t>ÖSTERGÖTLANDS LÄN</t>
        </is>
      </c>
      <c r="E3650" t="inlineStr">
        <is>
          <t>KINDA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53146-2021</t>
        </is>
      </c>
      <c r="B3651" s="1" t="n">
        <v>44466</v>
      </c>
      <c r="C3651" s="1" t="n">
        <v>45710</v>
      </c>
      <c r="D3651" t="inlineStr">
        <is>
          <t>ÖSTERGÖTLANDS LÄN</t>
        </is>
      </c>
      <c r="E3651" t="inlineStr">
        <is>
          <t>LINKÖPING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52776-2021</t>
        </is>
      </c>
      <c r="B3652" s="1" t="n">
        <v>44467</v>
      </c>
      <c r="C3652" s="1" t="n">
        <v>45710</v>
      </c>
      <c r="D3652" t="inlineStr">
        <is>
          <t>ÖSTERGÖTLANDS LÄN</t>
        </is>
      </c>
      <c r="E3652" t="inlineStr">
        <is>
          <t>ÅTVIDABERG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52773-2021</t>
        </is>
      </c>
      <c r="B3653" s="1" t="n">
        <v>44467</v>
      </c>
      <c r="C3653" s="1" t="n">
        <v>45710</v>
      </c>
      <c r="D3653" t="inlineStr">
        <is>
          <t>ÖSTERGÖTLANDS LÄN</t>
        </is>
      </c>
      <c r="E3653" t="inlineStr">
        <is>
          <t>ÅTVIDABERG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52763-2021</t>
        </is>
      </c>
      <c r="B3654" s="1" t="n">
        <v>44467</v>
      </c>
      <c r="C3654" s="1" t="n">
        <v>45710</v>
      </c>
      <c r="D3654" t="inlineStr">
        <is>
          <t>ÖSTERGÖTLANDS LÄN</t>
        </is>
      </c>
      <c r="E3654" t="inlineStr">
        <is>
          <t>ÅTVIDABERG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52966-2021</t>
        </is>
      </c>
      <c r="B3655" s="1" t="n">
        <v>44467</v>
      </c>
      <c r="C3655" s="1" t="n">
        <v>45710</v>
      </c>
      <c r="D3655" t="inlineStr">
        <is>
          <t>ÖSTERGÖTLANDS LÄN</t>
        </is>
      </c>
      <c r="E3655" t="inlineStr">
        <is>
          <t>LINKÖPING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52743-2021</t>
        </is>
      </c>
      <c r="B3656" s="1" t="n">
        <v>44467</v>
      </c>
      <c r="C3656" s="1" t="n">
        <v>45710</v>
      </c>
      <c r="D3656" t="inlineStr">
        <is>
          <t>ÖSTERGÖTLANDS LÄN</t>
        </is>
      </c>
      <c r="E3656" t="inlineStr">
        <is>
          <t>ÅTVIDABERG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52756-2021</t>
        </is>
      </c>
      <c r="B3657" s="1" t="n">
        <v>44467</v>
      </c>
      <c r="C3657" s="1" t="n">
        <v>45710</v>
      </c>
      <c r="D3657" t="inlineStr">
        <is>
          <t>ÖSTERGÖTLANDS LÄN</t>
        </is>
      </c>
      <c r="E3657" t="inlineStr">
        <is>
          <t>ÅTVIDABERG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53120-2021</t>
        </is>
      </c>
      <c r="B3658" s="1" t="n">
        <v>44468</v>
      </c>
      <c r="C3658" s="1" t="n">
        <v>45710</v>
      </c>
      <c r="D3658" t="inlineStr">
        <is>
          <t>ÖSTERGÖTLANDS LÄN</t>
        </is>
      </c>
      <c r="E3658" t="inlineStr">
        <is>
          <t>FINSPÅNG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52957-2021</t>
        </is>
      </c>
      <c r="B3659" s="1" t="n">
        <v>44467</v>
      </c>
      <c r="C3659" s="1" t="n">
        <v>45710</v>
      </c>
      <c r="D3659" t="inlineStr">
        <is>
          <t>ÖSTERGÖTLANDS LÄN</t>
        </is>
      </c>
      <c r="E3659" t="inlineStr">
        <is>
          <t>KINDA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52968-2021</t>
        </is>
      </c>
      <c r="B3660" s="1" t="n">
        <v>44467</v>
      </c>
      <c r="C3660" s="1" t="n">
        <v>45710</v>
      </c>
      <c r="D3660" t="inlineStr">
        <is>
          <t>ÖSTERGÖTLANDS LÄN</t>
        </is>
      </c>
      <c r="E3660" t="inlineStr">
        <is>
          <t>LINKÖPING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53082-2021</t>
        </is>
      </c>
      <c r="B3661" s="1" t="n">
        <v>44467</v>
      </c>
      <c r="C3661" s="1" t="n">
        <v>45710</v>
      </c>
      <c r="D3661" t="inlineStr">
        <is>
          <t>ÖSTERGÖTLANDS LÄN</t>
        </is>
      </c>
      <c r="E3661" t="inlineStr">
        <is>
          <t>ÅTVIDABERG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53123-2021</t>
        </is>
      </c>
      <c r="B3662" s="1" t="n">
        <v>44468</v>
      </c>
      <c r="C3662" s="1" t="n">
        <v>45710</v>
      </c>
      <c r="D3662" t="inlineStr">
        <is>
          <t>ÖSTERGÖTLANDS LÄN</t>
        </is>
      </c>
      <c r="E3662" t="inlineStr">
        <is>
          <t>FINSPÅNG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53360-2021</t>
        </is>
      </c>
      <c r="B3663" s="1" t="n">
        <v>44468</v>
      </c>
      <c r="C3663" s="1" t="n">
        <v>45710</v>
      </c>
      <c r="D3663" t="inlineStr">
        <is>
          <t>ÖSTERGÖTLANDS LÄN</t>
        </is>
      </c>
      <c r="E3663" t="inlineStr">
        <is>
          <t>YDRE</t>
        </is>
      </c>
      <c r="F3663" t="inlineStr">
        <is>
          <t>Kyrkan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53177-2021</t>
        </is>
      </c>
      <c r="B3664" s="1" t="n">
        <v>44468</v>
      </c>
      <c r="C3664" s="1" t="n">
        <v>45710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Holmen skog AB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53444-2021</t>
        </is>
      </c>
      <c r="B3665" s="1" t="n">
        <v>44468</v>
      </c>
      <c r="C3665" s="1" t="n">
        <v>45710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Holmen skog AB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53475-2021</t>
        </is>
      </c>
      <c r="B3666" s="1" t="n">
        <v>44468</v>
      </c>
      <c r="C3666" s="1" t="n">
        <v>45710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Övriga Aktiebolag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53574-2021</t>
        </is>
      </c>
      <c r="B3667" s="1" t="n">
        <v>44468</v>
      </c>
      <c r="C3667" s="1" t="n">
        <v>45710</v>
      </c>
      <c r="D3667" t="inlineStr">
        <is>
          <t>ÖSTERGÖTLANDS LÄN</t>
        </is>
      </c>
      <c r="E3667" t="inlineStr">
        <is>
          <t>MOTALA</t>
        </is>
      </c>
      <c r="G3667" t="n">
        <v>6.4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53741-2021</t>
        </is>
      </c>
      <c r="B3668" s="1" t="n">
        <v>44469</v>
      </c>
      <c r="C3668" s="1" t="n">
        <v>45710</v>
      </c>
      <c r="D3668" t="inlineStr">
        <is>
          <t>ÖSTERGÖTLANDS LÄN</t>
        </is>
      </c>
      <c r="E3668" t="inlineStr">
        <is>
          <t>FINSPÅNG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53545-2021</t>
        </is>
      </c>
      <c r="B3669" s="1" t="n">
        <v>44469</v>
      </c>
      <c r="C3669" s="1" t="n">
        <v>45710</v>
      </c>
      <c r="D3669" t="inlineStr">
        <is>
          <t>ÖSTERGÖTLANDS LÄN</t>
        </is>
      </c>
      <c r="E3669" t="inlineStr">
        <is>
          <t>FINSPÅNG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53660-2021</t>
        </is>
      </c>
      <c r="B3670" s="1" t="n">
        <v>44469</v>
      </c>
      <c r="C3670" s="1" t="n">
        <v>45710</v>
      </c>
      <c r="D3670" t="inlineStr">
        <is>
          <t>ÖSTERGÖTLANDS LÄN</t>
        </is>
      </c>
      <c r="E3670" t="inlineStr">
        <is>
          <t>LINKÖPING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53647-2021</t>
        </is>
      </c>
      <c r="B3671" s="1" t="n">
        <v>44469</v>
      </c>
      <c r="C3671" s="1" t="n">
        <v>45710</v>
      </c>
      <c r="D3671" t="inlineStr">
        <is>
          <t>ÖSTERGÖTLANDS LÄN</t>
        </is>
      </c>
      <c r="E3671" t="inlineStr">
        <is>
          <t>LINKÖPING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53669-2021</t>
        </is>
      </c>
      <c r="B3672" s="1" t="n">
        <v>44469</v>
      </c>
      <c r="C3672" s="1" t="n">
        <v>45710</v>
      </c>
      <c r="D3672" t="inlineStr">
        <is>
          <t>ÖSTERGÖTLANDS LÄN</t>
        </is>
      </c>
      <c r="E3672" t="inlineStr">
        <is>
          <t>MOTALA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53725-2021</t>
        </is>
      </c>
      <c r="B3673" s="1" t="n">
        <v>44469</v>
      </c>
      <c r="C3673" s="1" t="n">
        <v>45710</v>
      </c>
      <c r="D3673" t="inlineStr">
        <is>
          <t>ÖSTERGÖTLANDS LÄN</t>
        </is>
      </c>
      <c r="E3673" t="inlineStr">
        <is>
          <t>BOXHOLM</t>
        </is>
      </c>
      <c r="F3673" t="inlineStr">
        <is>
          <t>Övriga Aktiebolag</t>
        </is>
      </c>
      <c r="G3673" t="n">
        <v>8.4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53888-2021</t>
        </is>
      </c>
      <c r="B3674" s="1" t="n">
        <v>44469</v>
      </c>
      <c r="C3674" s="1" t="n">
        <v>45710</v>
      </c>
      <c r="D3674" t="inlineStr">
        <is>
          <t>ÖSTERGÖTLANDS LÄN</t>
        </is>
      </c>
      <c r="E3674" t="inlineStr">
        <is>
          <t>KINDA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53892-2021</t>
        </is>
      </c>
      <c r="B3675" s="1" t="n">
        <v>44469</v>
      </c>
      <c r="C3675" s="1" t="n">
        <v>45710</v>
      </c>
      <c r="D3675" t="inlineStr">
        <is>
          <t>ÖSTERGÖTLANDS LÄN</t>
        </is>
      </c>
      <c r="E3675" t="inlineStr">
        <is>
          <t>KINDA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53904-2021</t>
        </is>
      </c>
      <c r="B3676" s="1" t="n">
        <v>44469</v>
      </c>
      <c r="C3676" s="1" t="n">
        <v>45710</v>
      </c>
      <c r="D3676" t="inlineStr">
        <is>
          <t>ÖSTERGÖTLANDS LÄN</t>
        </is>
      </c>
      <c r="E3676" t="inlineStr">
        <is>
          <t>SÖDERKÖPING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53890-2021</t>
        </is>
      </c>
      <c r="B3677" s="1" t="n">
        <v>44469</v>
      </c>
      <c r="C3677" s="1" t="n">
        <v>45710</v>
      </c>
      <c r="D3677" t="inlineStr">
        <is>
          <t>ÖSTERGÖTLANDS LÄN</t>
        </is>
      </c>
      <c r="E3677" t="inlineStr">
        <is>
          <t>SÖDERKÖPING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53899-2021</t>
        </is>
      </c>
      <c r="B3678" s="1" t="n">
        <v>44469</v>
      </c>
      <c r="C3678" s="1" t="n">
        <v>45710</v>
      </c>
      <c r="D3678" t="inlineStr">
        <is>
          <t>ÖSTERGÖTLANDS LÄN</t>
        </is>
      </c>
      <c r="E3678" t="inlineStr">
        <is>
          <t>NORRKÖPING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53889-2021</t>
        </is>
      </c>
      <c r="B3679" s="1" t="n">
        <v>44469</v>
      </c>
      <c r="C3679" s="1" t="n">
        <v>45710</v>
      </c>
      <c r="D3679" t="inlineStr">
        <is>
          <t>ÖSTERGÖTLANDS LÄN</t>
        </is>
      </c>
      <c r="E3679" t="inlineStr">
        <is>
          <t>SÖDERKÖPING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53909-2021</t>
        </is>
      </c>
      <c r="B3680" s="1" t="n">
        <v>44469</v>
      </c>
      <c r="C3680" s="1" t="n">
        <v>45710</v>
      </c>
      <c r="D3680" t="inlineStr">
        <is>
          <t>ÖSTERGÖTLANDS LÄN</t>
        </is>
      </c>
      <c r="E3680" t="inlineStr">
        <is>
          <t>YDRE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53891-2021</t>
        </is>
      </c>
      <c r="B3681" s="1" t="n">
        <v>44469</v>
      </c>
      <c r="C3681" s="1" t="n">
        <v>45710</v>
      </c>
      <c r="D3681" t="inlineStr">
        <is>
          <t>ÖSTERGÖTLANDS LÄN</t>
        </is>
      </c>
      <c r="E3681" t="inlineStr">
        <is>
          <t>SÖDERKÖPING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53900-2021</t>
        </is>
      </c>
      <c r="B3682" s="1" t="n">
        <v>44469</v>
      </c>
      <c r="C3682" s="1" t="n">
        <v>45710</v>
      </c>
      <c r="D3682" t="inlineStr">
        <is>
          <t>ÖSTERGÖTLANDS LÄN</t>
        </is>
      </c>
      <c r="E3682" t="inlineStr">
        <is>
          <t>NORRKÖPING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53746-2021</t>
        </is>
      </c>
      <c r="B3683" s="1" t="n">
        <v>44469</v>
      </c>
      <c r="C3683" s="1" t="n">
        <v>45710</v>
      </c>
      <c r="D3683" t="inlineStr">
        <is>
          <t>ÖSTERGÖTLANDS LÄN</t>
        </is>
      </c>
      <c r="E3683" t="inlineStr">
        <is>
          <t>FINSPÅNG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54226-2021</t>
        </is>
      </c>
      <c r="B3684" s="1" t="n">
        <v>44470</v>
      </c>
      <c r="C3684" s="1" t="n">
        <v>45710</v>
      </c>
      <c r="D3684" t="inlineStr">
        <is>
          <t>ÖSTERGÖTLANDS LÄN</t>
        </is>
      </c>
      <c r="E3684" t="inlineStr">
        <is>
          <t>ÖDESHÖG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54442-2021</t>
        </is>
      </c>
      <c r="B3685" s="1" t="n">
        <v>44473</v>
      </c>
      <c r="C3685" s="1" t="n">
        <v>45710</v>
      </c>
      <c r="D3685" t="inlineStr">
        <is>
          <t>ÖSTERGÖTLANDS LÄN</t>
        </is>
      </c>
      <c r="E3685" t="inlineStr">
        <is>
          <t>MJÖLBY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54444-2021</t>
        </is>
      </c>
      <c r="B3686" s="1" t="n">
        <v>44473</v>
      </c>
      <c r="C3686" s="1" t="n">
        <v>45710</v>
      </c>
      <c r="D3686" t="inlineStr">
        <is>
          <t>ÖSTERGÖTLANDS LÄN</t>
        </is>
      </c>
      <c r="E3686" t="inlineStr">
        <is>
          <t>MJÖLBY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54609-2021</t>
        </is>
      </c>
      <c r="B3687" s="1" t="n">
        <v>44473</v>
      </c>
      <c r="C3687" s="1" t="n">
        <v>45710</v>
      </c>
      <c r="D3687" t="inlineStr">
        <is>
          <t>ÖSTERGÖTLANDS LÄN</t>
        </is>
      </c>
      <c r="E3687" t="inlineStr">
        <is>
          <t>FINSPÅNG</t>
        </is>
      </c>
      <c r="F3687" t="inlineStr">
        <is>
          <t>Sveaskog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54539-2021</t>
        </is>
      </c>
      <c r="B3688" s="1" t="n">
        <v>44473</v>
      </c>
      <c r="C3688" s="1" t="n">
        <v>45710</v>
      </c>
      <c r="D3688" t="inlineStr">
        <is>
          <t>ÖSTERGÖTLANDS LÄN</t>
        </is>
      </c>
      <c r="E3688" t="inlineStr">
        <is>
          <t>ÅTVIDABERG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54708-2021</t>
        </is>
      </c>
      <c r="B3689" s="1" t="n">
        <v>44473</v>
      </c>
      <c r="C3689" s="1" t="n">
        <v>45710</v>
      </c>
      <c r="D3689" t="inlineStr">
        <is>
          <t>ÖSTERGÖTLANDS LÄN</t>
        </is>
      </c>
      <c r="E3689" t="inlineStr">
        <is>
          <t>BOXHOLM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54959-2021</t>
        </is>
      </c>
      <c r="B3690" s="1" t="n">
        <v>44474</v>
      </c>
      <c r="C3690" s="1" t="n">
        <v>45710</v>
      </c>
      <c r="D3690" t="inlineStr">
        <is>
          <t>ÖSTERGÖTLANDS LÄN</t>
        </is>
      </c>
      <c r="E3690" t="inlineStr">
        <is>
          <t>SÖDERKÖPING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54961-2021</t>
        </is>
      </c>
      <c r="B3691" s="1" t="n">
        <v>44474</v>
      </c>
      <c r="C3691" s="1" t="n">
        <v>45710</v>
      </c>
      <c r="D3691" t="inlineStr">
        <is>
          <t>ÖSTERGÖTLANDS LÄN</t>
        </is>
      </c>
      <c r="E3691" t="inlineStr">
        <is>
          <t>SÖDERKÖPING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55078-2021</t>
        </is>
      </c>
      <c r="B3692" s="1" t="n">
        <v>44474</v>
      </c>
      <c r="C3692" s="1" t="n">
        <v>45710</v>
      </c>
      <c r="D3692" t="inlineStr">
        <is>
          <t>ÖSTERGÖTLANDS LÄN</t>
        </is>
      </c>
      <c r="E3692" t="inlineStr">
        <is>
          <t>YDRE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55119-2021</t>
        </is>
      </c>
      <c r="B3693" s="1" t="n">
        <v>44474</v>
      </c>
      <c r="C3693" s="1" t="n">
        <v>45710</v>
      </c>
      <c r="D3693" t="inlineStr">
        <is>
          <t>ÖSTERGÖTLANDS LÄN</t>
        </is>
      </c>
      <c r="E3693" t="inlineStr">
        <is>
          <t>MOTALA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55494-2021</t>
        </is>
      </c>
      <c r="B3694" s="1" t="n">
        <v>44475</v>
      </c>
      <c r="C3694" s="1" t="n">
        <v>45710</v>
      </c>
      <c r="D3694" t="inlineStr">
        <is>
          <t>ÖSTERGÖTLANDS LÄN</t>
        </is>
      </c>
      <c r="E3694" t="inlineStr">
        <is>
          <t>NORRKÖPING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55345-2021</t>
        </is>
      </c>
      <c r="B3695" s="1" t="n">
        <v>44475</v>
      </c>
      <c r="C3695" s="1" t="n">
        <v>45710</v>
      </c>
      <c r="D3695" t="inlineStr">
        <is>
          <t>ÖSTERGÖTLANDS LÄN</t>
        </is>
      </c>
      <c r="E3695" t="inlineStr">
        <is>
          <t>LINKÖPING</t>
        </is>
      </c>
      <c r="G3695" t="n">
        <v>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55493-2021</t>
        </is>
      </c>
      <c r="B3696" s="1" t="n">
        <v>44475</v>
      </c>
      <c r="C3696" s="1" t="n">
        <v>45710</v>
      </c>
      <c r="D3696" t="inlineStr">
        <is>
          <t>ÖSTERGÖTLANDS LÄN</t>
        </is>
      </c>
      <c r="E3696" t="inlineStr">
        <is>
          <t>LINKÖPING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55412-2021</t>
        </is>
      </c>
      <c r="B3697" s="1" t="n">
        <v>44475</v>
      </c>
      <c r="C3697" s="1" t="n">
        <v>45710</v>
      </c>
      <c r="D3697" t="inlineStr">
        <is>
          <t>ÖSTERGÖTLANDS LÄN</t>
        </is>
      </c>
      <c r="E3697" t="inlineStr">
        <is>
          <t>NORRKÖPING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55429-2021</t>
        </is>
      </c>
      <c r="B3698" s="1" t="n">
        <v>44475</v>
      </c>
      <c r="C3698" s="1" t="n">
        <v>45710</v>
      </c>
      <c r="D3698" t="inlineStr">
        <is>
          <t>ÖSTERGÖTLANDS LÄN</t>
        </is>
      </c>
      <c r="E3698" t="inlineStr">
        <is>
          <t>NORRKÖPING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55441-2021</t>
        </is>
      </c>
      <c r="B3699" s="1" t="n">
        <v>44475</v>
      </c>
      <c r="C3699" s="1" t="n">
        <v>45710</v>
      </c>
      <c r="D3699" t="inlineStr">
        <is>
          <t>ÖSTERGÖTLANDS LÄN</t>
        </is>
      </c>
      <c r="E3699" t="inlineStr">
        <is>
          <t>MOTALA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55574-2021</t>
        </is>
      </c>
      <c r="B3700" s="1" t="n">
        <v>44475</v>
      </c>
      <c r="C3700" s="1" t="n">
        <v>45710</v>
      </c>
      <c r="D3700" t="inlineStr">
        <is>
          <t>ÖSTERGÖTLANDS LÄN</t>
        </is>
      </c>
      <c r="E3700" t="inlineStr">
        <is>
          <t>FINSPÅNG</t>
        </is>
      </c>
      <c r="F3700" t="inlineStr">
        <is>
          <t>Övriga Aktiebolag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55620-2021</t>
        </is>
      </c>
      <c r="B3701" s="1" t="n">
        <v>44476</v>
      </c>
      <c r="C3701" s="1" t="n">
        <v>45710</v>
      </c>
      <c r="D3701" t="inlineStr">
        <is>
          <t>ÖSTERGÖTLANDS LÄN</t>
        </is>
      </c>
      <c r="E3701" t="inlineStr">
        <is>
          <t>FINSPÅNG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55759-2021</t>
        </is>
      </c>
      <c r="B3702" s="1" t="n">
        <v>44476</v>
      </c>
      <c r="C3702" s="1" t="n">
        <v>45710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55612-2021</t>
        </is>
      </c>
      <c r="B3703" s="1" t="n">
        <v>44476</v>
      </c>
      <c r="C3703" s="1" t="n">
        <v>45710</v>
      </c>
      <c r="D3703" t="inlineStr">
        <is>
          <t>ÖSTERGÖTLANDS LÄN</t>
        </is>
      </c>
      <c r="E3703" t="inlineStr">
        <is>
          <t>FINSPÅNG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55815-2021</t>
        </is>
      </c>
      <c r="B3704" s="1" t="n">
        <v>44476</v>
      </c>
      <c r="C3704" s="1" t="n">
        <v>45710</v>
      </c>
      <c r="D3704" t="inlineStr">
        <is>
          <t>ÖSTERGÖTLANDS LÄN</t>
        </is>
      </c>
      <c r="E3704" t="inlineStr">
        <is>
          <t>FINSPÅNG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55761-2021</t>
        </is>
      </c>
      <c r="B3705" s="1" t="n">
        <v>44476</v>
      </c>
      <c r="C3705" s="1" t="n">
        <v>45710</v>
      </c>
      <c r="D3705" t="inlineStr">
        <is>
          <t>ÖSTERGÖTLANDS LÄN</t>
        </is>
      </c>
      <c r="E3705" t="inlineStr">
        <is>
          <t>YDRE</t>
        </is>
      </c>
      <c r="F3705" t="inlineStr">
        <is>
          <t>Sveaskog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55614-2021</t>
        </is>
      </c>
      <c r="B3706" s="1" t="n">
        <v>44476</v>
      </c>
      <c r="C3706" s="1" t="n">
        <v>45710</v>
      </c>
      <c r="D3706" t="inlineStr">
        <is>
          <t>ÖSTERGÖTLANDS LÄN</t>
        </is>
      </c>
      <c r="E3706" t="inlineStr">
        <is>
          <t>YDRE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55731-2021</t>
        </is>
      </c>
      <c r="B3707" s="1" t="n">
        <v>44476</v>
      </c>
      <c r="C3707" s="1" t="n">
        <v>45710</v>
      </c>
      <c r="D3707" t="inlineStr">
        <is>
          <t>ÖSTERGÖTLANDS LÄN</t>
        </is>
      </c>
      <c r="E3707" t="inlineStr">
        <is>
          <t>FINSPÅNG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55744-2021</t>
        </is>
      </c>
      <c r="B3708" s="1" t="n">
        <v>44476</v>
      </c>
      <c r="C3708" s="1" t="n">
        <v>45710</v>
      </c>
      <c r="D3708" t="inlineStr">
        <is>
          <t>ÖSTERGÖTLANDS LÄN</t>
        </is>
      </c>
      <c r="E3708" t="inlineStr">
        <is>
          <t>FINSPÅNG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55845-2021</t>
        </is>
      </c>
      <c r="B3709" s="1" t="n">
        <v>44476</v>
      </c>
      <c r="C3709" s="1" t="n">
        <v>45710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55860-2021</t>
        </is>
      </c>
      <c r="B3710" s="1" t="n">
        <v>44476</v>
      </c>
      <c r="C3710" s="1" t="n">
        <v>45710</v>
      </c>
      <c r="D3710" t="inlineStr">
        <is>
          <t>ÖSTERGÖTLANDS LÄN</t>
        </is>
      </c>
      <c r="E3710" t="inlineStr">
        <is>
          <t>LINKÖPING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55812-2021</t>
        </is>
      </c>
      <c r="B3711" s="1" t="n">
        <v>44476</v>
      </c>
      <c r="C3711" s="1" t="n">
        <v>45710</v>
      </c>
      <c r="D3711" t="inlineStr">
        <is>
          <t>ÖSTERGÖTLANDS LÄN</t>
        </is>
      </c>
      <c r="E3711" t="inlineStr">
        <is>
          <t>FINSPÅNG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55844-2021</t>
        </is>
      </c>
      <c r="B3712" s="1" t="n">
        <v>44476</v>
      </c>
      <c r="C3712" s="1" t="n">
        <v>45710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56425-2021</t>
        </is>
      </c>
      <c r="B3713" s="1" t="n">
        <v>44477</v>
      </c>
      <c r="C3713" s="1" t="n">
        <v>45710</v>
      </c>
      <c r="D3713" t="inlineStr">
        <is>
          <t>ÖSTERGÖTLANDS LÄN</t>
        </is>
      </c>
      <c r="E3713" t="inlineStr">
        <is>
          <t>BOXHOLM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56341-2021</t>
        </is>
      </c>
      <c r="B3714" s="1" t="n">
        <v>44477</v>
      </c>
      <c r="C3714" s="1" t="n">
        <v>45710</v>
      </c>
      <c r="D3714" t="inlineStr">
        <is>
          <t>ÖSTERGÖTLANDS LÄN</t>
        </is>
      </c>
      <c r="E3714" t="inlineStr">
        <is>
          <t>YDRE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56423-2021</t>
        </is>
      </c>
      <c r="B3715" s="1" t="n">
        <v>44477</v>
      </c>
      <c r="C3715" s="1" t="n">
        <v>45710</v>
      </c>
      <c r="D3715" t="inlineStr">
        <is>
          <t>ÖSTERGÖTLANDS LÄN</t>
        </is>
      </c>
      <c r="E3715" t="inlineStr">
        <is>
          <t>BOXHOLM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56239-2021</t>
        </is>
      </c>
      <c r="B3716" s="1" t="n">
        <v>44478</v>
      </c>
      <c r="C3716" s="1" t="n">
        <v>45710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Övriga Aktiebolag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56241-2021</t>
        </is>
      </c>
      <c r="B3717" s="1" t="n">
        <v>44478</v>
      </c>
      <c r="C3717" s="1" t="n">
        <v>45710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Övriga Aktiebolag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56240-2021</t>
        </is>
      </c>
      <c r="B3718" s="1" t="n">
        <v>44478</v>
      </c>
      <c r="C3718" s="1" t="n">
        <v>45710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56242-2021</t>
        </is>
      </c>
      <c r="B3719" s="1" t="n">
        <v>44478</v>
      </c>
      <c r="C3719" s="1" t="n">
        <v>45710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56256-2021</t>
        </is>
      </c>
      <c r="B3720" s="1" t="n">
        <v>44479</v>
      </c>
      <c r="C3720" s="1" t="n">
        <v>45710</v>
      </c>
      <c r="D3720" t="inlineStr">
        <is>
          <t>ÖSTERGÖTLANDS LÄN</t>
        </is>
      </c>
      <c r="E3720" t="inlineStr">
        <is>
          <t>ÅTVIDABERG</t>
        </is>
      </c>
      <c r="F3720" t="inlineStr">
        <is>
          <t>Övriga Aktiebolag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56270-2021</t>
        </is>
      </c>
      <c r="B3721" s="1" t="n">
        <v>44479</v>
      </c>
      <c r="C3721" s="1" t="n">
        <v>45710</v>
      </c>
      <c r="D3721" t="inlineStr">
        <is>
          <t>ÖSTERGÖTLANDS LÄN</t>
        </is>
      </c>
      <c r="E3721" t="inlineStr">
        <is>
          <t>ÅTVIDABERG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56262-2021</t>
        </is>
      </c>
      <c r="B3722" s="1" t="n">
        <v>44479</v>
      </c>
      <c r="C3722" s="1" t="n">
        <v>45710</v>
      </c>
      <c r="D3722" t="inlineStr">
        <is>
          <t>ÖSTERGÖTLANDS LÄN</t>
        </is>
      </c>
      <c r="E3722" t="inlineStr">
        <is>
          <t>ÅTVIDABERG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56255-2021</t>
        </is>
      </c>
      <c r="B3723" s="1" t="n">
        <v>44479</v>
      </c>
      <c r="C3723" s="1" t="n">
        <v>45710</v>
      </c>
      <c r="D3723" t="inlineStr">
        <is>
          <t>ÖSTERGÖTLANDS LÄN</t>
        </is>
      </c>
      <c r="E3723" t="inlineStr">
        <is>
          <t>ÅTVIDABERG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56313-2021</t>
        </is>
      </c>
      <c r="B3724" s="1" t="n">
        <v>44480</v>
      </c>
      <c r="C3724" s="1" t="n">
        <v>45710</v>
      </c>
      <c r="D3724" t="inlineStr">
        <is>
          <t>ÖSTERGÖTLANDS LÄN</t>
        </is>
      </c>
      <c r="E3724" t="inlineStr">
        <is>
          <t>YDRE</t>
        </is>
      </c>
      <c r="F3724" t="inlineStr">
        <is>
          <t>Sveaskog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56317-2021</t>
        </is>
      </c>
      <c r="B3725" s="1" t="n">
        <v>44480</v>
      </c>
      <c r="C3725" s="1" t="n">
        <v>45710</v>
      </c>
      <c r="D3725" t="inlineStr">
        <is>
          <t>ÖSTERGÖTLANDS LÄN</t>
        </is>
      </c>
      <c r="E3725" t="inlineStr">
        <is>
          <t>KINDA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56458-2021</t>
        </is>
      </c>
      <c r="B3726" s="1" t="n">
        <v>44480</v>
      </c>
      <c r="C3726" s="1" t="n">
        <v>45710</v>
      </c>
      <c r="D3726" t="inlineStr">
        <is>
          <t>ÖSTERGÖTLANDS LÄN</t>
        </is>
      </c>
      <c r="E3726" t="inlineStr">
        <is>
          <t>MJÖLBY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56323-2021</t>
        </is>
      </c>
      <c r="B3727" s="1" t="n">
        <v>44480</v>
      </c>
      <c r="C3727" s="1" t="n">
        <v>45710</v>
      </c>
      <c r="D3727" t="inlineStr">
        <is>
          <t>ÖSTERGÖTLANDS LÄN</t>
        </is>
      </c>
      <c r="E3727" t="inlineStr">
        <is>
          <t>YDRE</t>
        </is>
      </c>
      <c r="F3727" t="inlineStr">
        <is>
          <t>Sveaskog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  <c r="U3727">
        <f>HYPERLINK("https://klasma.github.io/Logging_0512/knärot/A 56323-2021 karta knärot.png", "A 56323-2021")</f>
        <v/>
      </c>
      <c r="V3727">
        <f>HYPERLINK("https://klasma.github.io/Logging_0512/klagomål/A 56323-2021 FSC-klagomål.docx", "A 56323-2021")</f>
        <v/>
      </c>
      <c r="W3727">
        <f>HYPERLINK("https://klasma.github.io/Logging_0512/klagomålsmail/A 56323-2021 FSC-klagomål mail.docx", "A 56323-2021")</f>
        <v/>
      </c>
      <c r="X3727">
        <f>HYPERLINK("https://klasma.github.io/Logging_0512/tillsyn/A 56323-2021 tillsynsbegäran.docx", "A 56323-2021")</f>
        <v/>
      </c>
      <c r="Y3727">
        <f>HYPERLINK("https://klasma.github.io/Logging_0512/tillsynsmail/A 56323-2021 tillsynsbegäran mail.docx", "A 56323-2021")</f>
        <v/>
      </c>
    </row>
    <row r="3728" ht="15" customHeight="1">
      <c r="A3728" t="inlineStr">
        <is>
          <t>A 56581-2021</t>
        </is>
      </c>
      <c r="B3728" s="1" t="n">
        <v>44480</v>
      </c>
      <c r="C3728" s="1" t="n">
        <v>45710</v>
      </c>
      <c r="D3728" t="inlineStr">
        <is>
          <t>ÖSTERGÖTLANDS LÄN</t>
        </is>
      </c>
      <c r="E3728" t="inlineStr">
        <is>
          <t>VALDEMARSVIK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56606-2021</t>
        </is>
      </c>
      <c r="B3729" s="1" t="n">
        <v>44480</v>
      </c>
      <c r="C3729" s="1" t="n">
        <v>45710</v>
      </c>
      <c r="D3729" t="inlineStr">
        <is>
          <t>ÖSTERGÖTLANDS LÄN</t>
        </is>
      </c>
      <c r="E3729" t="inlineStr">
        <is>
          <t>YDRE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56587-2021</t>
        </is>
      </c>
      <c r="B3730" s="1" t="n">
        <v>44480</v>
      </c>
      <c r="C3730" s="1" t="n">
        <v>45710</v>
      </c>
      <c r="D3730" t="inlineStr">
        <is>
          <t>ÖSTERGÖTLANDS LÄN</t>
        </is>
      </c>
      <c r="E3730" t="inlineStr">
        <is>
          <t>SÖDERKÖPING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56603-2021</t>
        </is>
      </c>
      <c r="B3731" s="1" t="n">
        <v>44480</v>
      </c>
      <c r="C3731" s="1" t="n">
        <v>45710</v>
      </c>
      <c r="D3731" t="inlineStr">
        <is>
          <t>ÖSTERGÖTLANDS LÄN</t>
        </is>
      </c>
      <c r="E3731" t="inlineStr">
        <is>
          <t>FINSPÅNG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56678-2021</t>
        </is>
      </c>
      <c r="B3732" s="1" t="n">
        <v>44481</v>
      </c>
      <c r="C3732" s="1" t="n">
        <v>45710</v>
      </c>
      <c r="D3732" t="inlineStr">
        <is>
          <t>ÖSTERGÖTLANDS LÄN</t>
        </is>
      </c>
      <c r="E3732" t="inlineStr">
        <is>
          <t>SÖDERKÖPING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56725-2021</t>
        </is>
      </c>
      <c r="B3733" s="1" t="n">
        <v>44481</v>
      </c>
      <c r="C3733" s="1" t="n">
        <v>45710</v>
      </c>
      <c r="D3733" t="inlineStr">
        <is>
          <t>ÖSTERGÖTLANDS LÄN</t>
        </is>
      </c>
      <c r="E3733" t="inlineStr">
        <is>
          <t>KINDA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56800-2021</t>
        </is>
      </c>
      <c r="B3734" s="1" t="n">
        <v>44481</v>
      </c>
      <c r="C3734" s="1" t="n">
        <v>45710</v>
      </c>
      <c r="D3734" t="inlineStr">
        <is>
          <t>ÖSTERGÖTLANDS LÄN</t>
        </is>
      </c>
      <c r="E3734" t="inlineStr">
        <is>
          <t>BOXHOLM</t>
        </is>
      </c>
      <c r="F3734" t="inlineStr">
        <is>
          <t>Övriga Aktiebolag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56727-2021</t>
        </is>
      </c>
      <c r="B3735" s="1" t="n">
        <v>44481</v>
      </c>
      <c r="C3735" s="1" t="n">
        <v>45710</v>
      </c>
      <c r="D3735" t="inlineStr">
        <is>
          <t>ÖSTERGÖTLANDS LÄN</t>
        </is>
      </c>
      <c r="E3735" t="inlineStr">
        <is>
          <t>FINSPÅNG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56670-2021</t>
        </is>
      </c>
      <c r="B3736" s="1" t="n">
        <v>44481</v>
      </c>
      <c r="C3736" s="1" t="n">
        <v>45710</v>
      </c>
      <c r="D3736" t="inlineStr">
        <is>
          <t>ÖSTERGÖTLANDS LÄN</t>
        </is>
      </c>
      <c r="E3736" t="inlineStr">
        <is>
          <t>SÖDERKÖPING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56688-2021</t>
        </is>
      </c>
      <c r="B3737" s="1" t="n">
        <v>44481</v>
      </c>
      <c r="C3737" s="1" t="n">
        <v>45710</v>
      </c>
      <c r="D3737" t="inlineStr">
        <is>
          <t>ÖSTERGÖTLANDS LÄN</t>
        </is>
      </c>
      <c r="E3737" t="inlineStr">
        <is>
          <t>LINKÖPING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56883-2021</t>
        </is>
      </c>
      <c r="B3738" s="1" t="n">
        <v>44481</v>
      </c>
      <c r="C3738" s="1" t="n">
        <v>45710</v>
      </c>
      <c r="D3738" t="inlineStr">
        <is>
          <t>ÖSTERGÖTLANDS LÄN</t>
        </is>
      </c>
      <c r="E3738" t="inlineStr">
        <is>
          <t>FINSPÅNG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56794-2021</t>
        </is>
      </c>
      <c r="B3739" s="1" t="n">
        <v>44481</v>
      </c>
      <c r="C3739" s="1" t="n">
        <v>45710</v>
      </c>
      <c r="D3739" t="inlineStr">
        <is>
          <t>ÖSTERGÖTLANDS LÄN</t>
        </is>
      </c>
      <c r="E3739" t="inlineStr">
        <is>
          <t>BOXHOLM</t>
        </is>
      </c>
      <c r="F3739" t="inlineStr">
        <is>
          <t>Övriga Aktiebolag</t>
        </is>
      </c>
      <c r="G3739" t="n">
        <v>6.1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56969-2021</t>
        </is>
      </c>
      <c r="B3740" s="1" t="n">
        <v>44482</v>
      </c>
      <c r="C3740" s="1" t="n">
        <v>45710</v>
      </c>
      <c r="D3740" t="inlineStr">
        <is>
          <t>ÖSTERGÖTLANDS LÄN</t>
        </is>
      </c>
      <c r="E3740" t="inlineStr">
        <is>
          <t>FINSPÅNG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57009-2021</t>
        </is>
      </c>
      <c r="B3741" s="1" t="n">
        <v>44482</v>
      </c>
      <c r="C3741" s="1" t="n">
        <v>45710</v>
      </c>
      <c r="D3741" t="inlineStr">
        <is>
          <t>ÖSTERGÖTLANDS LÄN</t>
        </is>
      </c>
      <c r="E3741" t="inlineStr">
        <is>
          <t>FINSPÅNG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57008-2021</t>
        </is>
      </c>
      <c r="B3742" s="1" t="n">
        <v>44482</v>
      </c>
      <c r="C3742" s="1" t="n">
        <v>45710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57148-2021</t>
        </is>
      </c>
      <c r="B3743" s="1" t="n">
        <v>44482</v>
      </c>
      <c r="C3743" s="1" t="n">
        <v>45710</v>
      </c>
      <c r="D3743" t="inlineStr">
        <is>
          <t>ÖSTERGÖTLANDS LÄN</t>
        </is>
      </c>
      <c r="E3743" t="inlineStr">
        <is>
          <t>FINSPÅNG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  <c r="U3743">
        <f>HYPERLINK("https://klasma.github.io/Logging_0562/knärot/A 57148-2021 karta knärot.png", "A 57148-2021")</f>
        <v/>
      </c>
      <c r="V3743">
        <f>HYPERLINK("https://klasma.github.io/Logging_0562/klagomål/A 57148-2021 FSC-klagomål.docx", "A 57148-2021")</f>
        <v/>
      </c>
      <c r="W3743">
        <f>HYPERLINK("https://klasma.github.io/Logging_0562/klagomålsmail/A 57148-2021 FSC-klagomål mail.docx", "A 57148-2021")</f>
        <v/>
      </c>
      <c r="X3743">
        <f>HYPERLINK("https://klasma.github.io/Logging_0562/tillsyn/A 57148-2021 tillsynsbegäran.docx", "A 57148-2021")</f>
        <v/>
      </c>
      <c r="Y3743">
        <f>HYPERLINK("https://klasma.github.io/Logging_0562/tillsynsmail/A 57148-2021 tillsynsbegäran mail.docx", "A 57148-2021")</f>
        <v/>
      </c>
    </row>
    <row r="3744" ht="15" customHeight="1">
      <c r="A3744" t="inlineStr">
        <is>
          <t>A 57144-2021</t>
        </is>
      </c>
      <c r="B3744" s="1" t="n">
        <v>44482</v>
      </c>
      <c r="C3744" s="1" t="n">
        <v>45710</v>
      </c>
      <c r="D3744" t="inlineStr">
        <is>
          <t>ÖSTERGÖTLANDS LÄN</t>
        </is>
      </c>
      <c r="E3744" t="inlineStr">
        <is>
          <t>FINSPÅNG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57282-2021</t>
        </is>
      </c>
      <c r="B3745" s="1" t="n">
        <v>44483</v>
      </c>
      <c r="C3745" s="1" t="n">
        <v>45710</v>
      </c>
      <c r="D3745" t="inlineStr">
        <is>
          <t>ÖSTERGÖTLANDS LÄN</t>
        </is>
      </c>
      <c r="E3745" t="inlineStr">
        <is>
          <t>YDRE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57396-2021</t>
        </is>
      </c>
      <c r="B3746" s="1" t="n">
        <v>44483</v>
      </c>
      <c r="C3746" s="1" t="n">
        <v>45710</v>
      </c>
      <c r="D3746" t="inlineStr">
        <is>
          <t>ÖSTERGÖTLANDS LÄN</t>
        </is>
      </c>
      <c r="E3746" t="inlineStr">
        <is>
          <t>LINKÖPING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57290-2021</t>
        </is>
      </c>
      <c r="B3747" s="1" t="n">
        <v>44483</v>
      </c>
      <c r="C3747" s="1" t="n">
        <v>45710</v>
      </c>
      <c r="D3747" t="inlineStr">
        <is>
          <t>ÖSTERGÖTLANDS LÄN</t>
        </is>
      </c>
      <c r="E3747" t="inlineStr">
        <is>
          <t>YDRE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57449-2021</t>
        </is>
      </c>
      <c r="B3748" s="1" t="n">
        <v>44483</v>
      </c>
      <c r="C3748" s="1" t="n">
        <v>45710</v>
      </c>
      <c r="D3748" t="inlineStr">
        <is>
          <t>ÖSTERGÖTLANDS LÄN</t>
        </is>
      </c>
      <c r="E3748" t="inlineStr">
        <is>
          <t>KINDA</t>
        </is>
      </c>
      <c r="G3748" t="n">
        <v>5.3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57455-2021</t>
        </is>
      </c>
      <c r="B3749" s="1" t="n">
        <v>44483</v>
      </c>
      <c r="C3749" s="1" t="n">
        <v>45710</v>
      </c>
      <c r="D3749" t="inlineStr">
        <is>
          <t>ÖSTERGÖTLANDS LÄN</t>
        </is>
      </c>
      <c r="E3749" t="inlineStr">
        <is>
          <t>KINDA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57457-2021</t>
        </is>
      </c>
      <c r="B3750" s="1" t="n">
        <v>44483</v>
      </c>
      <c r="C3750" s="1" t="n">
        <v>45710</v>
      </c>
      <c r="D3750" t="inlineStr">
        <is>
          <t>ÖSTERGÖTLANDS LÄN</t>
        </is>
      </c>
      <c r="E3750" t="inlineStr">
        <is>
          <t>KINDA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57497-2021</t>
        </is>
      </c>
      <c r="B3751" s="1" t="n">
        <v>44483</v>
      </c>
      <c r="C3751" s="1" t="n">
        <v>45710</v>
      </c>
      <c r="D3751" t="inlineStr">
        <is>
          <t>ÖSTERGÖTLANDS LÄN</t>
        </is>
      </c>
      <c r="E3751" t="inlineStr">
        <is>
          <t>KINDA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57496-2021</t>
        </is>
      </c>
      <c r="B3752" s="1" t="n">
        <v>44483</v>
      </c>
      <c r="C3752" s="1" t="n">
        <v>45710</v>
      </c>
      <c r="D3752" t="inlineStr">
        <is>
          <t>ÖSTERGÖTLANDS LÄN</t>
        </is>
      </c>
      <c r="E3752" t="inlineStr">
        <is>
          <t>KINDA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57690-2021</t>
        </is>
      </c>
      <c r="B3753" s="1" t="n">
        <v>44484</v>
      </c>
      <c r="C3753" s="1" t="n">
        <v>45710</v>
      </c>
      <c r="D3753" t="inlineStr">
        <is>
          <t>ÖSTERGÖTLANDS LÄN</t>
        </is>
      </c>
      <c r="E3753" t="inlineStr">
        <is>
          <t>KINDA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57657-2021</t>
        </is>
      </c>
      <c r="B3754" s="1" t="n">
        <v>44484</v>
      </c>
      <c r="C3754" s="1" t="n">
        <v>45710</v>
      </c>
      <c r="D3754" t="inlineStr">
        <is>
          <t>ÖSTERGÖTLANDS LÄN</t>
        </is>
      </c>
      <c r="E3754" t="inlineStr">
        <is>
          <t>KINDA</t>
        </is>
      </c>
      <c r="G3754" t="n">
        <v>5.7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57694-2021</t>
        </is>
      </c>
      <c r="B3755" s="1" t="n">
        <v>44484</v>
      </c>
      <c r="C3755" s="1" t="n">
        <v>45710</v>
      </c>
      <c r="D3755" t="inlineStr">
        <is>
          <t>ÖSTERGÖTLANDS LÄN</t>
        </is>
      </c>
      <c r="E3755" t="inlineStr">
        <is>
          <t>LINKÖPING</t>
        </is>
      </c>
      <c r="F3755" t="inlineStr">
        <is>
          <t>Allmännings- och besparingsskogar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57745-2021</t>
        </is>
      </c>
      <c r="B3756" s="1" t="n">
        <v>44484</v>
      </c>
      <c r="C3756" s="1" t="n">
        <v>45710</v>
      </c>
      <c r="D3756" t="inlineStr">
        <is>
          <t>ÖSTERGÖTLANDS LÄN</t>
        </is>
      </c>
      <c r="E3756" t="inlineStr">
        <is>
          <t>SÖDERKÖPING</t>
        </is>
      </c>
      <c r="F3756" t="inlineStr">
        <is>
          <t>Allmännings- och besparingsskogar</t>
        </is>
      </c>
      <c r="G3756" t="n">
        <v>16.7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57841-2021</t>
        </is>
      </c>
      <c r="B3757" s="1" t="n">
        <v>44484</v>
      </c>
      <c r="C3757" s="1" t="n">
        <v>45710</v>
      </c>
      <c r="D3757" t="inlineStr">
        <is>
          <t>ÖSTERGÖTLANDS LÄN</t>
        </is>
      </c>
      <c r="E3757" t="inlineStr">
        <is>
          <t>MOTALA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57750-2021</t>
        </is>
      </c>
      <c r="B3758" s="1" t="n">
        <v>44484</v>
      </c>
      <c r="C3758" s="1" t="n">
        <v>45710</v>
      </c>
      <c r="D3758" t="inlineStr">
        <is>
          <t>ÖSTERGÖTLANDS LÄN</t>
        </is>
      </c>
      <c r="E3758" t="inlineStr">
        <is>
          <t>VADSTENA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57950-2021</t>
        </is>
      </c>
      <c r="B3759" s="1" t="n">
        <v>44484</v>
      </c>
      <c r="C3759" s="1" t="n">
        <v>45710</v>
      </c>
      <c r="D3759" t="inlineStr">
        <is>
          <t>ÖSTERGÖTLANDS LÄN</t>
        </is>
      </c>
      <c r="E3759" t="inlineStr">
        <is>
          <t>KINDA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57900-2021</t>
        </is>
      </c>
      <c r="B3760" s="1" t="n">
        <v>44486</v>
      </c>
      <c r="C3760" s="1" t="n">
        <v>45710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Aktiebolag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57894-2021</t>
        </is>
      </c>
      <c r="B3761" s="1" t="n">
        <v>44486</v>
      </c>
      <c r="C3761" s="1" t="n">
        <v>45710</v>
      </c>
      <c r="D3761" t="inlineStr">
        <is>
          <t>ÖSTERGÖTLANDS LÄN</t>
        </is>
      </c>
      <c r="E3761" t="inlineStr">
        <is>
          <t>KINDA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58100-2021</t>
        </is>
      </c>
      <c r="B3762" s="1" t="n">
        <v>44487</v>
      </c>
      <c r="C3762" s="1" t="n">
        <v>45710</v>
      </c>
      <c r="D3762" t="inlineStr">
        <is>
          <t>ÖSTERGÖTLANDS LÄN</t>
        </is>
      </c>
      <c r="E3762" t="inlineStr">
        <is>
          <t>VALDEMARSVIK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57981-2021</t>
        </is>
      </c>
      <c r="B3763" s="1" t="n">
        <v>44487</v>
      </c>
      <c r="C3763" s="1" t="n">
        <v>45710</v>
      </c>
      <c r="D3763" t="inlineStr">
        <is>
          <t>ÖSTERGÖTLANDS LÄN</t>
        </is>
      </c>
      <c r="E3763" t="inlineStr">
        <is>
          <t>MOTALA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57992-2021</t>
        </is>
      </c>
      <c r="B3764" s="1" t="n">
        <v>44487</v>
      </c>
      <c r="C3764" s="1" t="n">
        <v>45710</v>
      </c>
      <c r="D3764" t="inlineStr">
        <is>
          <t>ÖSTERGÖTLANDS LÄN</t>
        </is>
      </c>
      <c r="E3764" t="inlineStr">
        <is>
          <t>MOTALA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58052-2021</t>
        </is>
      </c>
      <c r="B3765" s="1" t="n">
        <v>44487</v>
      </c>
      <c r="C3765" s="1" t="n">
        <v>45710</v>
      </c>
      <c r="D3765" t="inlineStr">
        <is>
          <t>ÖSTERGÖTLANDS LÄN</t>
        </is>
      </c>
      <c r="E3765" t="inlineStr">
        <is>
          <t>ÖDESHÖG</t>
        </is>
      </c>
      <c r="F3765" t="inlineStr">
        <is>
          <t>Sveaskog</t>
        </is>
      </c>
      <c r="G3765" t="n">
        <v>4.3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58114-2021</t>
        </is>
      </c>
      <c r="B3766" s="1" t="n">
        <v>44487</v>
      </c>
      <c r="C3766" s="1" t="n">
        <v>45710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Aktiebolag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58199-2021</t>
        </is>
      </c>
      <c r="B3767" s="1" t="n">
        <v>44487</v>
      </c>
      <c r="C3767" s="1" t="n">
        <v>45710</v>
      </c>
      <c r="D3767" t="inlineStr">
        <is>
          <t>ÖSTERGÖTLANDS LÄN</t>
        </is>
      </c>
      <c r="E3767" t="inlineStr">
        <is>
          <t>KINDA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58258-2021</t>
        </is>
      </c>
      <c r="B3768" s="1" t="n">
        <v>44487</v>
      </c>
      <c r="C3768" s="1" t="n">
        <v>45710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Aktiebolag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58287-2021</t>
        </is>
      </c>
      <c r="B3769" s="1" t="n">
        <v>44487</v>
      </c>
      <c r="C3769" s="1" t="n">
        <v>45710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58266-2021</t>
        </is>
      </c>
      <c r="B3770" s="1" t="n">
        <v>44487</v>
      </c>
      <c r="C3770" s="1" t="n">
        <v>45710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3.2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58415-2021</t>
        </is>
      </c>
      <c r="B3771" s="1" t="n">
        <v>44488</v>
      </c>
      <c r="C3771" s="1" t="n">
        <v>45710</v>
      </c>
      <c r="D3771" t="inlineStr">
        <is>
          <t>ÖSTERGÖTLANDS LÄN</t>
        </is>
      </c>
      <c r="E3771" t="inlineStr">
        <is>
          <t>MJÖLBY</t>
        </is>
      </c>
      <c r="G3771" t="n">
        <v>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58407-2021</t>
        </is>
      </c>
      <c r="B3772" s="1" t="n">
        <v>44488</v>
      </c>
      <c r="C3772" s="1" t="n">
        <v>45710</v>
      </c>
      <c r="D3772" t="inlineStr">
        <is>
          <t>ÖSTERGÖTLANDS LÄN</t>
        </is>
      </c>
      <c r="E3772" t="inlineStr">
        <is>
          <t>LINKÖPING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58525-2021</t>
        </is>
      </c>
      <c r="B3773" s="1" t="n">
        <v>44488</v>
      </c>
      <c r="C3773" s="1" t="n">
        <v>45710</v>
      </c>
      <c r="D3773" t="inlineStr">
        <is>
          <t>ÖSTERGÖTLANDS LÄN</t>
        </is>
      </c>
      <c r="E3773" t="inlineStr">
        <is>
          <t>NORRKÖPING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58474-2021</t>
        </is>
      </c>
      <c r="B3774" s="1" t="n">
        <v>44488</v>
      </c>
      <c r="C3774" s="1" t="n">
        <v>45710</v>
      </c>
      <c r="D3774" t="inlineStr">
        <is>
          <t>ÖSTERGÖTLANDS LÄN</t>
        </is>
      </c>
      <c r="E3774" t="inlineStr">
        <is>
          <t>BOXHOLM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58472-2021</t>
        </is>
      </c>
      <c r="B3775" s="1" t="n">
        <v>44488</v>
      </c>
      <c r="C3775" s="1" t="n">
        <v>45710</v>
      </c>
      <c r="D3775" t="inlineStr">
        <is>
          <t>ÖSTERGÖTLANDS LÄN</t>
        </is>
      </c>
      <c r="E3775" t="inlineStr">
        <is>
          <t>BOXHOLM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58851-2021</t>
        </is>
      </c>
      <c r="B3776" s="1" t="n">
        <v>44489</v>
      </c>
      <c r="C3776" s="1" t="n">
        <v>45710</v>
      </c>
      <c r="D3776" t="inlineStr">
        <is>
          <t>ÖSTERGÖTLANDS LÄN</t>
        </is>
      </c>
      <c r="E3776" t="inlineStr">
        <is>
          <t>FINSPÅNG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58963-2021</t>
        </is>
      </c>
      <c r="B3777" s="1" t="n">
        <v>44490</v>
      </c>
      <c r="C3777" s="1" t="n">
        <v>45710</v>
      </c>
      <c r="D3777" t="inlineStr">
        <is>
          <t>ÖSTERGÖTLANDS LÄN</t>
        </is>
      </c>
      <c r="E3777" t="inlineStr">
        <is>
          <t>ÅTVIDABERG</t>
        </is>
      </c>
      <c r="F3777" t="inlineStr">
        <is>
          <t>Sveaskog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58895-2021</t>
        </is>
      </c>
      <c r="B3778" s="1" t="n">
        <v>44489</v>
      </c>
      <c r="C3778" s="1" t="n">
        <v>45710</v>
      </c>
      <c r="D3778" t="inlineStr">
        <is>
          <t>ÖSTERGÖTLANDS LÄN</t>
        </is>
      </c>
      <c r="E3778" t="inlineStr">
        <is>
          <t>SÖDERKÖPING</t>
        </is>
      </c>
      <c r="G3778" t="n">
        <v>5.2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58791-2021</t>
        </is>
      </c>
      <c r="B3779" s="1" t="n">
        <v>44489</v>
      </c>
      <c r="C3779" s="1" t="n">
        <v>45710</v>
      </c>
      <c r="D3779" t="inlineStr">
        <is>
          <t>ÖSTERGÖTLANDS LÄN</t>
        </is>
      </c>
      <c r="E3779" t="inlineStr">
        <is>
          <t>NORRKÖPING</t>
        </is>
      </c>
      <c r="G3779" t="n">
        <v>3.9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58991-2021</t>
        </is>
      </c>
      <c r="B3780" s="1" t="n">
        <v>44490</v>
      </c>
      <c r="C3780" s="1" t="n">
        <v>45710</v>
      </c>
      <c r="D3780" t="inlineStr">
        <is>
          <t>ÖSTERGÖTLANDS LÄN</t>
        </is>
      </c>
      <c r="E3780" t="inlineStr">
        <is>
          <t>FINSPÅNG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59256-2021</t>
        </is>
      </c>
      <c r="B3781" s="1" t="n">
        <v>44490</v>
      </c>
      <c r="C3781" s="1" t="n">
        <v>45710</v>
      </c>
      <c r="D3781" t="inlineStr">
        <is>
          <t>ÖSTERGÖTLANDS LÄN</t>
        </is>
      </c>
      <c r="E3781" t="inlineStr">
        <is>
          <t>NORRKÖPING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59297-2021</t>
        </is>
      </c>
      <c r="B3782" s="1" t="n">
        <v>44490</v>
      </c>
      <c r="C3782" s="1" t="n">
        <v>45710</v>
      </c>
      <c r="D3782" t="inlineStr">
        <is>
          <t>ÖSTERGÖTLANDS LÄN</t>
        </is>
      </c>
      <c r="E3782" t="inlineStr">
        <is>
          <t>YDRE</t>
        </is>
      </c>
      <c r="G3782" t="n">
        <v>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59278-2021</t>
        </is>
      </c>
      <c r="B3783" s="1" t="n">
        <v>44490</v>
      </c>
      <c r="C3783" s="1" t="n">
        <v>45710</v>
      </c>
      <c r="D3783" t="inlineStr">
        <is>
          <t>ÖSTERGÖTLANDS LÄN</t>
        </is>
      </c>
      <c r="E3783" t="inlineStr">
        <is>
          <t>SÖDERKÖPING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59279-2021</t>
        </is>
      </c>
      <c r="B3784" s="1" t="n">
        <v>44490</v>
      </c>
      <c r="C3784" s="1" t="n">
        <v>45710</v>
      </c>
      <c r="D3784" t="inlineStr">
        <is>
          <t>ÖSTERGÖTLANDS LÄN</t>
        </is>
      </c>
      <c r="E3784" t="inlineStr">
        <is>
          <t>SÖDERKÖPING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59296-2021</t>
        </is>
      </c>
      <c r="B3785" s="1" t="n">
        <v>44490</v>
      </c>
      <c r="C3785" s="1" t="n">
        <v>45710</v>
      </c>
      <c r="D3785" t="inlineStr">
        <is>
          <t>ÖSTERGÖTLANDS LÄN</t>
        </is>
      </c>
      <c r="E3785" t="inlineStr">
        <is>
          <t>YDRE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59410-2021</t>
        </is>
      </c>
      <c r="B3786" s="1" t="n">
        <v>44491</v>
      </c>
      <c r="C3786" s="1" t="n">
        <v>45710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59439-2021</t>
        </is>
      </c>
      <c r="B3787" s="1" t="n">
        <v>44491</v>
      </c>
      <c r="C3787" s="1" t="n">
        <v>45710</v>
      </c>
      <c r="D3787" t="inlineStr">
        <is>
          <t>ÖSTERGÖTLANDS LÄN</t>
        </is>
      </c>
      <c r="E3787" t="inlineStr">
        <is>
          <t>SÖDERKÖPING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59399-2021</t>
        </is>
      </c>
      <c r="B3788" s="1" t="n">
        <v>44491</v>
      </c>
      <c r="C3788" s="1" t="n">
        <v>45710</v>
      </c>
      <c r="D3788" t="inlineStr">
        <is>
          <t>ÖSTERGÖTLANDS LÄN</t>
        </is>
      </c>
      <c r="E3788" t="inlineStr">
        <is>
          <t>VALDEMARSVIK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59437-2021</t>
        </is>
      </c>
      <c r="B3789" s="1" t="n">
        <v>44491</v>
      </c>
      <c r="C3789" s="1" t="n">
        <v>45710</v>
      </c>
      <c r="D3789" t="inlineStr">
        <is>
          <t>ÖSTERGÖTLANDS LÄN</t>
        </is>
      </c>
      <c r="E3789" t="inlineStr">
        <is>
          <t>SÖDERKÖPING</t>
        </is>
      </c>
      <c r="G3789" t="n">
        <v>14.4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59407-2021</t>
        </is>
      </c>
      <c r="B3790" s="1" t="n">
        <v>44491</v>
      </c>
      <c r="C3790" s="1" t="n">
        <v>45710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59415-2021</t>
        </is>
      </c>
      <c r="B3791" s="1" t="n">
        <v>44491</v>
      </c>
      <c r="C3791" s="1" t="n">
        <v>45710</v>
      </c>
      <c r="D3791" t="inlineStr">
        <is>
          <t>ÖSTERGÖTLANDS LÄN</t>
        </is>
      </c>
      <c r="E3791" t="inlineStr">
        <is>
          <t>SÖDERKÖPING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59468-2021</t>
        </is>
      </c>
      <c r="B3792" s="1" t="n">
        <v>44491</v>
      </c>
      <c r="C3792" s="1" t="n">
        <v>45710</v>
      </c>
      <c r="D3792" t="inlineStr">
        <is>
          <t>ÖSTERGÖTLANDS LÄN</t>
        </is>
      </c>
      <c r="E3792" t="inlineStr">
        <is>
          <t>FINSPÅNG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59406-2021</t>
        </is>
      </c>
      <c r="B3793" s="1" t="n">
        <v>44491</v>
      </c>
      <c r="C3793" s="1" t="n">
        <v>45710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59412-2021</t>
        </is>
      </c>
      <c r="B3794" s="1" t="n">
        <v>44491</v>
      </c>
      <c r="C3794" s="1" t="n">
        <v>45710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59543-2021</t>
        </is>
      </c>
      <c r="B3795" s="1" t="n">
        <v>44491</v>
      </c>
      <c r="C3795" s="1" t="n">
        <v>45710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Övriga Aktiebolag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59768-2021</t>
        </is>
      </c>
      <c r="B3796" s="1" t="n">
        <v>44494</v>
      </c>
      <c r="C3796" s="1" t="n">
        <v>45710</v>
      </c>
      <c r="D3796" t="inlineStr">
        <is>
          <t>ÖSTERGÖTLANDS LÄN</t>
        </is>
      </c>
      <c r="E3796" t="inlineStr">
        <is>
          <t>NORRKÖPING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59792-2021</t>
        </is>
      </c>
      <c r="B3797" s="1" t="n">
        <v>44494</v>
      </c>
      <c r="C3797" s="1" t="n">
        <v>45710</v>
      </c>
      <c r="D3797" t="inlineStr">
        <is>
          <t>ÖSTERGÖTLANDS LÄN</t>
        </is>
      </c>
      <c r="E3797" t="inlineStr">
        <is>
          <t>SÖDERKÖPING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59765-2021</t>
        </is>
      </c>
      <c r="B3798" s="1" t="n">
        <v>44494</v>
      </c>
      <c r="C3798" s="1" t="n">
        <v>45710</v>
      </c>
      <c r="D3798" t="inlineStr">
        <is>
          <t>ÖSTERGÖTLANDS LÄN</t>
        </is>
      </c>
      <c r="E3798" t="inlineStr">
        <is>
          <t>NORRKÖPING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59722-2021</t>
        </is>
      </c>
      <c r="B3799" s="1" t="n">
        <v>44494</v>
      </c>
      <c r="C3799" s="1" t="n">
        <v>45710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Sveaskog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59811-2021</t>
        </is>
      </c>
      <c r="B3800" s="1" t="n">
        <v>44494</v>
      </c>
      <c r="C3800" s="1" t="n">
        <v>45710</v>
      </c>
      <c r="D3800" t="inlineStr">
        <is>
          <t>ÖSTERGÖTLANDS LÄN</t>
        </is>
      </c>
      <c r="E3800" t="inlineStr">
        <is>
          <t>FINSPÅNG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59894-2021</t>
        </is>
      </c>
      <c r="B3801" s="1" t="n">
        <v>44494</v>
      </c>
      <c r="C3801" s="1" t="n">
        <v>45710</v>
      </c>
      <c r="D3801" t="inlineStr">
        <is>
          <t>ÖSTERGÖTLANDS LÄN</t>
        </is>
      </c>
      <c r="E3801" t="inlineStr">
        <is>
          <t>FINSPÅNG</t>
        </is>
      </c>
      <c r="G3801" t="n">
        <v>4.8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60029-2021</t>
        </is>
      </c>
      <c r="B3802" s="1" t="n">
        <v>44494</v>
      </c>
      <c r="C3802" s="1" t="n">
        <v>45710</v>
      </c>
      <c r="D3802" t="inlineStr">
        <is>
          <t>ÖSTERGÖTLANDS LÄN</t>
        </is>
      </c>
      <c r="E3802" t="inlineStr">
        <is>
          <t>MOTALA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60160-2021</t>
        </is>
      </c>
      <c r="B3803" s="1" t="n">
        <v>44495</v>
      </c>
      <c r="C3803" s="1" t="n">
        <v>45710</v>
      </c>
      <c r="D3803" t="inlineStr">
        <is>
          <t>ÖSTERGÖTLANDS LÄN</t>
        </is>
      </c>
      <c r="E3803" t="inlineStr">
        <is>
          <t>SÖDERKÖPING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60153-2021</t>
        </is>
      </c>
      <c r="B3804" s="1" t="n">
        <v>44495</v>
      </c>
      <c r="C3804" s="1" t="n">
        <v>45710</v>
      </c>
      <c r="D3804" t="inlineStr">
        <is>
          <t>ÖSTERGÖTLANDS LÄN</t>
        </is>
      </c>
      <c r="E3804" t="inlineStr">
        <is>
          <t>SÖDERKÖPING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60527-2021</t>
        </is>
      </c>
      <c r="B3805" s="1" t="n">
        <v>44495</v>
      </c>
      <c r="C3805" s="1" t="n">
        <v>45710</v>
      </c>
      <c r="D3805" t="inlineStr">
        <is>
          <t>ÖSTERGÖTLANDS LÄN</t>
        </is>
      </c>
      <c r="E3805" t="inlineStr">
        <is>
          <t>ÅTVIDABERG</t>
        </is>
      </c>
      <c r="F3805" t="inlineStr">
        <is>
          <t>Övriga Aktiebolag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60516-2021</t>
        </is>
      </c>
      <c r="B3806" s="1" t="n">
        <v>44495</v>
      </c>
      <c r="C3806" s="1" t="n">
        <v>45710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Övriga Aktiebolag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60639-2021</t>
        </is>
      </c>
      <c r="B3807" s="1" t="n">
        <v>44496</v>
      </c>
      <c r="C3807" s="1" t="n">
        <v>45710</v>
      </c>
      <c r="D3807" t="inlineStr">
        <is>
          <t>ÖSTERGÖTLANDS LÄN</t>
        </is>
      </c>
      <c r="E3807" t="inlineStr">
        <is>
          <t>LINKÖPING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60618-2021</t>
        </is>
      </c>
      <c r="B3808" s="1" t="n">
        <v>44496</v>
      </c>
      <c r="C3808" s="1" t="n">
        <v>45710</v>
      </c>
      <c r="D3808" t="inlineStr">
        <is>
          <t>ÖSTERGÖTLANDS LÄN</t>
        </is>
      </c>
      <c r="E3808" t="inlineStr">
        <is>
          <t>MOTALA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61066-2021</t>
        </is>
      </c>
      <c r="B3809" s="1" t="n">
        <v>44497</v>
      </c>
      <c r="C3809" s="1" t="n">
        <v>45710</v>
      </c>
      <c r="D3809" t="inlineStr">
        <is>
          <t>ÖSTERGÖTLANDS LÄN</t>
        </is>
      </c>
      <c r="E3809" t="inlineStr">
        <is>
          <t>BOXHOLM</t>
        </is>
      </c>
      <c r="G3809" t="n">
        <v>6.9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61156-2021</t>
        </is>
      </c>
      <c r="B3810" s="1" t="n">
        <v>44497</v>
      </c>
      <c r="C3810" s="1" t="n">
        <v>45710</v>
      </c>
      <c r="D3810" t="inlineStr">
        <is>
          <t>ÖSTERGÖTLANDS LÄN</t>
        </is>
      </c>
      <c r="E3810" t="inlineStr">
        <is>
          <t>KINDA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61153-2021</t>
        </is>
      </c>
      <c r="B3811" s="1" t="n">
        <v>44497</v>
      </c>
      <c r="C3811" s="1" t="n">
        <v>45710</v>
      </c>
      <c r="D3811" t="inlineStr">
        <is>
          <t>ÖSTERGÖTLANDS LÄN</t>
        </is>
      </c>
      <c r="E3811" t="inlineStr">
        <is>
          <t>LINKÖPING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60980-2021</t>
        </is>
      </c>
      <c r="B3812" s="1" t="n">
        <v>44497</v>
      </c>
      <c r="C3812" s="1" t="n">
        <v>45710</v>
      </c>
      <c r="D3812" t="inlineStr">
        <is>
          <t>ÖSTERGÖTLANDS LÄN</t>
        </is>
      </c>
      <c r="E3812" t="inlineStr">
        <is>
          <t>NORRKÖPING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61243-2021</t>
        </is>
      </c>
      <c r="B3813" s="1" t="n">
        <v>44498</v>
      </c>
      <c r="C3813" s="1" t="n">
        <v>45710</v>
      </c>
      <c r="D3813" t="inlineStr">
        <is>
          <t>ÖSTERGÖTLANDS LÄN</t>
        </is>
      </c>
      <c r="E3813" t="inlineStr">
        <is>
          <t>LINKÖPING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61298-2021</t>
        </is>
      </c>
      <c r="B3814" s="1" t="n">
        <v>44498</v>
      </c>
      <c r="C3814" s="1" t="n">
        <v>45710</v>
      </c>
      <c r="D3814" t="inlineStr">
        <is>
          <t>ÖSTERGÖTLANDS LÄN</t>
        </is>
      </c>
      <c r="E3814" t="inlineStr">
        <is>
          <t>LINKÖPING</t>
        </is>
      </c>
      <c r="G3814" t="n">
        <v>4.3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61210-2021</t>
        </is>
      </c>
      <c r="B3815" s="1" t="n">
        <v>44498</v>
      </c>
      <c r="C3815" s="1" t="n">
        <v>45710</v>
      </c>
      <c r="D3815" t="inlineStr">
        <is>
          <t>ÖSTERGÖTLANDS LÄN</t>
        </is>
      </c>
      <c r="E3815" t="inlineStr">
        <is>
          <t>BOXHOLM</t>
        </is>
      </c>
      <c r="F3815" t="inlineStr">
        <is>
          <t>Övriga Aktiebolag</t>
        </is>
      </c>
      <c r="G3815" t="n">
        <v>10.5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61245-2021</t>
        </is>
      </c>
      <c r="B3816" s="1" t="n">
        <v>44498</v>
      </c>
      <c r="C3816" s="1" t="n">
        <v>45710</v>
      </c>
      <c r="D3816" t="inlineStr">
        <is>
          <t>ÖSTERGÖTLANDS LÄN</t>
        </is>
      </c>
      <c r="E3816" t="inlineStr">
        <is>
          <t>LINKÖPING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61281-2021</t>
        </is>
      </c>
      <c r="B3817" s="1" t="n">
        <v>44498</v>
      </c>
      <c r="C3817" s="1" t="n">
        <v>45710</v>
      </c>
      <c r="D3817" t="inlineStr">
        <is>
          <t>ÖSTERGÖTLANDS LÄN</t>
        </is>
      </c>
      <c r="E3817" t="inlineStr">
        <is>
          <t>LINKÖPING</t>
        </is>
      </c>
      <c r="G3817" t="n">
        <v>4.5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61302-2021</t>
        </is>
      </c>
      <c r="B3818" s="1" t="n">
        <v>44498</v>
      </c>
      <c r="C3818" s="1" t="n">
        <v>45710</v>
      </c>
      <c r="D3818" t="inlineStr">
        <is>
          <t>ÖSTERGÖTLANDS LÄN</t>
        </is>
      </c>
      <c r="E3818" t="inlineStr">
        <is>
          <t>LINKÖPING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61322-2021</t>
        </is>
      </c>
      <c r="B3819" s="1" t="n">
        <v>44498</v>
      </c>
      <c r="C3819" s="1" t="n">
        <v>45710</v>
      </c>
      <c r="D3819" t="inlineStr">
        <is>
          <t>ÖSTERGÖTLANDS LÄN</t>
        </is>
      </c>
      <c r="E3819" t="inlineStr">
        <is>
          <t>LINKÖPING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61307-2021</t>
        </is>
      </c>
      <c r="B3820" s="1" t="n">
        <v>44498</v>
      </c>
      <c r="C3820" s="1" t="n">
        <v>45710</v>
      </c>
      <c r="D3820" t="inlineStr">
        <is>
          <t>ÖSTERGÖTLANDS LÄN</t>
        </is>
      </c>
      <c r="E3820" t="inlineStr">
        <is>
          <t>LINKÖPING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61325-2021</t>
        </is>
      </c>
      <c r="B3821" s="1" t="n">
        <v>44498</v>
      </c>
      <c r="C3821" s="1" t="n">
        <v>45710</v>
      </c>
      <c r="D3821" t="inlineStr">
        <is>
          <t>ÖSTERGÖTLANDS LÄN</t>
        </is>
      </c>
      <c r="E3821" t="inlineStr">
        <is>
          <t>LINKÖPING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61333-2021</t>
        </is>
      </c>
      <c r="B3822" s="1" t="n">
        <v>44498</v>
      </c>
      <c r="C3822" s="1" t="n">
        <v>45710</v>
      </c>
      <c r="D3822" t="inlineStr">
        <is>
          <t>ÖSTERGÖTLANDS LÄN</t>
        </is>
      </c>
      <c r="E3822" t="inlineStr">
        <is>
          <t>LINKÖPING</t>
        </is>
      </c>
      <c r="G3822" t="n">
        <v>7.5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61509-2021</t>
        </is>
      </c>
      <c r="B3823" s="1" t="n">
        <v>44501</v>
      </c>
      <c r="C3823" s="1" t="n">
        <v>45710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Aktiebolag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61523-2021</t>
        </is>
      </c>
      <c r="B3824" s="1" t="n">
        <v>44501</v>
      </c>
      <c r="C3824" s="1" t="n">
        <v>45710</v>
      </c>
      <c r="D3824" t="inlineStr">
        <is>
          <t>ÖSTERGÖTLANDS LÄN</t>
        </is>
      </c>
      <c r="E3824" t="inlineStr">
        <is>
          <t>KINDA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61636-2021</t>
        </is>
      </c>
      <c r="B3825" s="1" t="n">
        <v>44501</v>
      </c>
      <c r="C3825" s="1" t="n">
        <v>45710</v>
      </c>
      <c r="D3825" t="inlineStr">
        <is>
          <t>ÖSTERGÖTLANDS LÄN</t>
        </is>
      </c>
      <c r="E3825" t="inlineStr">
        <is>
          <t>YDRE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62019-2021</t>
        </is>
      </c>
      <c r="B3826" s="1" t="n">
        <v>44501</v>
      </c>
      <c r="C3826" s="1" t="n">
        <v>45710</v>
      </c>
      <c r="D3826" t="inlineStr">
        <is>
          <t>ÖSTERGÖTLANDS LÄN</t>
        </is>
      </c>
      <c r="E3826" t="inlineStr">
        <is>
          <t>MOTALA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61695-2021</t>
        </is>
      </c>
      <c r="B3827" s="1" t="n">
        <v>44501</v>
      </c>
      <c r="C3827" s="1" t="n">
        <v>45710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Sveaskog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61769-2021</t>
        </is>
      </c>
      <c r="B3828" s="1" t="n">
        <v>44501</v>
      </c>
      <c r="C3828" s="1" t="n">
        <v>45710</v>
      </c>
      <c r="D3828" t="inlineStr">
        <is>
          <t>ÖSTERGÖTLANDS LÄN</t>
        </is>
      </c>
      <c r="E3828" t="inlineStr">
        <is>
          <t>MOTALA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61734-2021</t>
        </is>
      </c>
      <c r="B3829" s="1" t="n">
        <v>44501</v>
      </c>
      <c r="C3829" s="1" t="n">
        <v>45710</v>
      </c>
      <c r="D3829" t="inlineStr">
        <is>
          <t>ÖSTERGÖTLANDS LÄN</t>
        </is>
      </c>
      <c r="E3829" t="inlineStr">
        <is>
          <t>ÅTVIDABERG</t>
        </is>
      </c>
      <c r="F3829" t="inlineStr">
        <is>
          <t>Övriga Aktiebolag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61880-2021</t>
        </is>
      </c>
      <c r="B3830" s="1" t="n">
        <v>44502</v>
      </c>
      <c r="C3830" s="1" t="n">
        <v>45710</v>
      </c>
      <c r="D3830" t="inlineStr">
        <is>
          <t>ÖSTERGÖTLANDS LÄN</t>
        </is>
      </c>
      <c r="E3830" t="inlineStr">
        <is>
          <t>ÖDESHÖG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61973-2021</t>
        </is>
      </c>
      <c r="B3831" s="1" t="n">
        <v>44502</v>
      </c>
      <c r="C3831" s="1" t="n">
        <v>45710</v>
      </c>
      <c r="D3831" t="inlineStr">
        <is>
          <t>ÖSTERGÖTLANDS LÄN</t>
        </is>
      </c>
      <c r="E3831" t="inlineStr">
        <is>
          <t>NORRKÖPING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62006-2021</t>
        </is>
      </c>
      <c r="B3832" s="1" t="n">
        <v>44502</v>
      </c>
      <c r="C3832" s="1" t="n">
        <v>45710</v>
      </c>
      <c r="D3832" t="inlineStr">
        <is>
          <t>ÖSTERGÖTLANDS LÄN</t>
        </is>
      </c>
      <c r="E3832" t="inlineStr">
        <is>
          <t>YDRE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61942-2021</t>
        </is>
      </c>
      <c r="B3833" s="1" t="n">
        <v>44502</v>
      </c>
      <c r="C3833" s="1" t="n">
        <v>45710</v>
      </c>
      <c r="D3833" t="inlineStr">
        <is>
          <t>ÖSTERGÖTLANDS LÄN</t>
        </is>
      </c>
      <c r="E3833" t="inlineStr">
        <is>
          <t>YDRE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62565-2021</t>
        </is>
      </c>
      <c r="B3834" s="1" t="n">
        <v>44502</v>
      </c>
      <c r="C3834" s="1" t="n">
        <v>45710</v>
      </c>
      <c r="D3834" t="inlineStr">
        <is>
          <t>ÖSTERGÖTLANDS LÄN</t>
        </is>
      </c>
      <c r="E3834" t="inlineStr">
        <is>
          <t>KINDA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62196-2021</t>
        </is>
      </c>
      <c r="B3835" s="1" t="n">
        <v>44502</v>
      </c>
      <c r="C3835" s="1" t="n">
        <v>45710</v>
      </c>
      <c r="D3835" t="inlineStr">
        <is>
          <t>ÖSTERGÖTLANDS LÄN</t>
        </is>
      </c>
      <c r="E3835" t="inlineStr">
        <is>
          <t>FINSPÅNG</t>
        </is>
      </c>
      <c r="F3835" t="inlineStr">
        <is>
          <t>Övriga Aktiebolag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62406-2021</t>
        </is>
      </c>
      <c r="B3836" s="1" t="n">
        <v>44502</v>
      </c>
      <c r="C3836" s="1" t="n">
        <v>45710</v>
      </c>
      <c r="D3836" t="inlineStr">
        <is>
          <t>ÖSTERGÖTLANDS LÄN</t>
        </is>
      </c>
      <c r="E3836" t="inlineStr">
        <is>
          <t>NORRKÖPING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62445-2021</t>
        </is>
      </c>
      <c r="B3837" s="1" t="n">
        <v>44503</v>
      </c>
      <c r="C3837" s="1" t="n">
        <v>45710</v>
      </c>
      <c r="D3837" t="inlineStr">
        <is>
          <t>ÖSTERGÖTLANDS LÄN</t>
        </is>
      </c>
      <c r="E3837" t="inlineStr">
        <is>
          <t>FINSPÅNG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62484-2021</t>
        </is>
      </c>
      <c r="B3838" s="1" t="n">
        <v>44503</v>
      </c>
      <c r="C3838" s="1" t="n">
        <v>45710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62421-2021</t>
        </is>
      </c>
      <c r="B3839" s="1" t="n">
        <v>44503</v>
      </c>
      <c r="C3839" s="1" t="n">
        <v>45710</v>
      </c>
      <c r="D3839" t="inlineStr">
        <is>
          <t>ÖSTERGÖTLANDS LÄN</t>
        </is>
      </c>
      <c r="E3839" t="inlineStr">
        <is>
          <t>FINSPÅNG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62550-2021</t>
        </is>
      </c>
      <c r="B3840" s="1" t="n">
        <v>44503</v>
      </c>
      <c r="C3840" s="1" t="n">
        <v>45710</v>
      </c>
      <c r="D3840" t="inlineStr">
        <is>
          <t>ÖSTERGÖTLANDS LÄN</t>
        </is>
      </c>
      <c r="E3840" t="inlineStr">
        <is>
          <t>MOTALA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62485-2021</t>
        </is>
      </c>
      <c r="B3841" s="1" t="n">
        <v>44503</v>
      </c>
      <c r="C3841" s="1" t="n">
        <v>45710</v>
      </c>
      <c r="D3841" t="inlineStr">
        <is>
          <t>ÖSTERGÖTLANDS LÄN</t>
        </is>
      </c>
      <c r="E3841" t="inlineStr">
        <is>
          <t>YDRE</t>
        </is>
      </c>
      <c r="F3841" t="inlineStr">
        <is>
          <t>Sveaskog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62542-2021</t>
        </is>
      </c>
      <c r="B3842" s="1" t="n">
        <v>44503</v>
      </c>
      <c r="C3842" s="1" t="n">
        <v>45710</v>
      </c>
      <c r="D3842" t="inlineStr">
        <is>
          <t>ÖSTERGÖTLANDS LÄN</t>
        </is>
      </c>
      <c r="E3842" t="inlineStr">
        <is>
          <t>MOTALA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62548-2021</t>
        </is>
      </c>
      <c r="B3843" s="1" t="n">
        <v>44503</v>
      </c>
      <c r="C3843" s="1" t="n">
        <v>45710</v>
      </c>
      <c r="D3843" t="inlineStr">
        <is>
          <t>ÖSTERGÖTLANDS LÄN</t>
        </is>
      </c>
      <c r="E3843" t="inlineStr">
        <is>
          <t>MOTALA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62556-2021</t>
        </is>
      </c>
      <c r="B3844" s="1" t="n">
        <v>44503</v>
      </c>
      <c r="C3844" s="1" t="n">
        <v>45710</v>
      </c>
      <c r="D3844" t="inlineStr">
        <is>
          <t>ÖSTERGÖTLANDS LÄN</t>
        </is>
      </c>
      <c r="E3844" t="inlineStr">
        <is>
          <t>MOTALA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62574-2021</t>
        </is>
      </c>
      <c r="B3845" s="1" t="n">
        <v>44503</v>
      </c>
      <c r="C3845" s="1" t="n">
        <v>45710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62491-2021</t>
        </is>
      </c>
      <c r="B3846" s="1" t="n">
        <v>44503</v>
      </c>
      <c r="C3846" s="1" t="n">
        <v>45710</v>
      </c>
      <c r="D3846" t="inlineStr">
        <is>
          <t>ÖSTERGÖTLANDS LÄN</t>
        </is>
      </c>
      <c r="E3846" t="inlineStr">
        <is>
          <t>YDRE</t>
        </is>
      </c>
      <c r="F3846" t="inlineStr">
        <is>
          <t>Sveaskog</t>
        </is>
      </c>
      <c r="G3846" t="n">
        <v>3.7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62509-2021</t>
        </is>
      </c>
      <c r="B3847" s="1" t="n">
        <v>44503</v>
      </c>
      <c r="C3847" s="1" t="n">
        <v>45710</v>
      </c>
      <c r="D3847" t="inlineStr">
        <is>
          <t>ÖSTERGÖTLANDS LÄN</t>
        </is>
      </c>
      <c r="E3847" t="inlineStr">
        <is>
          <t>YDRE</t>
        </is>
      </c>
      <c r="F3847" t="inlineStr">
        <is>
          <t>Sveaskog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62549-2021</t>
        </is>
      </c>
      <c r="B3848" s="1" t="n">
        <v>44503</v>
      </c>
      <c r="C3848" s="1" t="n">
        <v>45710</v>
      </c>
      <c r="D3848" t="inlineStr">
        <is>
          <t>ÖSTERGÖTLANDS LÄN</t>
        </is>
      </c>
      <c r="E3848" t="inlineStr">
        <is>
          <t>MOTALA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62771-2021</t>
        </is>
      </c>
      <c r="B3849" s="1" t="n">
        <v>44503</v>
      </c>
      <c r="C3849" s="1" t="n">
        <v>45710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Allmännings- och besparingsskogar</t>
        </is>
      </c>
      <c r="G3849" t="n">
        <v>6.6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62597-2021</t>
        </is>
      </c>
      <c r="B3850" s="1" t="n">
        <v>44503</v>
      </c>
      <c r="C3850" s="1" t="n">
        <v>45710</v>
      </c>
      <c r="D3850" t="inlineStr">
        <is>
          <t>ÖSTERGÖTLANDS LÄN</t>
        </is>
      </c>
      <c r="E3850" t="inlineStr">
        <is>
          <t>FINSPÅNG</t>
        </is>
      </c>
      <c r="F3850" t="inlineStr">
        <is>
          <t>Holmen skog AB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62746-2021</t>
        </is>
      </c>
      <c r="B3851" s="1" t="n">
        <v>44503</v>
      </c>
      <c r="C3851" s="1" t="n">
        <v>45710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15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62726-2021</t>
        </is>
      </c>
      <c r="B3852" s="1" t="n">
        <v>44504</v>
      </c>
      <c r="C3852" s="1" t="n">
        <v>45710</v>
      </c>
      <c r="D3852" t="inlineStr">
        <is>
          <t>ÖSTERGÖTLANDS LÄN</t>
        </is>
      </c>
      <c r="E3852" t="inlineStr">
        <is>
          <t>ÖDESHÖG</t>
        </is>
      </c>
      <c r="G3852" t="n">
        <v>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62736-2021</t>
        </is>
      </c>
      <c r="B3853" s="1" t="n">
        <v>44504</v>
      </c>
      <c r="C3853" s="1" t="n">
        <v>45710</v>
      </c>
      <c r="D3853" t="inlineStr">
        <is>
          <t>ÖSTERGÖTLANDS LÄN</t>
        </is>
      </c>
      <c r="E3853" t="inlineStr">
        <is>
          <t>FINSPÅNG</t>
        </is>
      </c>
      <c r="F3853" t="inlineStr">
        <is>
          <t>Holmen skog AB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62815-2021</t>
        </is>
      </c>
      <c r="B3854" s="1" t="n">
        <v>44504</v>
      </c>
      <c r="C3854" s="1" t="n">
        <v>45710</v>
      </c>
      <c r="D3854" t="inlineStr">
        <is>
          <t>ÖSTERGÖTLANDS LÄN</t>
        </is>
      </c>
      <c r="E3854" t="inlineStr">
        <is>
          <t>YDRE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62925-2021</t>
        </is>
      </c>
      <c r="B3855" s="1" t="n">
        <v>44504</v>
      </c>
      <c r="C3855" s="1" t="n">
        <v>45710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Aktiebolag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62973-2021</t>
        </is>
      </c>
      <c r="B3856" s="1" t="n">
        <v>44504</v>
      </c>
      <c r="C3856" s="1" t="n">
        <v>45710</v>
      </c>
      <c r="D3856" t="inlineStr">
        <is>
          <t>ÖSTERGÖTLANDS LÄN</t>
        </is>
      </c>
      <c r="E3856" t="inlineStr">
        <is>
          <t>NORRKÖPING</t>
        </is>
      </c>
      <c r="F3856" t="inlineStr">
        <is>
          <t>Allmännings- och besparingsskogar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62919-2021</t>
        </is>
      </c>
      <c r="B3857" s="1" t="n">
        <v>44504</v>
      </c>
      <c r="C3857" s="1" t="n">
        <v>45710</v>
      </c>
      <c r="D3857" t="inlineStr">
        <is>
          <t>ÖSTERGÖTLANDS LÄN</t>
        </is>
      </c>
      <c r="E3857" t="inlineStr">
        <is>
          <t>ÖDESHÖG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62808-2021</t>
        </is>
      </c>
      <c r="B3858" s="1" t="n">
        <v>44504</v>
      </c>
      <c r="C3858" s="1" t="n">
        <v>45710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Allmännings- och besparingsskogar</t>
        </is>
      </c>
      <c r="G3858" t="n">
        <v>9.300000000000001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62974-2021</t>
        </is>
      </c>
      <c r="B3859" s="1" t="n">
        <v>44505</v>
      </c>
      <c r="C3859" s="1" t="n">
        <v>45710</v>
      </c>
      <c r="D3859" t="inlineStr">
        <is>
          <t>ÖSTERGÖTLANDS LÄN</t>
        </is>
      </c>
      <c r="E3859" t="inlineStr">
        <is>
          <t>KINDA</t>
        </is>
      </c>
      <c r="G3859" t="n">
        <v>3.8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63146-2021</t>
        </is>
      </c>
      <c r="B3860" s="1" t="n">
        <v>44505</v>
      </c>
      <c r="C3860" s="1" t="n">
        <v>45710</v>
      </c>
      <c r="D3860" t="inlineStr">
        <is>
          <t>ÖSTERGÖTLANDS LÄN</t>
        </is>
      </c>
      <c r="E3860" t="inlineStr">
        <is>
          <t>SÖDERKÖPING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63202-2021</t>
        </is>
      </c>
      <c r="B3861" s="1" t="n">
        <v>44507</v>
      </c>
      <c r="C3861" s="1" t="n">
        <v>45710</v>
      </c>
      <c r="D3861" t="inlineStr">
        <is>
          <t>ÖSTERGÖTLANDS LÄN</t>
        </is>
      </c>
      <c r="E3861" t="inlineStr">
        <is>
          <t>BOXHOLM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63392-2021</t>
        </is>
      </c>
      <c r="B3862" s="1" t="n">
        <v>44508</v>
      </c>
      <c r="C3862" s="1" t="n">
        <v>45710</v>
      </c>
      <c r="D3862" t="inlineStr">
        <is>
          <t>ÖSTERGÖTLANDS LÄN</t>
        </is>
      </c>
      <c r="E3862" t="inlineStr">
        <is>
          <t>SÖDERKÖPING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63304-2021</t>
        </is>
      </c>
      <c r="B3863" s="1" t="n">
        <v>44508</v>
      </c>
      <c r="C3863" s="1" t="n">
        <v>45710</v>
      </c>
      <c r="D3863" t="inlineStr">
        <is>
          <t>ÖSTERGÖTLANDS LÄN</t>
        </is>
      </c>
      <c r="E3863" t="inlineStr">
        <is>
          <t>LINKÖPING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63384-2021</t>
        </is>
      </c>
      <c r="B3864" s="1" t="n">
        <v>44508</v>
      </c>
      <c r="C3864" s="1" t="n">
        <v>45710</v>
      </c>
      <c r="D3864" t="inlineStr">
        <is>
          <t>ÖSTERGÖTLANDS LÄN</t>
        </is>
      </c>
      <c r="E3864" t="inlineStr">
        <is>
          <t>YDRE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63321-2021</t>
        </is>
      </c>
      <c r="B3865" s="1" t="n">
        <v>44508</v>
      </c>
      <c r="C3865" s="1" t="n">
        <v>45710</v>
      </c>
      <c r="D3865" t="inlineStr">
        <is>
          <t>ÖSTERGÖTLANDS LÄN</t>
        </is>
      </c>
      <c r="E3865" t="inlineStr">
        <is>
          <t>FINSPÅNG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63338-2021</t>
        </is>
      </c>
      <c r="B3866" s="1" t="n">
        <v>44508</v>
      </c>
      <c r="C3866" s="1" t="n">
        <v>45710</v>
      </c>
      <c r="D3866" t="inlineStr">
        <is>
          <t>ÖSTERGÖTLANDS LÄN</t>
        </is>
      </c>
      <c r="E3866" t="inlineStr">
        <is>
          <t>YDRE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63666-2021</t>
        </is>
      </c>
      <c r="B3867" s="1" t="n">
        <v>44509</v>
      </c>
      <c r="C3867" s="1" t="n">
        <v>45710</v>
      </c>
      <c r="D3867" t="inlineStr">
        <is>
          <t>ÖSTERGÖTLANDS LÄN</t>
        </is>
      </c>
      <c r="E3867" t="inlineStr">
        <is>
          <t>ÖDESHÖG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63668-2021</t>
        </is>
      </c>
      <c r="B3868" s="1" t="n">
        <v>44509</v>
      </c>
      <c r="C3868" s="1" t="n">
        <v>45710</v>
      </c>
      <c r="D3868" t="inlineStr">
        <is>
          <t>ÖSTERGÖTLANDS LÄN</t>
        </is>
      </c>
      <c r="E3868" t="inlineStr">
        <is>
          <t>ÖDESHÖG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63935-2021</t>
        </is>
      </c>
      <c r="B3869" s="1" t="n">
        <v>44509</v>
      </c>
      <c r="C3869" s="1" t="n">
        <v>45710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statliga verk och myndigheter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63845-2021</t>
        </is>
      </c>
      <c r="B3870" s="1" t="n">
        <v>44509</v>
      </c>
      <c r="C3870" s="1" t="n">
        <v>45710</v>
      </c>
      <c r="D3870" t="inlineStr">
        <is>
          <t>ÖSTERGÖTLANDS LÄN</t>
        </is>
      </c>
      <c r="E3870" t="inlineStr">
        <is>
          <t>LINKÖPING</t>
        </is>
      </c>
      <c r="G3870" t="n">
        <v>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64195-2021</t>
        </is>
      </c>
      <c r="B3871" s="1" t="n">
        <v>44510</v>
      </c>
      <c r="C3871" s="1" t="n">
        <v>45710</v>
      </c>
      <c r="D3871" t="inlineStr">
        <is>
          <t>ÖSTERGÖTLANDS LÄN</t>
        </is>
      </c>
      <c r="E3871" t="inlineStr">
        <is>
          <t>LINKÖPING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64267-2021</t>
        </is>
      </c>
      <c r="B3872" s="1" t="n">
        <v>44510</v>
      </c>
      <c r="C3872" s="1" t="n">
        <v>45710</v>
      </c>
      <c r="D3872" t="inlineStr">
        <is>
          <t>ÖSTERGÖTLANDS LÄN</t>
        </is>
      </c>
      <c r="E3872" t="inlineStr">
        <is>
          <t>LINKÖPING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64251-2021</t>
        </is>
      </c>
      <c r="B3873" s="1" t="n">
        <v>44510</v>
      </c>
      <c r="C3873" s="1" t="n">
        <v>45710</v>
      </c>
      <c r="D3873" t="inlineStr">
        <is>
          <t>ÖSTERGÖTLANDS LÄN</t>
        </is>
      </c>
      <c r="E3873" t="inlineStr">
        <is>
          <t>ÖDESHÖG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64269-2021</t>
        </is>
      </c>
      <c r="B3874" s="1" t="n">
        <v>44510</v>
      </c>
      <c r="C3874" s="1" t="n">
        <v>45710</v>
      </c>
      <c r="D3874" t="inlineStr">
        <is>
          <t>ÖSTERGÖTLANDS LÄN</t>
        </is>
      </c>
      <c r="E3874" t="inlineStr">
        <is>
          <t>LINKÖPING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64254-2021</t>
        </is>
      </c>
      <c r="B3875" s="1" t="n">
        <v>44510</v>
      </c>
      <c r="C3875" s="1" t="n">
        <v>45710</v>
      </c>
      <c r="D3875" t="inlineStr">
        <is>
          <t>ÖSTERGÖTLANDS LÄN</t>
        </is>
      </c>
      <c r="E3875" t="inlineStr">
        <is>
          <t>ÖDESHÖG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64263-2021</t>
        </is>
      </c>
      <c r="B3876" s="1" t="n">
        <v>44510</v>
      </c>
      <c r="C3876" s="1" t="n">
        <v>45710</v>
      </c>
      <c r="D3876" t="inlineStr">
        <is>
          <t>ÖSTERGÖTLANDS LÄN</t>
        </is>
      </c>
      <c r="E3876" t="inlineStr">
        <is>
          <t>YDRE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64441-2021</t>
        </is>
      </c>
      <c r="B3877" s="1" t="n">
        <v>44511</v>
      </c>
      <c r="C3877" s="1" t="n">
        <v>45710</v>
      </c>
      <c r="D3877" t="inlineStr">
        <is>
          <t>ÖSTERGÖTLANDS LÄN</t>
        </is>
      </c>
      <c r="E3877" t="inlineStr">
        <is>
          <t>LINKÖPING</t>
        </is>
      </c>
      <c r="G3877" t="n">
        <v>2.4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64622-2021</t>
        </is>
      </c>
      <c r="B3878" s="1" t="n">
        <v>44511</v>
      </c>
      <c r="C3878" s="1" t="n">
        <v>45710</v>
      </c>
      <c r="D3878" t="inlineStr">
        <is>
          <t>ÖSTERGÖTLANDS LÄN</t>
        </is>
      </c>
      <c r="E3878" t="inlineStr">
        <is>
          <t>ÖDESHÖG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64728-2021</t>
        </is>
      </c>
      <c r="B3879" s="1" t="n">
        <v>44512</v>
      </c>
      <c r="C3879" s="1" t="n">
        <v>45710</v>
      </c>
      <c r="D3879" t="inlineStr">
        <is>
          <t>ÖSTERGÖTLANDS LÄN</t>
        </is>
      </c>
      <c r="E3879" t="inlineStr">
        <is>
          <t>MJÖLBY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64802-2021</t>
        </is>
      </c>
      <c r="B3880" s="1" t="n">
        <v>44512</v>
      </c>
      <c r="C3880" s="1" t="n">
        <v>45710</v>
      </c>
      <c r="D3880" t="inlineStr">
        <is>
          <t>ÖSTERGÖTLANDS LÄN</t>
        </is>
      </c>
      <c r="E3880" t="inlineStr">
        <is>
          <t>ÖDESHÖG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64898-2021</t>
        </is>
      </c>
      <c r="B3881" s="1" t="n">
        <v>44512</v>
      </c>
      <c r="C3881" s="1" t="n">
        <v>45710</v>
      </c>
      <c r="D3881" t="inlineStr">
        <is>
          <t>ÖSTERGÖTLANDS LÄN</t>
        </is>
      </c>
      <c r="E3881" t="inlineStr">
        <is>
          <t>NORRKÖPING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64993-2021</t>
        </is>
      </c>
      <c r="B3882" s="1" t="n">
        <v>44514</v>
      </c>
      <c r="C3882" s="1" t="n">
        <v>45710</v>
      </c>
      <c r="D3882" t="inlineStr">
        <is>
          <t>ÖSTERGÖTLANDS LÄN</t>
        </is>
      </c>
      <c r="E3882" t="inlineStr">
        <is>
          <t>ÅTVIDABERG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65153-2021</t>
        </is>
      </c>
      <c r="B3883" s="1" t="n">
        <v>44515</v>
      </c>
      <c r="C3883" s="1" t="n">
        <v>45710</v>
      </c>
      <c r="D3883" t="inlineStr">
        <is>
          <t>ÖSTERGÖTLANDS LÄN</t>
        </is>
      </c>
      <c r="E3883" t="inlineStr">
        <is>
          <t>MJÖLBY</t>
        </is>
      </c>
      <c r="F3883" t="inlineStr">
        <is>
          <t>Sveaskog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65149-2021</t>
        </is>
      </c>
      <c r="B3884" s="1" t="n">
        <v>44515</v>
      </c>
      <c r="C3884" s="1" t="n">
        <v>45710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Sveaskog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65164-2021</t>
        </is>
      </c>
      <c r="B3885" s="1" t="n">
        <v>44515</v>
      </c>
      <c r="C3885" s="1" t="n">
        <v>45710</v>
      </c>
      <c r="D3885" t="inlineStr">
        <is>
          <t>ÖSTERGÖTLANDS LÄN</t>
        </is>
      </c>
      <c r="E3885" t="inlineStr">
        <is>
          <t>MJÖLBY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65336-2021</t>
        </is>
      </c>
      <c r="B3886" s="1" t="n">
        <v>44515</v>
      </c>
      <c r="C3886" s="1" t="n">
        <v>45710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Holmen skog AB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65333-2021</t>
        </is>
      </c>
      <c r="B3887" s="1" t="n">
        <v>44515</v>
      </c>
      <c r="C3887" s="1" t="n">
        <v>45710</v>
      </c>
      <c r="D3887" t="inlineStr">
        <is>
          <t>ÖSTERGÖTLANDS LÄN</t>
        </is>
      </c>
      <c r="E3887" t="inlineStr">
        <is>
          <t>BOXHOLM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65394-2021</t>
        </is>
      </c>
      <c r="B3888" s="1" t="n">
        <v>44515</v>
      </c>
      <c r="C3888" s="1" t="n">
        <v>45710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statliga verk och myndigheter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65398-2021</t>
        </is>
      </c>
      <c r="B3889" s="1" t="n">
        <v>44515</v>
      </c>
      <c r="C3889" s="1" t="n">
        <v>45710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Övriga statliga verk och myndigheter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65337-2021</t>
        </is>
      </c>
      <c r="B3890" s="1" t="n">
        <v>44515</v>
      </c>
      <c r="C3890" s="1" t="n">
        <v>45710</v>
      </c>
      <c r="D3890" t="inlineStr">
        <is>
          <t>ÖSTERGÖTLANDS LÄN</t>
        </is>
      </c>
      <c r="E3890" t="inlineStr">
        <is>
          <t>YDRE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65369-2021</t>
        </is>
      </c>
      <c r="B3891" s="1" t="n">
        <v>44515</v>
      </c>
      <c r="C3891" s="1" t="n">
        <v>45710</v>
      </c>
      <c r="D3891" t="inlineStr">
        <is>
          <t>ÖSTERGÖTLANDS LÄN</t>
        </is>
      </c>
      <c r="E3891" t="inlineStr">
        <is>
          <t>SÖDERKÖPING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65396-2021</t>
        </is>
      </c>
      <c r="B3892" s="1" t="n">
        <v>44515</v>
      </c>
      <c r="C3892" s="1" t="n">
        <v>45710</v>
      </c>
      <c r="D3892" t="inlineStr">
        <is>
          <t>ÖSTERGÖTLANDS LÄN</t>
        </is>
      </c>
      <c r="E3892" t="inlineStr">
        <is>
          <t>LINKÖPING</t>
        </is>
      </c>
      <c r="F3892" t="inlineStr">
        <is>
          <t>Övriga statliga verk och myndigheter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65395-2021</t>
        </is>
      </c>
      <c r="B3893" s="1" t="n">
        <v>44515</v>
      </c>
      <c r="C3893" s="1" t="n">
        <v>45710</v>
      </c>
      <c r="D3893" t="inlineStr">
        <is>
          <t>ÖSTERGÖTLANDS LÄN</t>
        </is>
      </c>
      <c r="E3893" t="inlineStr">
        <is>
          <t>LINKÖPING</t>
        </is>
      </c>
      <c r="F3893" t="inlineStr">
        <is>
          <t>Övriga statliga verk och myndigheter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65399-2021</t>
        </is>
      </c>
      <c r="B3894" s="1" t="n">
        <v>44515</v>
      </c>
      <c r="C3894" s="1" t="n">
        <v>45710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12.8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65397-2021</t>
        </is>
      </c>
      <c r="B3895" s="1" t="n">
        <v>44515</v>
      </c>
      <c r="C3895" s="1" t="n">
        <v>45710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65588-2021</t>
        </is>
      </c>
      <c r="B3896" s="1" t="n">
        <v>44516</v>
      </c>
      <c r="C3896" s="1" t="n">
        <v>45710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Sveaskog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65643-2021</t>
        </is>
      </c>
      <c r="B3897" s="1" t="n">
        <v>44516</v>
      </c>
      <c r="C3897" s="1" t="n">
        <v>45710</v>
      </c>
      <c r="D3897" t="inlineStr">
        <is>
          <t>ÖSTERGÖTLANDS LÄN</t>
        </is>
      </c>
      <c r="E3897" t="inlineStr">
        <is>
          <t>LINKÖPING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65566-2021</t>
        </is>
      </c>
      <c r="B3898" s="1" t="n">
        <v>44516</v>
      </c>
      <c r="C3898" s="1" t="n">
        <v>45710</v>
      </c>
      <c r="D3898" t="inlineStr">
        <is>
          <t>ÖSTERGÖTLANDS LÄN</t>
        </is>
      </c>
      <c r="E3898" t="inlineStr">
        <is>
          <t>MOTALA</t>
        </is>
      </c>
      <c r="G3898" t="n">
        <v>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65590-2021</t>
        </is>
      </c>
      <c r="B3899" s="1" t="n">
        <v>44516</v>
      </c>
      <c r="C3899" s="1" t="n">
        <v>45710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Sveaskog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65561-2021</t>
        </is>
      </c>
      <c r="B3900" s="1" t="n">
        <v>44516</v>
      </c>
      <c r="C3900" s="1" t="n">
        <v>45710</v>
      </c>
      <c r="D3900" t="inlineStr">
        <is>
          <t>ÖSTERGÖTLANDS LÄN</t>
        </is>
      </c>
      <c r="E3900" t="inlineStr">
        <is>
          <t>MOTALA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65594-2021</t>
        </is>
      </c>
      <c r="B3901" s="1" t="n">
        <v>44516</v>
      </c>
      <c r="C3901" s="1" t="n">
        <v>45710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Sveaskog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65715-2021</t>
        </is>
      </c>
      <c r="B3902" s="1" t="n">
        <v>44516</v>
      </c>
      <c r="C3902" s="1" t="n">
        <v>45710</v>
      </c>
      <c r="D3902" t="inlineStr">
        <is>
          <t>ÖSTERGÖTLANDS LÄN</t>
        </is>
      </c>
      <c r="E3902" t="inlineStr">
        <is>
          <t>KINDA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65573-2021</t>
        </is>
      </c>
      <c r="B3903" s="1" t="n">
        <v>44516</v>
      </c>
      <c r="C3903" s="1" t="n">
        <v>45710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Sveaskog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65794-2021</t>
        </is>
      </c>
      <c r="B3904" s="1" t="n">
        <v>44517</v>
      </c>
      <c r="C3904" s="1" t="n">
        <v>45710</v>
      </c>
      <c r="D3904" t="inlineStr">
        <is>
          <t>ÖSTERGÖTLANDS LÄN</t>
        </is>
      </c>
      <c r="E3904" t="inlineStr">
        <is>
          <t>YDRE</t>
        </is>
      </c>
      <c r="G3904" t="n">
        <v>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65795-2021</t>
        </is>
      </c>
      <c r="B3905" s="1" t="n">
        <v>44516</v>
      </c>
      <c r="C3905" s="1" t="n">
        <v>45710</v>
      </c>
      <c r="D3905" t="inlineStr">
        <is>
          <t>ÖSTERGÖTLANDS LÄN</t>
        </is>
      </c>
      <c r="E3905" t="inlineStr">
        <is>
          <t>YDRE</t>
        </is>
      </c>
      <c r="G3905" t="n">
        <v>6.5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65792-2021</t>
        </is>
      </c>
      <c r="B3906" s="1" t="n">
        <v>44517</v>
      </c>
      <c r="C3906" s="1" t="n">
        <v>45710</v>
      </c>
      <c r="D3906" t="inlineStr">
        <is>
          <t>ÖSTERGÖTLANDS LÄN</t>
        </is>
      </c>
      <c r="E3906" t="inlineStr">
        <is>
          <t>YDRE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65828-2021</t>
        </is>
      </c>
      <c r="B3907" s="1" t="n">
        <v>44517</v>
      </c>
      <c r="C3907" s="1" t="n">
        <v>45710</v>
      </c>
      <c r="D3907" t="inlineStr">
        <is>
          <t>ÖSTERGÖTLANDS LÄN</t>
        </is>
      </c>
      <c r="E3907" t="inlineStr">
        <is>
          <t>ÅTVIDABERG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65890-2021</t>
        </is>
      </c>
      <c r="B3908" s="1" t="n">
        <v>44517</v>
      </c>
      <c r="C3908" s="1" t="n">
        <v>45710</v>
      </c>
      <c r="D3908" t="inlineStr">
        <is>
          <t>ÖSTERGÖTLANDS LÄN</t>
        </is>
      </c>
      <c r="E3908" t="inlineStr">
        <is>
          <t>VALDEMARSVIK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65799-2021</t>
        </is>
      </c>
      <c r="B3909" s="1" t="n">
        <v>44517</v>
      </c>
      <c r="C3909" s="1" t="n">
        <v>45710</v>
      </c>
      <c r="D3909" t="inlineStr">
        <is>
          <t>ÖSTERGÖTLANDS LÄN</t>
        </is>
      </c>
      <c r="E3909" t="inlineStr">
        <is>
          <t>NORRKÖPING</t>
        </is>
      </c>
      <c r="F3909" t="inlineStr">
        <is>
          <t>Holmen skog AB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65801-2021</t>
        </is>
      </c>
      <c r="B3910" s="1" t="n">
        <v>44517</v>
      </c>
      <c r="C3910" s="1" t="n">
        <v>45710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65821-2021</t>
        </is>
      </c>
      <c r="B3911" s="1" t="n">
        <v>44517</v>
      </c>
      <c r="C3911" s="1" t="n">
        <v>45710</v>
      </c>
      <c r="D3911" t="inlineStr">
        <is>
          <t>ÖSTERGÖTLANDS LÄN</t>
        </is>
      </c>
      <c r="E3911" t="inlineStr">
        <is>
          <t>ÖDESHÖG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65921-2021</t>
        </is>
      </c>
      <c r="B3912" s="1" t="n">
        <v>44517</v>
      </c>
      <c r="C3912" s="1" t="n">
        <v>45710</v>
      </c>
      <c r="D3912" t="inlineStr">
        <is>
          <t>ÖSTERGÖTLANDS LÄN</t>
        </is>
      </c>
      <c r="E3912" t="inlineStr">
        <is>
          <t>MJÖLBY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66014-2021</t>
        </is>
      </c>
      <c r="B3913" s="1" t="n">
        <v>44517</v>
      </c>
      <c r="C3913" s="1" t="n">
        <v>45710</v>
      </c>
      <c r="D3913" t="inlineStr">
        <is>
          <t>ÖSTERGÖTLANDS LÄN</t>
        </is>
      </c>
      <c r="E3913" t="inlineStr">
        <is>
          <t>FINSPÅNG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66028-2021</t>
        </is>
      </c>
      <c r="B3914" s="1" t="n">
        <v>44517</v>
      </c>
      <c r="C3914" s="1" t="n">
        <v>45710</v>
      </c>
      <c r="D3914" t="inlineStr">
        <is>
          <t>ÖSTERGÖTLANDS LÄN</t>
        </is>
      </c>
      <c r="E3914" t="inlineStr">
        <is>
          <t>KINDA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66075-2021</t>
        </is>
      </c>
      <c r="B3915" s="1" t="n">
        <v>44517</v>
      </c>
      <c r="C3915" s="1" t="n">
        <v>45710</v>
      </c>
      <c r="D3915" t="inlineStr">
        <is>
          <t>ÖSTERGÖTLANDS LÄN</t>
        </is>
      </c>
      <c r="E3915" t="inlineStr">
        <is>
          <t>SÖDERKÖPING</t>
        </is>
      </c>
      <c r="F3915" t="inlineStr">
        <is>
          <t>Kyrkan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66100-2021</t>
        </is>
      </c>
      <c r="B3916" s="1" t="n">
        <v>44517</v>
      </c>
      <c r="C3916" s="1" t="n">
        <v>45710</v>
      </c>
      <c r="D3916" t="inlineStr">
        <is>
          <t>ÖSTERGÖTLANDS LÄN</t>
        </is>
      </c>
      <c r="E3916" t="inlineStr">
        <is>
          <t>KINDA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66194-2021</t>
        </is>
      </c>
      <c r="B3917" s="1" t="n">
        <v>44518</v>
      </c>
      <c r="C3917" s="1" t="n">
        <v>45710</v>
      </c>
      <c r="D3917" t="inlineStr">
        <is>
          <t>ÖSTERGÖTLANDS LÄN</t>
        </is>
      </c>
      <c r="E3917" t="inlineStr">
        <is>
          <t>MOTALA</t>
        </is>
      </c>
      <c r="G3917" t="n">
        <v>13.6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66190-2021</t>
        </is>
      </c>
      <c r="B3918" s="1" t="n">
        <v>44518</v>
      </c>
      <c r="C3918" s="1" t="n">
        <v>45710</v>
      </c>
      <c r="D3918" t="inlineStr">
        <is>
          <t>ÖSTERGÖTLANDS LÄN</t>
        </is>
      </c>
      <c r="E3918" t="inlineStr">
        <is>
          <t>MOTALA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66195-2021</t>
        </is>
      </c>
      <c r="B3919" s="1" t="n">
        <v>44518</v>
      </c>
      <c r="C3919" s="1" t="n">
        <v>45710</v>
      </c>
      <c r="D3919" t="inlineStr">
        <is>
          <t>ÖSTERGÖTLANDS LÄN</t>
        </is>
      </c>
      <c r="E3919" t="inlineStr">
        <is>
          <t>MOTALA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66199-2021</t>
        </is>
      </c>
      <c r="B3920" s="1" t="n">
        <v>44518</v>
      </c>
      <c r="C3920" s="1" t="n">
        <v>45710</v>
      </c>
      <c r="D3920" t="inlineStr">
        <is>
          <t>ÖSTERGÖTLANDS LÄN</t>
        </is>
      </c>
      <c r="E3920" t="inlineStr">
        <is>
          <t>MOTALA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66362-2021</t>
        </is>
      </c>
      <c r="B3921" s="1" t="n">
        <v>44518</v>
      </c>
      <c r="C3921" s="1" t="n">
        <v>45710</v>
      </c>
      <c r="D3921" t="inlineStr">
        <is>
          <t>ÖSTERGÖTLANDS LÄN</t>
        </is>
      </c>
      <c r="E3921" t="inlineStr">
        <is>
          <t>SÖDERKÖPING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66429-2021</t>
        </is>
      </c>
      <c r="B3922" s="1" t="n">
        <v>44518</v>
      </c>
      <c r="C3922" s="1" t="n">
        <v>45710</v>
      </c>
      <c r="D3922" t="inlineStr">
        <is>
          <t>ÖSTERGÖTLANDS LÄN</t>
        </is>
      </c>
      <c r="E3922" t="inlineStr">
        <is>
          <t>VALDEMARSVIK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66356-2021</t>
        </is>
      </c>
      <c r="B3923" s="1" t="n">
        <v>44518</v>
      </c>
      <c r="C3923" s="1" t="n">
        <v>45710</v>
      </c>
      <c r="D3923" t="inlineStr">
        <is>
          <t>ÖSTERGÖTLANDS LÄN</t>
        </is>
      </c>
      <c r="E3923" t="inlineStr">
        <is>
          <t>SÖDERKÖPING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66368-2021</t>
        </is>
      </c>
      <c r="B3924" s="1" t="n">
        <v>44518</v>
      </c>
      <c r="C3924" s="1" t="n">
        <v>45710</v>
      </c>
      <c r="D3924" t="inlineStr">
        <is>
          <t>ÖSTERGÖTLANDS LÄN</t>
        </is>
      </c>
      <c r="E3924" t="inlineStr">
        <is>
          <t>SÖDERKÖPING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66424-2021</t>
        </is>
      </c>
      <c r="B3925" s="1" t="n">
        <v>44518</v>
      </c>
      <c r="C3925" s="1" t="n">
        <v>45710</v>
      </c>
      <c r="D3925" t="inlineStr">
        <is>
          <t>ÖSTERGÖTLANDS LÄN</t>
        </is>
      </c>
      <c r="E3925" t="inlineStr">
        <is>
          <t>VALDEMARSVIK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66516-2021</t>
        </is>
      </c>
      <c r="B3926" s="1" t="n">
        <v>44518</v>
      </c>
      <c r="C3926" s="1" t="n">
        <v>45710</v>
      </c>
      <c r="D3926" t="inlineStr">
        <is>
          <t>ÖSTERGÖTLANDS LÄN</t>
        </is>
      </c>
      <c r="E3926" t="inlineStr">
        <is>
          <t>LINKÖPING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66669-2021</t>
        </is>
      </c>
      <c r="B3927" s="1" t="n">
        <v>44519</v>
      </c>
      <c r="C3927" s="1" t="n">
        <v>45710</v>
      </c>
      <c r="D3927" t="inlineStr">
        <is>
          <t>ÖSTERGÖTLANDS LÄN</t>
        </is>
      </c>
      <c r="E3927" t="inlineStr">
        <is>
          <t>VALDEMARSVIK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66977-2021</t>
        </is>
      </c>
      <c r="B3928" s="1" t="n">
        <v>44522</v>
      </c>
      <c r="C3928" s="1" t="n">
        <v>45710</v>
      </c>
      <c r="D3928" t="inlineStr">
        <is>
          <t>ÖSTERGÖTLANDS LÄN</t>
        </is>
      </c>
      <c r="E3928" t="inlineStr">
        <is>
          <t>MJÖLBY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67322-2021</t>
        </is>
      </c>
      <c r="B3929" s="1" t="n">
        <v>44523</v>
      </c>
      <c r="C3929" s="1" t="n">
        <v>45710</v>
      </c>
      <c r="D3929" t="inlineStr">
        <is>
          <t>ÖSTERGÖTLANDS LÄN</t>
        </is>
      </c>
      <c r="E3929" t="inlineStr">
        <is>
          <t>LINKÖPING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67326-2021</t>
        </is>
      </c>
      <c r="B3930" s="1" t="n">
        <v>44523</v>
      </c>
      <c r="C3930" s="1" t="n">
        <v>45710</v>
      </c>
      <c r="D3930" t="inlineStr">
        <is>
          <t>ÖSTERGÖTLANDS LÄN</t>
        </is>
      </c>
      <c r="E3930" t="inlineStr">
        <is>
          <t>LINKÖPING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67372-2021</t>
        </is>
      </c>
      <c r="B3931" s="1" t="n">
        <v>44523</v>
      </c>
      <c r="C3931" s="1" t="n">
        <v>45710</v>
      </c>
      <c r="D3931" t="inlineStr">
        <is>
          <t>ÖSTERGÖTLANDS LÄN</t>
        </is>
      </c>
      <c r="E3931" t="inlineStr">
        <is>
          <t>BOXHOLM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67362-2021</t>
        </is>
      </c>
      <c r="B3932" s="1" t="n">
        <v>44523</v>
      </c>
      <c r="C3932" s="1" t="n">
        <v>45710</v>
      </c>
      <c r="D3932" t="inlineStr">
        <is>
          <t>ÖSTERGÖTLANDS LÄN</t>
        </is>
      </c>
      <c r="E3932" t="inlineStr">
        <is>
          <t>BOXHOLM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67371-2021</t>
        </is>
      </c>
      <c r="B3933" s="1" t="n">
        <v>44523</v>
      </c>
      <c r="C3933" s="1" t="n">
        <v>45710</v>
      </c>
      <c r="D3933" t="inlineStr">
        <is>
          <t>ÖSTERGÖTLANDS LÄN</t>
        </is>
      </c>
      <c r="E3933" t="inlineStr">
        <is>
          <t>BOXHOLM</t>
        </is>
      </c>
      <c r="G3933" t="n">
        <v>3.6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67631-2021</t>
        </is>
      </c>
      <c r="B3934" s="1" t="n">
        <v>44524</v>
      </c>
      <c r="C3934" s="1" t="n">
        <v>45710</v>
      </c>
      <c r="D3934" t="inlineStr">
        <is>
          <t>ÖSTERGÖTLANDS LÄN</t>
        </is>
      </c>
      <c r="E3934" t="inlineStr">
        <is>
          <t>NORRKÖPING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67646-2021</t>
        </is>
      </c>
      <c r="B3935" s="1" t="n">
        <v>44524</v>
      </c>
      <c r="C3935" s="1" t="n">
        <v>45710</v>
      </c>
      <c r="D3935" t="inlineStr">
        <is>
          <t>ÖSTERGÖTLANDS LÄN</t>
        </is>
      </c>
      <c r="E3935" t="inlineStr">
        <is>
          <t>NORRKÖPING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67625-2021</t>
        </is>
      </c>
      <c r="B3936" s="1" t="n">
        <v>44524</v>
      </c>
      <c r="C3936" s="1" t="n">
        <v>45710</v>
      </c>
      <c r="D3936" t="inlineStr">
        <is>
          <t>ÖSTERGÖTLANDS LÄN</t>
        </is>
      </c>
      <c r="E3936" t="inlineStr">
        <is>
          <t>NORRKÖPING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67748-2021</t>
        </is>
      </c>
      <c r="B3937" s="1" t="n">
        <v>44525</v>
      </c>
      <c r="C3937" s="1" t="n">
        <v>45710</v>
      </c>
      <c r="D3937" t="inlineStr">
        <is>
          <t>ÖSTERGÖTLANDS LÄN</t>
        </is>
      </c>
      <c r="E3937" t="inlineStr">
        <is>
          <t>MOTALA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67789-2021</t>
        </is>
      </c>
      <c r="B3938" s="1" t="n">
        <v>44525</v>
      </c>
      <c r="C3938" s="1" t="n">
        <v>45710</v>
      </c>
      <c r="D3938" t="inlineStr">
        <is>
          <t>ÖSTERGÖTLANDS LÄN</t>
        </is>
      </c>
      <c r="E3938" t="inlineStr">
        <is>
          <t>KINDA</t>
        </is>
      </c>
      <c r="G3938" t="n">
        <v>19.4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67912-2021</t>
        </is>
      </c>
      <c r="B3939" s="1" t="n">
        <v>44525</v>
      </c>
      <c r="C3939" s="1" t="n">
        <v>45710</v>
      </c>
      <c r="D3939" t="inlineStr">
        <is>
          <t>ÖSTERGÖTLANDS LÄN</t>
        </is>
      </c>
      <c r="E3939" t="inlineStr">
        <is>
          <t>LINKÖPING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67767-2021</t>
        </is>
      </c>
      <c r="B3940" s="1" t="n">
        <v>44525</v>
      </c>
      <c r="C3940" s="1" t="n">
        <v>45710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Holmen skog AB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67940-2021</t>
        </is>
      </c>
      <c r="B3941" s="1" t="n">
        <v>44525</v>
      </c>
      <c r="C3941" s="1" t="n">
        <v>45710</v>
      </c>
      <c r="D3941" t="inlineStr">
        <is>
          <t>ÖSTERGÖTLANDS LÄN</t>
        </is>
      </c>
      <c r="E3941" t="inlineStr">
        <is>
          <t>LINKÖPING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68009-2021</t>
        </is>
      </c>
      <c r="B3942" s="1" t="n">
        <v>44525</v>
      </c>
      <c r="C3942" s="1" t="n">
        <v>45710</v>
      </c>
      <c r="D3942" t="inlineStr">
        <is>
          <t>ÖSTERGÖTLANDS LÄN</t>
        </is>
      </c>
      <c r="E3942" t="inlineStr">
        <is>
          <t>FINSPÅNG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68122-2021</t>
        </is>
      </c>
      <c r="B3943" s="1" t="n">
        <v>44526</v>
      </c>
      <c r="C3943" s="1" t="n">
        <v>45710</v>
      </c>
      <c r="D3943" t="inlineStr">
        <is>
          <t>ÖSTERGÖTLANDS LÄN</t>
        </is>
      </c>
      <c r="E3943" t="inlineStr">
        <is>
          <t>FINSPÅNG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68095-2021</t>
        </is>
      </c>
      <c r="B3944" s="1" t="n">
        <v>44526</v>
      </c>
      <c r="C3944" s="1" t="n">
        <v>45710</v>
      </c>
      <c r="D3944" t="inlineStr">
        <is>
          <t>ÖSTERGÖTLANDS LÄN</t>
        </is>
      </c>
      <c r="E3944" t="inlineStr">
        <is>
          <t>MJÖLBY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68288-2021</t>
        </is>
      </c>
      <c r="B3945" s="1" t="n">
        <v>44526</v>
      </c>
      <c r="C3945" s="1" t="n">
        <v>45710</v>
      </c>
      <c r="D3945" t="inlineStr">
        <is>
          <t>ÖSTERGÖTLANDS LÄN</t>
        </is>
      </c>
      <c r="E3945" t="inlineStr">
        <is>
          <t>MOTALA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68348-2021</t>
        </is>
      </c>
      <c r="B3946" s="1" t="n">
        <v>44528</v>
      </c>
      <c r="C3946" s="1" t="n">
        <v>45710</v>
      </c>
      <c r="D3946" t="inlineStr">
        <is>
          <t>ÖSTERGÖTLANDS LÄN</t>
        </is>
      </c>
      <c r="E3946" t="inlineStr">
        <is>
          <t>MOTALA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68547-2021</t>
        </is>
      </c>
      <c r="B3947" s="1" t="n">
        <v>44528</v>
      </c>
      <c r="C3947" s="1" t="n">
        <v>45710</v>
      </c>
      <c r="D3947" t="inlineStr">
        <is>
          <t>ÖSTERGÖTLANDS LÄN</t>
        </is>
      </c>
      <c r="E3947" t="inlineStr">
        <is>
          <t>ÅTVIDABERG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68984-2021</t>
        </is>
      </c>
      <c r="B3948" s="1" t="n">
        <v>44530</v>
      </c>
      <c r="C3948" s="1" t="n">
        <v>45710</v>
      </c>
      <c r="D3948" t="inlineStr">
        <is>
          <t>ÖSTERGÖTLANDS LÄN</t>
        </is>
      </c>
      <c r="E3948" t="inlineStr">
        <is>
          <t>SÖDERKÖPING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68983-2021</t>
        </is>
      </c>
      <c r="B3949" s="1" t="n">
        <v>44530</v>
      </c>
      <c r="C3949" s="1" t="n">
        <v>45710</v>
      </c>
      <c r="D3949" t="inlineStr">
        <is>
          <t>ÖSTERGÖTLANDS LÄN</t>
        </is>
      </c>
      <c r="E3949" t="inlineStr">
        <is>
          <t>YDRE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68936-2021</t>
        </is>
      </c>
      <c r="B3950" s="1" t="n">
        <v>44530</v>
      </c>
      <c r="C3950" s="1" t="n">
        <v>45710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69020-2021</t>
        </is>
      </c>
      <c r="B3951" s="1" t="n">
        <v>44530</v>
      </c>
      <c r="C3951" s="1" t="n">
        <v>45710</v>
      </c>
      <c r="D3951" t="inlineStr">
        <is>
          <t>ÖSTERGÖTLANDS LÄN</t>
        </is>
      </c>
      <c r="E3951" t="inlineStr">
        <is>
          <t>YDRE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69017-2021</t>
        </is>
      </c>
      <c r="B3952" s="1" t="n">
        <v>44530</v>
      </c>
      <c r="C3952" s="1" t="n">
        <v>45710</v>
      </c>
      <c r="D3952" t="inlineStr">
        <is>
          <t>ÖSTERGÖTLANDS LÄN</t>
        </is>
      </c>
      <c r="E3952" t="inlineStr">
        <is>
          <t>YDRE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69065-2021</t>
        </is>
      </c>
      <c r="B3953" s="1" t="n">
        <v>44530</v>
      </c>
      <c r="C3953" s="1" t="n">
        <v>45710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69038-2021</t>
        </is>
      </c>
      <c r="B3954" s="1" t="n">
        <v>44530</v>
      </c>
      <c r="C3954" s="1" t="n">
        <v>45710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69307-2021</t>
        </is>
      </c>
      <c r="B3955" s="1" t="n">
        <v>44531</v>
      </c>
      <c r="C3955" s="1" t="n">
        <v>45710</v>
      </c>
      <c r="D3955" t="inlineStr">
        <is>
          <t>ÖSTERGÖTLANDS LÄN</t>
        </is>
      </c>
      <c r="E3955" t="inlineStr">
        <is>
          <t>YDRE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69457-2021</t>
        </is>
      </c>
      <c r="B3956" s="1" t="n">
        <v>44531</v>
      </c>
      <c r="C3956" s="1" t="n">
        <v>45710</v>
      </c>
      <c r="D3956" t="inlineStr">
        <is>
          <t>ÖSTERGÖTLANDS LÄN</t>
        </is>
      </c>
      <c r="E3956" t="inlineStr">
        <is>
          <t>VALDEMARSVIK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69261-2021</t>
        </is>
      </c>
      <c r="B3957" s="1" t="n">
        <v>44531</v>
      </c>
      <c r="C3957" s="1" t="n">
        <v>45710</v>
      </c>
      <c r="D3957" t="inlineStr">
        <is>
          <t>ÖSTERGÖTLANDS LÄN</t>
        </is>
      </c>
      <c r="E3957" t="inlineStr">
        <is>
          <t>VALDEMARSVIK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69343-2021</t>
        </is>
      </c>
      <c r="B3958" s="1" t="n">
        <v>44531</v>
      </c>
      <c r="C3958" s="1" t="n">
        <v>45710</v>
      </c>
      <c r="D3958" t="inlineStr">
        <is>
          <t>ÖSTERGÖTLANDS LÄN</t>
        </is>
      </c>
      <c r="E3958" t="inlineStr">
        <is>
          <t>ÅTVIDABERG</t>
        </is>
      </c>
      <c r="F3958" t="inlineStr">
        <is>
          <t>Övriga Aktiebolag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69425-2021</t>
        </is>
      </c>
      <c r="B3959" s="1" t="n">
        <v>44531</v>
      </c>
      <c r="C3959" s="1" t="n">
        <v>45710</v>
      </c>
      <c r="D3959" t="inlineStr">
        <is>
          <t>ÖSTERGÖTLANDS LÄN</t>
        </is>
      </c>
      <c r="E3959" t="inlineStr">
        <is>
          <t>SÖDERKÖPING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69717-2021</t>
        </is>
      </c>
      <c r="B3960" s="1" t="n">
        <v>44532</v>
      </c>
      <c r="C3960" s="1" t="n">
        <v>45710</v>
      </c>
      <c r="D3960" t="inlineStr">
        <is>
          <t>ÖSTERGÖTLANDS LÄN</t>
        </is>
      </c>
      <c r="E3960" t="inlineStr">
        <is>
          <t>FINSPÅNG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69775-2021</t>
        </is>
      </c>
      <c r="B3961" s="1" t="n">
        <v>44532</v>
      </c>
      <c r="C3961" s="1" t="n">
        <v>45710</v>
      </c>
      <c r="D3961" t="inlineStr">
        <is>
          <t>ÖSTERGÖTLANDS LÄN</t>
        </is>
      </c>
      <c r="E3961" t="inlineStr">
        <is>
          <t>FINSPÅNG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69855-2021</t>
        </is>
      </c>
      <c r="B3962" s="1" t="n">
        <v>44532</v>
      </c>
      <c r="C3962" s="1" t="n">
        <v>45710</v>
      </c>
      <c r="D3962" t="inlineStr">
        <is>
          <t>ÖSTERGÖTLANDS LÄN</t>
        </is>
      </c>
      <c r="E3962" t="inlineStr">
        <is>
          <t>ÅTVIDABERG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69940-2021</t>
        </is>
      </c>
      <c r="B3963" s="1" t="n">
        <v>44533</v>
      </c>
      <c r="C3963" s="1" t="n">
        <v>45710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70105-2021</t>
        </is>
      </c>
      <c r="B3964" s="1" t="n">
        <v>44533</v>
      </c>
      <c r="C3964" s="1" t="n">
        <v>45710</v>
      </c>
      <c r="D3964" t="inlineStr">
        <is>
          <t>ÖSTERGÖTLANDS LÄN</t>
        </is>
      </c>
      <c r="E3964" t="inlineStr">
        <is>
          <t>FINSPÅNG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70161-2021</t>
        </is>
      </c>
      <c r="B3965" s="1" t="n">
        <v>44533</v>
      </c>
      <c r="C3965" s="1" t="n">
        <v>45710</v>
      </c>
      <c r="D3965" t="inlineStr">
        <is>
          <t>ÖSTERGÖTLANDS LÄN</t>
        </is>
      </c>
      <c r="E3965" t="inlineStr">
        <is>
          <t>LINKÖPING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69994-2021</t>
        </is>
      </c>
      <c r="B3966" s="1" t="n">
        <v>44533</v>
      </c>
      <c r="C3966" s="1" t="n">
        <v>45710</v>
      </c>
      <c r="D3966" t="inlineStr">
        <is>
          <t>ÖSTERGÖTLANDS LÄN</t>
        </is>
      </c>
      <c r="E3966" t="inlineStr">
        <is>
          <t>FINSPÅNG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69989-2021</t>
        </is>
      </c>
      <c r="B3967" s="1" t="n">
        <v>44533</v>
      </c>
      <c r="C3967" s="1" t="n">
        <v>45710</v>
      </c>
      <c r="D3967" t="inlineStr">
        <is>
          <t>ÖSTERGÖTLANDS LÄN</t>
        </is>
      </c>
      <c r="E3967" t="inlineStr">
        <is>
          <t>FINSPÅNG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70378-2021</t>
        </is>
      </c>
      <c r="B3968" s="1" t="n">
        <v>44536</v>
      </c>
      <c r="C3968" s="1" t="n">
        <v>45710</v>
      </c>
      <c r="D3968" t="inlineStr">
        <is>
          <t>ÖSTERGÖTLANDS LÄN</t>
        </is>
      </c>
      <c r="E3968" t="inlineStr">
        <is>
          <t>NORRKÖPING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70314-2021</t>
        </is>
      </c>
      <c r="B3969" s="1" t="n">
        <v>44536</v>
      </c>
      <c r="C3969" s="1" t="n">
        <v>45710</v>
      </c>
      <c r="D3969" t="inlineStr">
        <is>
          <t>ÖSTERGÖTLANDS LÄN</t>
        </is>
      </c>
      <c r="E3969" t="inlineStr">
        <is>
          <t>VALDEMARSVIK</t>
        </is>
      </c>
      <c r="G3969" t="n">
        <v>3.5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70407-2021</t>
        </is>
      </c>
      <c r="B3970" s="1" t="n">
        <v>44536</v>
      </c>
      <c r="C3970" s="1" t="n">
        <v>45710</v>
      </c>
      <c r="D3970" t="inlineStr">
        <is>
          <t>ÖSTERGÖTLANDS LÄN</t>
        </is>
      </c>
      <c r="E3970" t="inlineStr">
        <is>
          <t>FINSPÅNG</t>
        </is>
      </c>
      <c r="F3970" t="inlineStr">
        <is>
          <t>Holmen skog AB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70505-2021</t>
        </is>
      </c>
      <c r="B3971" s="1" t="n">
        <v>44536</v>
      </c>
      <c r="C3971" s="1" t="n">
        <v>45710</v>
      </c>
      <c r="D3971" t="inlineStr">
        <is>
          <t>ÖSTERGÖTLANDS LÄN</t>
        </is>
      </c>
      <c r="E3971" t="inlineStr">
        <is>
          <t>FINSPÅNG</t>
        </is>
      </c>
      <c r="G3971" t="n">
        <v>4.5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70435-2021</t>
        </is>
      </c>
      <c r="B3972" s="1" t="n">
        <v>44536</v>
      </c>
      <c r="C3972" s="1" t="n">
        <v>45710</v>
      </c>
      <c r="D3972" t="inlineStr">
        <is>
          <t>ÖSTERGÖTLANDS LÄN</t>
        </is>
      </c>
      <c r="E3972" t="inlineStr">
        <is>
          <t>LINKÖPING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70448-2021</t>
        </is>
      </c>
      <c r="B3973" s="1" t="n">
        <v>44536</v>
      </c>
      <c r="C3973" s="1" t="n">
        <v>45710</v>
      </c>
      <c r="D3973" t="inlineStr">
        <is>
          <t>ÖSTERGÖTLANDS LÄN</t>
        </is>
      </c>
      <c r="E3973" t="inlineStr">
        <is>
          <t>YDRE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70564-2021</t>
        </is>
      </c>
      <c r="B3974" s="1" t="n">
        <v>44537</v>
      </c>
      <c r="C3974" s="1" t="n">
        <v>45710</v>
      </c>
      <c r="D3974" t="inlineStr">
        <is>
          <t>ÖSTERGÖTLANDS LÄN</t>
        </is>
      </c>
      <c r="E3974" t="inlineStr">
        <is>
          <t>MOTALA</t>
        </is>
      </c>
      <c r="G3974" t="n">
        <v>8.1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70793-2021</t>
        </is>
      </c>
      <c r="B3975" s="1" t="n">
        <v>44537</v>
      </c>
      <c r="C3975" s="1" t="n">
        <v>45710</v>
      </c>
      <c r="D3975" t="inlineStr">
        <is>
          <t>ÖSTERGÖTLANDS LÄN</t>
        </is>
      </c>
      <c r="E3975" t="inlineStr">
        <is>
          <t>SÖDERKÖPING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70835-2021</t>
        </is>
      </c>
      <c r="B3976" s="1" t="n">
        <v>44537</v>
      </c>
      <c r="C3976" s="1" t="n">
        <v>45710</v>
      </c>
      <c r="D3976" t="inlineStr">
        <is>
          <t>ÖSTERGÖTLANDS LÄN</t>
        </is>
      </c>
      <c r="E3976" t="inlineStr">
        <is>
          <t>LINKÖPING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71037-2021</t>
        </is>
      </c>
      <c r="B3977" s="1" t="n">
        <v>44537</v>
      </c>
      <c r="C3977" s="1" t="n">
        <v>45710</v>
      </c>
      <c r="D3977" t="inlineStr">
        <is>
          <t>ÖSTERGÖTLANDS LÄN</t>
        </is>
      </c>
      <c r="E3977" t="inlineStr">
        <is>
          <t>BOXHOLM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71093-2021</t>
        </is>
      </c>
      <c r="B3978" s="1" t="n">
        <v>44537</v>
      </c>
      <c r="C3978" s="1" t="n">
        <v>45710</v>
      </c>
      <c r="D3978" t="inlineStr">
        <is>
          <t>ÖSTERGÖTLANDS LÄN</t>
        </is>
      </c>
      <c r="E3978" t="inlineStr">
        <is>
          <t>NORRKÖPING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71096-2021</t>
        </is>
      </c>
      <c r="B3979" s="1" t="n">
        <v>44537</v>
      </c>
      <c r="C3979" s="1" t="n">
        <v>45710</v>
      </c>
      <c r="D3979" t="inlineStr">
        <is>
          <t>ÖSTERGÖTLANDS LÄN</t>
        </is>
      </c>
      <c r="E3979" t="inlineStr">
        <is>
          <t>NORRKÖPING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71030-2021</t>
        </is>
      </c>
      <c r="B3980" s="1" t="n">
        <v>44538</v>
      </c>
      <c r="C3980" s="1" t="n">
        <v>45710</v>
      </c>
      <c r="D3980" t="inlineStr">
        <is>
          <t>ÖSTERGÖTLANDS LÄN</t>
        </is>
      </c>
      <c r="E3980" t="inlineStr">
        <is>
          <t>BOXHOLM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71038-2021</t>
        </is>
      </c>
      <c r="B3981" s="1" t="n">
        <v>44538</v>
      </c>
      <c r="C3981" s="1" t="n">
        <v>45710</v>
      </c>
      <c r="D3981" t="inlineStr">
        <is>
          <t>ÖSTERGÖTLANDS LÄN</t>
        </is>
      </c>
      <c r="E3981" t="inlineStr">
        <is>
          <t>ÖDESHÖG</t>
        </is>
      </c>
      <c r="G3981" t="n">
        <v>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71034-2021</t>
        </is>
      </c>
      <c r="B3982" s="1" t="n">
        <v>44538</v>
      </c>
      <c r="C3982" s="1" t="n">
        <v>45710</v>
      </c>
      <c r="D3982" t="inlineStr">
        <is>
          <t>ÖSTERGÖTLANDS LÄN</t>
        </is>
      </c>
      <c r="E3982" t="inlineStr">
        <is>
          <t>ÖDESHÖG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71029-2021</t>
        </is>
      </c>
      <c r="B3983" s="1" t="n">
        <v>44538</v>
      </c>
      <c r="C3983" s="1" t="n">
        <v>45710</v>
      </c>
      <c r="D3983" t="inlineStr">
        <is>
          <t>ÖSTERGÖTLANDS LÄN</t>
        </is>
      </c>
      <c r="E3983" t="inlineStr">
        <is>
          <t>ÖDESHÖG</t>
        </is>
      </c>
      <c r="G3983" t="n">
        <v>0.4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71041-2021</t>
        </is>
      </c>
      <c r="B3984" s="1" t="n">
        <v>44538</v>
      </c>
      <c r="C3984" s="1" t="n">
        <v>45710</v>
      </c>
      <c r="D3984" t="inlineStr">
        <is>
          <t>ÖSTERGÖTLANDS LÄN</t>
        </is>
      </c>
      <c r="E3984" t="inlineStr">
        <is>
          <t>YDRE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71035-2021</t>
        </is>
      </c>
      <c r="B3985" s="1" t="n">
        <v>44538</v>
      </c>
      <c r="C3985" s="1" t="n">
        <v>45710</v>
      </c>
      <c r="D3985" t="inlineStr">
        <is>
          <t>ÖSTERGÖTLANDS LÄN</t>
        </is>
      </c>
      <c r="E3985" t="inlineStr">
        <is>
          <t>YDRE</t>
        </is>
      </c>
      <c r="G3985" t="n">
        <v>4.5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71053-2021</t>
        </is>
      </c>
      <c r="B3986" s="1" t="n">
        <v>44538</v>
      </c>
      <c r="C3986" s="1" t="n">
        <v>45710</v>
      </c>
      <c r="D3986" t="inlineStr">
        <is>
          <t>ÖSTERGÖTLANDS LÄN</t>
        </is>
      </c>
      <c r="E3986" t="inlineStr">
        <is>
          <t>FINSPÅNG</t>
        </is>
      </c>
      <c r="F3986" t="inlineStr">
        <is>
          <t>Övriga Aktiebolag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71524-2021</t>
        </is>
      </c>
      <c r="B3987" s="1" t="n">
        <v>44538</v>
      </c>
      <c r="C3987" s="1" t="n">
        <v>45710</v>
      </c>
      <c r="D3987" t="inlineStr">
        <is>
          <t>ÖSTERGÖTLANDS LÄN</t>
        </is>
      </c>
      <c r="E3987" t="inlineStr">
        <is>
          <t>YDRE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71094-2021</t>
        </is>
      </c>
      <c r="B3988" s="1" t="n">
        <v>44539</v>
      </c>
      <c r="C3988" s="1" t="n">
        <v>45710</v>
      </c>
      <c r="D3988" t="inlineStr">
        <is>
          <t>ÖSTERGÖTLANDS LÄN</t>
        </is>
      </c>
      <c r="E3988" t="inlineStr">
        <is>
          <t>LINKÖPING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71205-2021</t>
        </is>
      </c>
      <c r="B3989" s="1" t="n">
        <v>44539</v>
      </c>
      <c r="C3989" s="1" t="n">
        <v>45710</v>
      </c>
      <c r="D3989" t="inlineStr">
        <is>
          <t>ÖSTERGÖTLANDS LÄN</t>
        </is>
      </c>
      <c r="E3989" t="inlineStr">
        <is>
          <t>MOTALA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71098-2021</t>
        </is>
      </c>
      <c r="B3990" s="1" t="n">
        <v>44539</v>
      </c>
      <c r="C3990" s="1" t="n">
        <v>45710</v>
      </c>
      <c r="D3990" t="inlineStr">
        <is>
          <t>ÖSTERGÖTLANDS LÄN</t>
        </is>
      </c>
      <c r="E3990" t="inlineStr">
        <is>
          <t>KINDA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71788-2021</t>
        </is>
      </c>
      <c r="B3991" s="1" t="n">
        <v>44539</v>
      </c>
      <c r="C3991" s="1" t="n">
        <v>45710</v>
      </c>
      <c r="D3991" t="inlineStr">
        <is>
          <t>ÖSTERGÖTLANDS LÄN</t>
        </is>
      </c>
      <c r="E3991" t="inlineStr">
        <is>
          <t>ÅTVIDABERG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71791-2021</t>
        </is>
      </c>
      <c r="B3992" s="1" t="n">
        <v>44539</v>
      </c>
      <c r="C3992" s="1" t="n">
        <v>45710</v>
      </c>
      <c r="D3992" t="inlineStr">
        <is>
          <t>ÖSTERGÖTLANDS LÄN</t>
        </is>
      </c>
      <c r="E3992" t="inlineStr">
        <is>
          <t>ÅTVIDABERG</t>
        </is>
      </c>
      <c r="G3992" t="n">
        <v>2.3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71426-2021</t>
        </is>
      </c>
      <c r="B3993" s="1" t="n">
        <v>44540</v>
      </c>
      <c r="C3993" s="1" t="n">
        <v>45710</v>
      </c>
      <c r="D3993" t="inlineStr">
        <is>
          <t>ÖSTERGÖTLANDS LÄN</t>
        </is>
      </c>
      <c r="E3993" t="inlineStr">
        <is>
          <t>SÖDERKÖPING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72026-2021</t>
        </is>
      </c>
      <c r="B3994" s="1" t="n">
        <v>44540</v>
      </c>
      <c r="C3994" s="1" t="n">
        <v>45710</v>
      </c>
      <c r="D3994" t="inlineStr">
        <is>
          <t>ÖSTERGÖTLANDS LÄN</t>
        </is>
      </c>
      <c r="E3994" t="inlineStr">
        <is>
          <t>YDRE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71514-2021</t>
        </is>
      </c>
      <c r="B3995" s="1" t="n">
        <v>44540</v>
      </c>
      <c r="C3995" s="1" t="n">
        <v>45710</v>
      </c>
      <c r="D3995" t="inlineStr">
        <is>
          <t>ÖSTERGÖTLANDS LÄN</t>
        </is>
      </c>
      <c r="E3995" t="inlineStr">
        <is>
          <t>ÖDESHÖG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71597-2021</t>
        </is>
      </c>
      <c r="B3996" s="1" t="n">
        <v>44541</v>
      </c>
      <c r="C3996" s="1" t="n">
        <v>45710</v>
      </c>
      <c r="D3996" t="inlineStr">
        <is>
          <t>ÖSTERGÖTLANDS LÄN</t>
        </is>
      </c>
      <c r="E3996" t="inlineStr">
        <is>
          <t>FINSPÅNG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71601-2021</t>
        </is>
      </c>
      <c r="B3997" s="1" t="n">
        <v>44541</v>
      </c>
      <c r="C3997" s="1" t="n">
        <v>45710</v>
      </c>
      <c r="D3997" t="inlineStr">
        <is>
          <t>ÖSTERGÖTLANDS LÄN</t>
        </is>
      </c>
      <c r="E3997" t="inlineStr">
        <is>
          <t>FINSPÅNG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71602-2021</t>
        </is>
      </c>
      <c r="B3998" s="1" t="n">
        <v>44541</v>
      </c>
      <c r="C3998" s="1" t="n">
        <v>45710</v>
      </c>
      <c r="D3998" t="inlineStr">
        <is>
          <t>ÖSTERGÖTLANDS LÄN</t>
        </is>
      </c>
      <c r="E3998" t="inlineStr">
        <is>
          <t>FINSPÅNG</t>
        </is>
      </c>
      <c r="G3998" t="n">
        <v>6.7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71768-2021</t>
        </is>
      </c>
      <c r="B3999" s="1" t="n">
        <v>44543</v>
      </c>
      <c r="C3999" s="1" t="n">
        <v>45710</v>
      </c>
      <c r="D3999" t="inlineStr">
        <is>
          <t>ÖSTERGÖTLANDS LÄN</t>
        </is>
      </c>
      <c r="E3999" t="inlineStr">
        <is>
          <t>ÅTVIDABERG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71865-2021</t>
        </is>
      </c>
      <c r="B4000" s="1" t="n">
        <v>44543</v>
      </c>
      <c r="C4000" s="1" t="n">
        <v>45710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71984-2021</t>
        </is>
      </c>
      <c r="B4001" s="1" t="n">
        <v>44544</v>
      </c>
      <c r="C4001" s="1" t="n">
        <v>45710</v>
      </c>
      <c r="D4001" t="inlineStr">
        <is>
          <t>ÖSTERGÖTLANDS LÄN</t>
        </is>
      </c>
      <c r="E4001" t="inlineStr">
        <is>
          <t>MOTALA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72282-2021</t>
        </is>
      </c>
      <c r="B4002" s="1" t="n">
        <v>44545</v>
      </c>
      <c r="C4002" s="1" t="n">
        <v>45710</v>
      </c>
      <c r="D4002" t="inlineStr">
        <is>
          <t>ÖSTERGÖTLANDS LÄN</t>
        </is>
      </c>
      <c r="E4002" t="inlineStr">
        <is>
          <t>BOXHOLM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72287-2021</t>
        </is>
      </c>
      <c r="B4003" s="1" t="n">
        <v>44545</v>
      </c>
      <c r="C4003" s="1" t="n">
        <v>45710</v>
      </c>
      <c r="D4003" t="inlineStr">
        <is>
          <t>ÖSTERGÖTLANDS LÄN</t>
        </is>
      </c>
      <c r="E4003" t="inlineStr">
        <is>
          <t>BOXHOLM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72285-2021</t>
        </is>
      </c>
      <c r="B4004" s="1" t="n">
        <v>44545</v>
      </c>
      <c r="C4004" s="1" t="n">
        <v>45710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72381-2021</t>
        </is>
      </c>
      <c r="B4005" s="1" t="n">
        <v>44545</v>
      </c>
      <c r="C4005" s="1" t="n">
        <v>45710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72254-2021</t>
        </is>
      </c>
      <c r="B4006" s="1" t="n">
        <v>44545</v>
      </c>
      <c r="C4006" s="1" t="n">
        <v>45710</v>
      </c>
      <c r="D4006" t="inlineStr">
        <is>
          <t>ÖSTERGÖTLANDS LÄN</t>
        </is>
      </c>
      <c r="E4006" t="inlineStr">
        <is>
          <t>ÅTVIDABERG</t>
        </is>
      </c>
      <c r="G4006" t="n">
        <v>0.2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72283-2021</t>
        </is>
      </c>
      <c r="B4007" s="1" t="n">
        <v>44545</v>
      </c>
      <c r="C4007" s="1" t="n">
        <v>45710</v>
      </c>
      <c r="D4007" t="inlineStr">
        <is>
          <t>ÖSTERGÖTLANDS LÄN</t>
        </is>
      </c>
      <c r="E4007" t="inlineStr">
        <is>
          <t>BOXHOLM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72290-2021</t>
        </is>
      </c>
      <c r="B4008" s="1" t="n">
        <v>44545</v>
      </c>
      <c r="C4008" s="1" t="n">
        <v>45710</v>
      </c>
      <c r="D4008" t="inlineStr">
        <is>
          <t>ÖSTERGÖTLANDS LÄN</t>
        </is>
      </c>
      <c r="E4008" t="inlineStr">
        <is>
          <t>MJÖLBY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72398-2021</t>
        </is>
      </c>
      <c r="B4009" s="1" t="n">
        <v>44545</v>
      </c>
      <c r="C4009" s="1" t="n">
        <v>45710</v>
      </c>
      <c r="D4009" t="inlineStr">
        <is>
          <t>ÖSTERGÖTLANDS LÄN</t>
        </is>
      </c>
      <c r="E4009" t="inlineStr">
        <is>
          <t>ÅTVIDABERG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72603-2021</t>
        </is>
      </c>
      <c r="B4010" s="1" t="n">
        <v>44546</v>
      </c>
      <c r="C4010" s="1" t="n">
        <v>45710</v>
      </c>
      <c r="D4010" t="inlineStr">
        <is>
          <t>ÖSTERGÖTLANDS LÄN</t>
        </is>
      </c>
      <c r="E4010" t="inlineStr">
        <is>
          <t>ÖDESHÖG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72560-2021</t>
        </is>
      </c>
      <c r="B4011" s="1" t="n">
        <v>44546</v>
      </c>
      <c r="C4011" s="1" t="n">
        <v>45710</v>
      </c>
      <c r="D4011" t="inlineStr">
        <is>
          <t>ÖSTERGÖTLANDS LÄN</t>
        </is>
      </c>
      <c r="E4011" t="inlineStr">
        <is>
          <t>MJÖLBY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72563-2021</t>
        </is>
      </c>
      <c r="B4012" s="1" t="n">
        <v>44546</v>
      </c>
      <c r="C4012" s="1" t="n">
        <v>45710</v>
      </c>
      <c r="D4012" t="inlineStr">
        <is>
          <t>ÖSTERGÖTLANDS LÄN</t>
        </is>
      </c>
      <c r="E4012" t="inlineStr">
        <is>
          <t>MJÖLBY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72558-2021</t>
        </is>
      </c>
      <c r="B4013" s="1" t="n">
        <v>44546</v>
      </c>
      <c r="C4013" s="1" t="n">
        <v>45710</v>
      </c>
      <c r="D4013" t="inlineStr">
        <is>
          <t>ÖSTERGÖTLANDS LÄN</t>
        </is>
      </c>
      <c r="E4013" t="inlineStr">
        <is>
          <t>MJÖLBY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72567-2021</t>
        </is>
      </c>
      <c r="B4014" s="1" t="n">
        <v>44546</v>
      </c>
      <c r="C4014" s="1" t="n">
        <v>45710</v>
      </c>
      <c r="D4014" t="inlineStr">
        <is>
          <t>ÖSTERGÖTLANDS LÄN</t>
        </is>
      </c>
      <c r="E4014" t="inlineStr">
        <is>
          <t>LINKÖPING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72597-2021</t>
        </is>
      </c>
      <c r="B4015" s="1" t="n">
        <v>44546</v>
      </c>
      <c r="C4015" s="1" t="n">
        <v>45710</v>
      </c>
      <c r="D4015" t="inlineStr">
        <is>
          <t>ÖSTERGÖTLANDS LÄN</t>
        </is>
      </c>
      <c r="E4015" t="inlineStr">
        <is>
          <t>ÅTVIDABERG</t>
        </is>
      </c>
      <c r="F4015" t="inlineStr">
        <is>
          <t>Holmen skog AB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72716-2021</t>
        </is>
      </c>
      <c r="B4016" s="1" t="n">
        <v>44546</v>
      </c>
      <c r="C4016" s="1" t="n">
        <v>45710</v>
      </c>
      <c r="D4016" t="inlineStr">
        <is>
          <t>ÖSTERGÖTLANDS LÄN</t>
        </is>
      </c>
      <c r="E4016" t="inlineStr">
        <is>
          <t>ÅTVIDABERG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72696-2021</t>
        </is>
      </c>
      <c r="B4017" s="1" t="n">
        <v>44546</v>
      </c>
      <c r="C4017" s="1" t="n">
        <v>45710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72853-2021</t>
        </is>
      </c>
      <c r="B4018" s="1" t="n">
        <v>44547</v>
      </c>
      <c r="C4018" s="1" t="n">
        <v>45710</v>
      </c>
      <c r="D4018" t="inlineStr">
        <is>
          <t>ÖSTERGÖTLANDS LÄN</t>
        </is>
      </c>
      <c r="E4018" t="inlineStr">
        <is>
          <t>LINKÖPING</t>
        </is>
      </c>
      <c r="F4018" t="inlineStr">
        <is>
          <t>Sveaskog</t>
        </is>
      </c>
      <c r="G4018" t="n">
        <v>4.2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72847-2021</t>
        </is>
      </c>
      <c r="B4019" s="1" t="n">
        <v>44547</v>
      </c>
      <c r="C4019" s="1" t="n">
        <v>45710</v>
      </c>
      <c r="D4019" t="inlineStr">
        <is>
          <t>ÖSTERGÖTLANDS LÄN</t>
        </is>
      </c>
      <c r="E4019" t="inlineStr">
        <is>
          <t>MOTALA</t>
        </is>
      </c>
      <c r="F4019" t="inlineStr">
        <is>
          <t>Sveaskog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73260-2021</t>
        </is>
      </c>
      <c r="B4020" s="1" t="n">
        <v>44550</v>
      </c>
      <c r="C4020" s="1" t="n">
        <v>45710</v>
      </c>
      <c r="D4020" t="inlineStr">
        <is>
          <t>ÖSTERGÖTLANDS LÄN</t>
        </is>
      </c>
      <c r="E4020" t="inlineStr">
        <is>
          <t>FINSPÅNG</t>
        </is>
      </c>
      <c r="G4020" t="n">
        <v>10.3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73526-2021</t>
        </is>
      </c>
      <c r="B4021" s="1" t="n">
        <v>44551</v>
      </c>
      <c r="C4021" s="1" t="n">
        <v>45710</v>
      </c>
      <c r="D4021" t="inlineStr">
        <is>
          <t>ÖSTERGÖTLANDS LÄN</t>
        </is>
      </c>
      <c r="E4021" t="inlineStr">
        <is>
          <t>MOTALA</t>
        </is>
      </c>
      <c r="G4021" t="n">
        <v>11.5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73659-2021</t>
        </is>
      </c>
      <c r="B4022" s="1" t="n">
        <v>44551</v>
      </c>
      <c r="C4022" s="1" t="n">
        <v>45710</v>
      </c>
      <c r="D4022" t="inlineStr">
        <is>
          <t>ÖSTERGÖTLANDS LÄN</t>
        </is>
      </c>
      <c r="E4022" t="inlineStr">
        <is>
          <t>FINSPÅNG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73657-2021</t>
        </is>
      </c>
      <c r="B4023" s="1" t="n">
        <v>44551</v>
      </c>
      <c r="C4023" s="1" t="n">
        <v>45710</v>
      </c>
      <c r="D4023" t="inlineStr">
        <is>
          <t>ÖSTERGÖTLANDS LÄN</t>
        </is>
      </c>
      <c r="E4023" t="inlineStr">
        <is>
          <t>FINSPÅNG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73655-2021</t>
        </is>
      </c>
      <c r="B4024" s="1" t="n">
        <v>44551</v>
      </c>
      <c r="C4024" s="1" t="n">
        <v>45710</v>
      </c>
      <c r="D4024" t="inlineStr">
        <is>
          <t>ÖSTERGÖTLANDS LÄN</t>
        </is>
      </c>
      <c r="E4024" t="inlineStr">
        <is>
          <t>FINSPÅNG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73770-2021</t>
        </is>
      </c>
      <c r="B4025" s="1" t="n">
        <v>44552</v>
      </c>
      <c r="C4025" s="1" t="n">
        <v>45710</v>
      </c>
      <c r="D4025" t="inlineStr">
        <is>
          <t>ÖSTERGÖTLANDS LÄN</t>
        </is>
      </c>
      <c r="E4025" t="inlineStr">
        <is>
          <t>ÅTVIDABERG</t>
        </is>
      </c>
      <c r="F4025" t="inlineStr">
        <is>
          <t>Holmen skog AB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73831-2021</t>
        </is>
      </c>
      <c r="B4026" s="1" t="n">
        <v>44552</v>
      </c>
      <c r="C4026" s="1" t="n">
        <v>45710</v>
      </c>
      <c r="D4026" t="inlineStr">
        <is>
          <t>ÖSTERGÖTLANDS LÄN</t>
        </is>
      </c>
      <c r="E4026" t="inlineStr">
        <is>
          <t>FINSPÅNG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73842-2021</t>
        </is>
      </c>
      <c r="B4027" s="1" t="n">
        <v>44553</v>
      </c>
      <c r="C4027" s="1" t="n">
        <v>45710</v>
      </c>
      <c r="D4027" t="inlineStr">
        <is>
          <t>ÖSTERGÖTLANDS LÄN</t>
        </is>
      </c>
      <c r="E4027" t="inlineStr">
        <is>
          <t>YDRE</t>
        </is>
      </c>
      <c r="F4027" t="inlineStr">
        <is>
          <t>Övriga Aktiebolag</t>
        </is>
      </c>
      <c r="G4027" t="n">
        <v>8.1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73843-2021</t>
        </is>
      </c>
      <c r="B4028" s="1" t="n">
        <v>44553</v>
      </c>
      <c r="C4028" s="1" t="n">
        <v>45710</v>
      </c>
      <c r="D4028" t="inlineStr">
        <is>
          <t>ÖSTERGÖTLANDS LÄN</t>
        </is>
      </c>
      <c r="E4028" t="inlineStr">
        <is>
          <t>YDRE</t>
        </is>
      </c>
      <c r="F4028" t="inlineStr">
        <is>
          <t>Övriga Aktiebolag</t>
        </is>
      </c>
      <c r="G4028" t="n">
        <v>7.2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73914-2021</t>
        </is>
      </c>
      <c r="B4029" s="1" t="n">
        <v>44553</v>
      </c>
      <c r="C4029" s="1" t="n">
        <v>45710</v>
      </c>
      <c r="D4029" t="inlineStr">
        <is>
          <t>ÖSTERGÖTLANDS LÄN</t>
        </is>
      </c>
      <c r="E4029" t="inlineStr">
        <is>
          <t>FINSPÅNG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74010-2021</t>
        </is>
      </c>
      <c r="B4030" s="1" t="n">
        <v>44557</v>
      </c>
      <c r="C4030" s="1" t="n">
        <v>45710</v>
      </c>
      <c r="D4030" t="inlineStr">
        <is>
          <t>ÖSTERGÖTLANDS LÄN</t>
        </is>
      </c>
      <c r="E4030" t="inlineStr">
        <is>
          <t>NORRKÖPING</t>
        </is>
      </c>
      <c r="F4030" t="inlineStr">
        <is>
          <t>Holmen skog AB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74113-2021</t>
        </is>
      </c>
      <c r="B4031" s="1" t="n">
        <v>44557</v>
      </c>
      <c r="C4031" s="1" t="n">
        <v>45710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74111-2021</t>
        </is>
      </c>
      <c r="B4032" s="1" t="n">
        <v>44557</v>
      </c>
      <c r="C4032" s="1" t="n">
        <v>45710</v>
      </c>
      <c r="D4032" t="inlineStr">
        <is>
          <t>ÖSTERGÖTLANDS LÄN</t>
        </is>
      </c>
      <c r="E4032" t="inlineStr">
        <is>
          <t>BOXHOLM</t>
        </is>
      </c>
      <c r="G4032" t="n">
        <v>5.3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74128-2021</t>
        </is>
      </c>
      <c r="B4033" s="1" t="n">
        <v>44557</v>
      </c>
      <c r="C4033" s="1" t="n">
        <v>45710</v>
      </c>
      <c r="D4033" t="inlineStr">
        <is>
          <t>ÖSTERGÖTLANDS LÄN</t>
        </is>
      </c>
      <c r="E4033" t="inlineStr">
        <is>
          <t>BOXHOLM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74202-2021</t>
        </is>
      </c>
      <c r="B4034" s="1" t="n">
        <v>44558</v>
      </c>
      <c r="C4034" s="1" t="n">
        <v>45710</v>
      </c>
      <c r="D4034" t="inlineStr">
        <is>
          <t>ÖSTERGÖTLANDS LÄN</t>
        </is>
      </c>
      <c r="E4034" t="inlineStr">
        <is>
          <t>KINDA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74160-2021</t>
        </is>
      </c>
      <c r="B4035" s="1" t="n">
        <v>44558</v>
      </c>
      <c r="C4035" s="1" t="n">
        <v>45710</v>
      </c>
      <c r="D4035" t="inlineStr">
        <is>
          <t>ÖSTERGÖTLANDS LÄN</t>
        </is>
      </c>
      <c r="E4035" t="inlineStr">
        <is>
          <t>LINKÖPING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74446-2021</t>
        </is>
      </c>
      <c r="B4036" s="1" t="n">
        <v>44560</v>
      </c>
      <c r="C4036" s="1" t="n">
        <v>45710</v>
      </c>
      <c r="D4036" t="inlineStr">
        <is>
          <t>ÖSTERGÖTLANDS LÄN</t>
        </is>
      </c>
      <c r="E4036" t="inlineStr">
        <is>
          <t>KINDA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1-2022</t>
        </is>
      </c>
      <c r="B4037" s="1" t="n">
        <v>44562</v>
      </c>
      <c r="C4037" s="1" t="n">
        <v>45710</v>
      </c>
      <c r="D4037" t="inlineStr">
        <is>
          <t>ÖSTERGÖTLANDS LÄN</t>
        </is>
      </c>
      <c r="E4037" t="inlineStr">
        <is>
          <t>YDRE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107-2022</t>
        </is>
      </c>
      <c r="B4038" s="1" t="n">
        <v>44564</v>
      </c>
      <c r="C4038" s="1" t="n">
        <v>45710</v>
      </c>
      <c r="D4038" t="inlineStr">
        <is>
          <t>ÖSTERGÖTLANDS LÄN</t>
        </is>
      </c>
      <c r="E4038" t="inlineStr">
        <is>
          <t>ÖDESHÖG</t>
        </is>
      </c>
      <c r="F4038" t="inlineStr">
        <is>
          <t>Sveaskog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152-2022</t>
        </is>
      </c>
      <c r="B4039" s="1" t="n">
        <v>44564</v>
      </c>
      <c r="C4039" s="1" t="n">
        <v>45710</v>
      </c>
      <c r="D4039" t="inlineStr">
        <is>
          <t>ÖSTERGÖTLANDS LÄN</t>
        </is>
      </c>
      <c r="E4039" t="inlineStr">
        <is>
          <t>LINKÖPING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83-2022</t>
        </is>
      </c>
      <c r="B4040" s="1" t="n">
        <v>44564</v>
      </c>
      <c r="C4040" s="1" t="n">
        <v>45710</v>
      </c>
      <c r="D4040" t="inlineStr">
        <is>
          <t>ÖSTERGÖTLANDS LÄN</t>
        </is>
      </c>
      <c r="E4040" t="inlineStr">
        <is>
          <t>FINSPÅNG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109-2022</t>
        </is>
      </c>
      <c r="B4041" s="1" t="n">
        <v>44564</v>
      </c>
      <c r="C4041" s="1" t="n">
        <v>45710</v>
      </c>
      <c r="D4041" t="inlineStr">
        <is>
          <t>ÖSTERGÖTLANDS LÄN</t>
        </is>
      </c>
      <c r="E4041" t="inlineStr">
        <is>
          <t>ÅTVIDABERG</t>
        </is>
      </c>
      <c r="G4041" t="n">
        <v>5.2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155-2022</t>
        </is>
      </c>
      <c r="B4042" s="1" t="n">
        <v>44564</v>
      </c>
      <c r="C4042" s="1" t="n">
        <v>45710</v>
      </c>
      <c r="D4042" t="inlineStr">
        <is>
          <t>ÖSTERGÖTLANDS LÄN</t>
        </is>
      </c>
      <c r="E4042" t="inlineStr">
        <is>
          <t>LINKÖPING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189-2022</t>
        </is>
      </c>
      <c r="B4043" s="1" t="n">
        <v>44564</v>
      </c>
      <c r="C4043" s="1" t="n">
        <v>45710</v>
      </c>
      <c r="D4043" t="inlineStr">
        <is>
          <t>ÖSTERGÖTLANDS LÄN</t>
        </is>
      </c>
      <c r="E4043" t="inlineStr">
        <is>
          <t>FINSPÅNG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114-2022</t>
        </is>
      </c>
      <c r="B4044" s="1" t="n">
        <v>44564</v>
      </c>
      <c r="C4044" s="1" t="n">
        <v>45710</v>
      </c>
      <c r="D4044" t="inlineStr">
        <is>
          <t>ÖSTERGÖTLANDS LÄN</t>
        </is>
      </c>
      <c r="E4044" t="inlineStr">
        <is>
          <t>ÅTVIDABERG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159-2022</t>
        </is>
      </c>
      <c r="B4045" s="1" t="n">
        <v>44564</v>
      </c>
      <c r="C4045" s="1" t="n">
        <v>45710</v>
      </c>
      <c r="D4045" t="inlineStr">
        <is>
          <t>ÖSTERGÖTLANDS LÄN</t>
        </is>
      </c>
      <c r="E4045" t="inlineStr">
        <is>
          <t>LINKÖPING</t>
        </is>
      </c>
      <c r="G4045" t="n">
        <v>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118-2022</t>
        </is>
      </c>
      <c r="B4046" s="1" t="n">
        <v>44564</v>
      </c>
      <c r="C4046" s="1" t="n">
        <v>45710</v>
      </c>
      <c r="D4046" t="inlineStr">
        <is>
          <t>ÖSTERGÖTLANDS LÄN</t>
        </is>
      </c>
      <c r="E4046" t="inlineStr">
        <is>
          <t>VALDEMARSVIK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146-2022</t>
        </is>
      </c>
      <c r="B4047" s="1" t="n">
        <v>44564</v>
      </c>
      <c r="C4047" s="1" t="n">
        <v>45710</v>
      </c>
      <c r="D4047" t="inlineStr">
        <is>
          <t>ÖSTERGÖTLANDS LÄN</t>
        </is>
      </c>
      <c r="E4047" t="inlineStr">
        <is>
          <t>LINKÖPING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191-2022</t>
        </is>
      </c>
      <c r="B4048" s="1" t="n">
        <v>44564</v>
      </c>
      <c r="C4048" s="1" t="n">
        <v>45710</v>
      </c>
      <c r="D4048" t="inlineStr">
        <is>
          <t>ÖSTERGÖTLANDS LÄN</t>
        </is>
      </c>
      <c r="E4048" t="inlineStr">
        <is>
          <t>LINKÖPING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199-2022</t>
        </is>
      </c>
      <c r="B4049" s="1" t="n">
        <v>44564</v>
      </c>
      <c r="C4049" s="1" t="n">
        <v>45710</v>
      </c>
      <c r="D4049" t="inlineStr">
        <is>
          <t>ÖSTERGÖTLANDS LÄN</t>
        </is>
      </c>
      <c r="E4049" t="inlineStr">
        <is>
          <t>FINSPÅNG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64-2022</t>
        </is>
      </c>
      <c r="B4050" s="1" t="n">
        <v>44564</v>
      </c>
      <c r="C4050" s="1" t="n">
        <v>45710</v>
      </c>
      <c r="D4050" t="inlineStr">
        <is>
          <t>ÖSTERGÖTLANDS LÄN</t>
        </is>
      </c>
      <c r="E4050" t="inlineStr">
        <is>
          <t>FINSPÅNG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270-2022</t>
        </is>
      </c>
      <c r="B4051" s="1" t="n">
        <v>44565</v>
      </c>
      <c r="C4051" s="1" t="n">
        <v>45710</v>
      </c>
      <c r="D4051" t="inlineStr">
        <is>
          <t>ÖSTERGÖTLANDS LÄN</t>
        </is>
      </c>
      <c r="E4051" t="inlineStr">
        <is>
          <t>ÅTVIDABERG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261-2022</t>
        </is>
      </c>
      <c r="B4052" s="1" t="n">
        <v>44565</v>
      </c>
      <c r="C4052" s="1" t="n">
        <v>45710</v>
      </c>
      <c r="D4052" t="inlineStr">
        <is>
          <t>ÖSTERGÖTLANDS LÄN</t>
        </is>
      </c>
      <c r="E4052" t="inlineStr">
        <is>
          <t>MOTALA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335-2022</t>
        </is>
      </c>
      <c r="B4053" s="1" t="n">
        <v>44565</v>
      </c>
      <c r="C4053" s="1" t="n">
        <v>45710</v>
      </c>
      <c r="D4053" t="inlineStr">
        <is>
          <t>ÖSTERGÖTLANDS LÄN</t>
        </is>
      </c>
      <c r="E4053" t="inlineStr">
        <is>
          <t>LINKÖPING</t>
        </is>
      </c>
      <c r="G4053" t="n">
        <v>3.9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350-2022</t>
        </is>
      </c>
      <c r="B4054" s="1" t="n">
        <v>44565</v>
      </c>
      <c r="C4054" s="1" t="n">
        <v>45710</v>
      </c>
      <c r="D4054" t="inlineStr">
        <is>
          <t>ÖSTERGÖTLANDS LÄN</t>
        </is>
      </c>
      <c r="E4054" t="inlineStr">
        <is>
          <t>LINKÖPING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377-2022</t>
        </is>
      </c>
      <c r="B4055" s="1" t="n">
        <v>44565</v>
      </c>
      <c r="C4055" s="1" t="n">
        <v>45710</v>
      </c>
      <c r="D4055" t="inlineStr">
        <is>
          <t>ÖSTERGÖTLANDS LÄN</t>
        </is>
      </c>
      <c r="E4055" t="inlineStr">
        <is>
          <t>ÅTVIDABERG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421-2022</t>
        </is>
      </c>
      <c r="B4056" s="1" t="n">
        <v>44565</v>
      </c>
      <c r="C4056" s="1" t="n">
        <v>45710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Allmännings- och besparingsskogar</t>
        </is>
      </c>
      <c r="G4056" t="n">
        <v>9.300000000000001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552-2022</t>
        </is>
      </c>
      <c r="B4057" s="1" t="n">
        <v>44566</v>
      </c>
      <c r="C4057" s="1" t="n">
        <v>45710</v>
      </c>
      <c r="D4057" t="inlineStr">
        <is>
          <t>ÖSTERGÖTLANDS LÄN</t>
        </is>
      </c>
      <c r="E4057" t="inlineStr">
        <is>
          <t>YDRE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567-2022</t>
        </is>
      </c>
      <c r="B4058" s="1" t="n">
        <v>44566</v>
      </c>
      <c r="C4058" s="1" t="n">
        <v>45710</v>
      </c>
      <c r="D4058" t="inlineStr">
        <is>
          <t>ÖSTERGÖTLANDS LÄN</t>
        </is>
      </c>
      <c r="E4058" t="inlineStr">
        <is>
          <t>MOTALA</t>
        </is>
      </c>
      <c r="G4058" t="n">
        <v>6.2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610-2022</t>
        </is>
      </c>
      <c r="B4059" s="1" t="n">
        <v>44567</v>
      </c>
      <c r="C4059" s="1" t="n">
        <v>45710</v>
      </c>
      <c r="D4059" t="inlineStr">
        <is>
          <t>ÖSTERGÖTLANDS LÄN</t>
        </is>
      </c>
      <c r="E4059" t="inlineStr">
        <is>
          <t>KINDA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607-2022</t>
        </is>
      </c>
      <c r="B4060" s="1" t="n">
        <v>44567</v>
      </c>
      <c r="C4060" s="1" t="n">
        <v>45710</v>
      </c>
      <c r="D4060" t="inlineStr">
        <is>
          <t>ÖSTERGÖTLANDS LÄN</t>
        </is>
      </c>
      <c r="E4060" t="inlineStr">
        <is>
          <t>KINDA</t>
        </is>
      </c>
      <c r="G4060" t="n">
        <v>4.9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619-2022</t>
        </is>
      </c>
      <c r="B4061" s="1" t="n">
        <v>44567</v>
      </c>
      <c r="C4061" s="1" t="n">
        <v>45710</v>
      </c>
      <c r="D4061" t="inlineStr">
        <is>
          <t>ÖSTERGÖTLANDS LÄN</t>
        </is>
      </c>
      <c r="E4061" t="inlineStr">
        <is>
          <t>SÖDERKÖPING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611-2022</t>
        </is>
      </c>
      <c r="B4062" s="1" t="n">
        <v>44567</v>
      </c>
      <c r="C4062" s="1" t="n">
        <v>45710</v>
      </c>
      <c r="D4062" t="inlineStr">
        <is>
          <t>ÖSTERGÖTLANDS LÄN</t>
        </is>
      </c>
      <c r="E4062" t="inlineStr">
        <is>
          <t>SÖDERKÖPING</t>
        </is>
      </c>
      <c r="G4062" t="n">
        <v>2.9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644-2022</t>
        </is>
      </c>
      <c r="B4063" s="1" t="n">
        <v>44568</v>
      </c>
      <c r="C4063" s="1" t="n">
        <v>45710</v>
      </c>
      <c r="D4063" t="inlineStr">
        <is>
          <t>ÖSTERGÖTLANDS LÄN</t>
        </is>
      </c>
      <c r="E4063" t="inlineStr">
        <is>
          <t>KINDA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736-2022</t>
        </is>
      </c>
      <c r="B4064" s="1" t="n">
        <v>44568</v>
      </c>
      <c r="C4064" s="1" t="n">
        <v>45710</v>
      </c>
      <c r="D4064" t="inlineStr">
        <is>
          <t>ÖSTERGÖTLANDS LÄN</t>
        </is>
      </c>
      <c r="E4064" t="inlineStr">
        <is>
          <t>SÖDERKÖPING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673-2022</t>
        </is>
      </c>
      <c r="B4065" s="1" t="n">
        <v>44568</v>
      </c>
      <c r="C4065" s="1" t="n">
        <v>45710</v>
      </c>
      <c r="D4065" t="inlineStr">
        <is>
          <t>ÖSTERGÖTLANDS LÄN</t>
        </is>
      </c>
      <c r="E4065" t="inlineStr">
        <is>
          <t>FINSPÅNG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940-2022</t>
        </is>
      </c>
      <c r="B4066" s="1" t="n">
        <v>44571</v>
      </c>
      <c r="C4066" s="1" t="n">
        <v>45710</v>
      </c>
      <c r="D4066" t="inlineStr">
        <is>
          <t>ÖSTERGÖTLANDS LÄN</t>
        </is>
      </c>
      <c r="E4066" t="inlineStr">
        <is>
          <t>MOTALA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987-2022</t>
        </is>
      </c>
      <c r="B4067" s="1" t="n">
        <v>44571</v>
      </c>
      <c r="C4067" s="1" t="n">
        <v>45710</v>
      </c>
      <c r="D4067" t="inlineStr">
        <is>
          <t>ÖSTERGÖTLANDS LÄN</t>
        </is>
      </c>
      <c r="E4067" t="inlineStr">
        <is>
          <t>MOTALA</t>
        </is>
      </c>
      <c r="G4067" t="n">
        <v>8.5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948-2022</t>
        </is>
      </c>
      <c r="B4068" s="1" t="n">
        <v>44571</v>
      </c>
      <c r="C4068" s="1" t="n">
        <v>45710</v>
      </c>
      <c r="D4068" t="inlineStr">
        <is>
          <t>ÖSTERGÖTLANDS LÄN</t>
        </is>
      </c>
      <c r="E4068" t="inlineStr">
        <is>
          <t>LINKÖPING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1122-2022</t>
        </is>
      </c>
      <c r="B4069" s="1" t="n">
        <v>44571</v>
      </c>
      <c r="C4069" s="1" t="n">
        <v>45710</v>
      </c>
      <c r="D4069" t="inlineStr">
        <is>
          <t>ÖSTERGÖTLANDS LÄN</t>
        </is>
      </c>
      <c r="E4069" t="inlineStr">
        <is>
          <t>LINKÖPING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1041-2022</t>
        </is>
      </c>
      <c r="B4070" s="1" t="n">
        <v>44571</v>
      </c>
      <c r="C4070" s="1" t="n">
        <v>45710</v>
      </c>
      <c r="D4070" t="inlineStr">
        <is>
          <t>ÖSTERGÖTLANDS LÄN</t>
        </is>
      </c>
      <c r="E4070" t="inlineStr">
        <is>
          <t>NORRKÖPING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1204-2022</t>
        </is>
      </c>
      <c r="B4071" s="1" t="n">
        <v>44572</v>
      </c>
      <c r="C4071" s="1" t="n">
        <v>45710</v>
      </c>
      <c r="D4071" t="inlineStr">
        <is>
          <t>ÖSTERGÖTLANDS LÄN</t>
        </is>
      </c>
      <c r="E4071" t="inlineStr">
        <is>
          <t>YDRE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1211-2022</t>
        </is>
      </c>
      <c r="B4072" s="1" t="n">
        <v>44572</v>
      </c>
      <c r="C4072" s="1" t="n">
        <v>45710</v>
      </c>
      <c r="D4072" t="inlineStr">
        <is>
          <t>ÖSTERGÖTLANDS LÄN</t>
        </is>
      </c>
      <c r="E4072" t="inlineStr">
        <is>
          <t>MOTALA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1247-2022</t>
        </is>
      </c>
      <c r="B4073" s="1" t="n">
        <v>44572</v>
      </c>
      <c r="C4073" s="1" t="n">
        <v>45710</v>
      </c>
      <c r="D4073" t="inlineStr">
        <is>
          <t>ÖSTERGÖTLANDS LÄN</t>
        </is>
      </c>
      <c r="E4073" t="inlineStr">
        <is>
          <t>SÖDERKÖPING</t>
        </is>
      </c>
      <c r="G4073" t="n">
        <v>5.6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1176-2022</t>
        </is>
      </c>
      <c r="B4074" s="1" t="n">
        <v>44572</v>
      </c>
      <c r="C4074" s="1" t="n">
        <v>45710</v>
      </c>
      <c r="D4074" t="inlineStr">
        <is>
          <t>ÖSTERGÖTLANDS LÄN</t>
        </is>
      </c>
      <c r="E4074" t="inlineStr">
        <is>
          <t>YDRE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1312-2022</t>
        </is>
      </c>
      <c r="B4075" s="1" t="n">
        <v>44572</v>
      </c>
      <c r="C4075" s="1" t="n">
        <v>45710</v>
      </c>
      <c r="D4075" t="inlineStr">
        <is>
          <t>ÖSTERGÖTLANDS LÄN</t>
        </is>
      </c>
      <c r="E4075" t="inlineStr">
        <is>
          <t>ÖDESHÖG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1356-2022</t>
        </is>
      </c>
      <c r="B4076" s="1" t="n">
        <v>44573</v>
      </c>
      <c r="C4076" s="1" t="n">
        <v>45710</v>
      </c>
      <c r="D4076" t="inlineStr">
        <is>
          <t>ÖSTERGÖTLANDS LÄN</t>
        </is>
      </c>
      <c r="E4076" t="inlineStr">
        <is>
          <t>ÅTVIDABERG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1461-2022</t>
        </is>
      </c>
      <c r="B4077" s="1" t="n">
        <v>44573</v>
      </c>
      <c r="C4077" s="1" t="n">
        <v>45710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Övriga Aktiebolag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1350-2022</t>
        </is>
      </c>
      <c r="B4078" s="1" t="n">
        <v>44573</v>
      </c>
      <c r="C4078" s="1" t="n">
        <v>45710</v>
      </c>
      <c r="D4078" t="inlineStr">
        <is>
          <t>ÖSTERGÖTLANDS LÄN</t>
        </is>
      </c>
      <c r="E4078" t="inlineStr">
        <is>
          <t>ÅTVIDABERG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1383-2022</t>
        </is>
      </c>
      <c r="B4079" s="1" t="n">
        <v>44573</v>
      </c>
      <c r="C4079" s="1" t="n">
        <v>45710</v>
      </c>
      <c r="D4079" t="inlineStr">
        <is>
          <t>ÖSTERGÖTLANDS LÄN</t>
        </is>
      </c>
      <c r="E4079" t="inlineStr">
        <is>
          <t>NORRKÖPING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1389-2022</t>
        </is>
      </c>
      <c r="B4080" s="1" t="n">
        <v>44573</v>
      </c>
      <c r="C4080" s="1" t="n">
        <v>45710</v>
      </c>
      <c r="D4080" t="inlineStr">
        <is>
          <t>ÖSTERGÖTLANDS LÄN</t>
        </is>
      </c>
      <c r="E4080" t="inlineStr">
        <is>
          <t>NORRKÖPING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1424-2022</t>
        </is>
      </c>
      <c r="B4081" s="1" t="n">
        <v>44573</v>
      </c>
      <c r="C4081" s="1" t="n">
        <v>45710</v>
      </c>
      <c r="D4081" t="inlineStr">
        <is>
          <t>ÖSTERGÖTLANDS LÄN</t>
        </is>
      </c>
      <c r="E4081" t="inlineStr">
        <is>
          <t>VALDEMARSVIK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1423-2022</t>
        </is>
      </c>
      <c r="B4082" s="1" t="n">
        <v>44573</v>
      </c>
      <c r="C4082" s="1" t="n">
        <v>45710</v>
      </c>
      <c r="D4082" t="inlineStr">
        <is>
          <t>ÖSTERGÖTLANDS LÄN</t>
        </is>
      </c>
      <c r="E4082" t="inlineStr">
        <is>
          <t>VALDEMARSVIK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1506-2022</t>
        </is>
      </c>
      <c r="B4083" s="1" t="n">
        <v>44573</v>
      </c>
      <c r="C4083" s="1" t="n">
        <v>45710</v>
      </c>
      <c r="D4083" t="inlineStr">
        <is>
          <t>ÖSTERGÖTLANDS LÄN</t>
        </is>
      </c>
      <c r="E4083" t="inlineStr">
        <is>
          <t>NORRKÖPING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1527-2022</t>
        </is>
      </c>
      <c r="B4084" s="1" t="n">
        <v>44573</v>
      </c>
      <c r="C4084" s="1" t="n">
        <v>45710</v>
      </c>
      <c r="D4084" t="inlineStr">
        <is>
          <t>ÖSTERGÖTLANDS LÄN</t>
        </is>
      </c>
      <c r="E4084" t="inlineStr">
        <is>
          <t>VALDEMARSVIK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1554-2022</t>
        </is>
      </c>
      <c r="B4085" s="1" t="n">
        <v>44573</v>
      </c>
      <c r="C4085" s="1" t="n">
        <v>45710</v>
      </c>
      <c r="D4085" t="inlineStr">
        <is>
          <t>ÖSTERGÖTLANDS LÄN</t>
        </is>
      </c>
      <c r="E4085" t="inlineStr">
        <is>
          <t>MJÖLBY</t>
        </is>
      </c>
      <c r="G4085" t="n">
        <v>0.3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1552-2022</t>
        </is>
      </c>
      <c r="B4086" s="1" t="n">
        <v>44573</v>
      </c>
      <c r="C4086" s="1" t="n">
        <v>45710</v>
      </c>
      <c r="D4086" t="inlineStr">
        <is>
          <t>ÖSTERGÖTLANDS LÄN</t>
        </is>
      </c>
      <c r="E4086" t="inlineStr">
        <is>
          <t>MJÖLBY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1581-2022</t>
        </is>
      </c>
      <c r="B4087" s="1" t="n">
        <v>44573</v>
      </c>
      <c r="C4087" s="1" t="n">
        <v>45710</v>
      </c>
      <c r="D4087" t="inlineStr">
        <is>
          <t>ÖSTERGÖTLANDS LÄN</t>
        </is>
      </c>
      <c r="E4087" t="inlineStr">
        <is>
          <t>LINKÖPING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1543-2022</t>
        </is>
      </c>
      <c r="B4088" s="1" t="n">
        <v>44573</v>
      </c>
      <c r="C4088" s="1" t="n">
        <v>45710</v>
      </c>
      <c r="D4088" t="inlineStr">
        <is>
          <t>ÖSTERGÖTLANDS LÄN</t>
        </is>
      </c>
      <c r="E4088" t="inlineStr">
        <is>
          <t>VALDEMARSVIK</t>
        </is>
      </c>
      <c r="G4088" t="n">
        <v>6.5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1591-2022</t>
        </is>
      </c>
      <c r="B4089" s="1" t="n">
        <v>44573</v>
      </c>
      <c r="C4089" s="1" t="n">
        <v>45710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Övriga Aktiebolag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1651-2022</t>
        </is>
      </c>
      <c r="B4090" s="1" t="n">
        <v>44573</v>
      </c>
      <c r="C4090" s="1" t="n">
        <v>45710</v>
      </c>
      <c r="D4090" t="inlineStr">
        <is>
          <t>ÖSTERGÖTLANDS LÄN</t>
        </is>
      </c>
      <c r="E4090" t="inlineStr">
        <is>
          <t>MOTALA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1602-2022</t>
        </is>
      </c>
      <c r="B4091" s="1" t="n">
        <v>44573</v>
      </c>
      <c r="C4091" s="1" t="n">
        <v>45710</v>
      </c>
      <c r="D4091" t="inlineStr">
        <is>
          <t>ÖSTERGÖTLANDS LÄN</t>
        </is>
      </c>
      <c r="E4091" t="inlineStr">
        <is>
          <t>LINKÖPING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1596-2022</t>
        </is>
      </c>
      <c r="B4092" s="1" t="n">
        <v>44573</v>
      </c>
      <c r="C4092" s="1" t="n">
        <v>45710</v>
      </c>
      <c r="D4092" t="inlineStr">
        <is>
          <t>ÖSTERGÖTLANDS LÄN</t>
        </is>
      </c>
      <c r="E4092" t="inlineStr">
        <is>
          <t>VALDEMARSVIK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1645-2022</t>
        </is>
      </c>
      <c r="B4093" s="1" t="n">
        <v>44573</v>
      </c>
      <c r="C4093" s="1" t="n">
        <v>45710</v>
      </c>
      <c r="D4093" t="inlineStr">
        <is>
          <t>ÖSTERGÖTLANDS LÄN</t>
        </is>
      </c>
      <c r="E4093" t="inlineStr">
        <is>
          <t>MOTALA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1606-2022</t>
        </is>
      </c>
      <c r="B4094" s="1" t="n">
        <v>44573</v>
      </c>
      <c r="C4094" s="1" t="n">
        <v>45710</v>
      </c>
      <c r="D4094" t="inlineStr">
        <is>
          <t>ÖSTERGÖTLANDS LÄN</t>
        </is>
      </c>
      <c r="E4094" t="inlineStr">
        <is>
          <t>VALDEMARSVIK</t>
        </is>
      </c>
      <c r="G4094" t="n">
        <v>4.6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1644-2022</t>
        </is>
      </c>
      <c r="B4095" s="1" t="n">
        <v>44574</v>
      </c>
      <c r="C4095" s="1" t="n">
        <v>45710</v>
      </c>
      <c r="D4095" t="inlineStr">
        <is>
          <t>ÖSTERGÖTLANDS LÄN</t>
        </is>
      </c>
      <c r="E4095" t="inlineStr">
        <is>
          <t>MOTALA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1722-2022</t>
        </is>
      </c>
      <c r="B4096" s="1" t="n">
        <v>44574</v>
      </c>
      <c r="C4096" s="1" t="n">
        <v>45710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Holmen skog AB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1687-2022</t>
        </is>
      </c>
      <c r="B4097" s="1" t="n">
        <v>44574</v>
      </c>
      <c r="C4097" s="1" t="n">
        <v>45710</v>
      </c>
      <c r="D4097" t="inlineStr">
        <is>
          <t>ÖSTERGÖTLANDS LÄN</t>
        </is>
      </c>
      <c r="E4097" t="inlineStr">
        <is>
          <t>NORRKÖPING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1646-2022</t>
        </is>
      </c>
      <c r="B4098" s="1" t="n">
        <v>44574</v>
      </c>
      <c r="C4098" s="1" t="n">
        <v>45710</v>
      </c>
      <c r="D4098" t="inlineStr">
        <is>
          <t>ÖSTERGÖTLANDS LÄN</t>
        </is>
      </c>
      <c r="E4098" t="inlineStr">
        <is>
          <t>MOTALA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1787-2022</t>
        </is>
      </c>
      <c r="B4099" s="1" t="n">
        <v>44574</v>
      </c>
      <c r="C4099" s="1" t="n">
        <v>45710</v>
      </c>
      <c r="D4099" t="inlineStr">
        <is>
          <t>ÖSTERGÖTLANDS LÄN</t>
        </is>
      </c>
      <c r="E4099" t="inlineStr">
        <is>
          <t>LINKÖPING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1730-2022</t>
        </is>
      </c>
      <c r="B4100" s="1" t="n">
        <v>44574</v>
      </c>
      <c r="C4100" s="1" t="n">
        <v>45710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Holmen skog AB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1832-2022</t>
        </is>
      </c>
      <c r="B4101" s="1" t="n">
        <v>44574</v>
      </c>
      <c r="C4101" s="1" t="n">
        <v>45710</v>
      </c>
      <c r="D4101" t="inlineStr">
        <is>
          <t>ÖSTERGÖTLANDS LÄN</t>
        </is>
      </c>
      <c r="E4101" t="inlineStr">
        <is>
          <t>FINSPÅNG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1851-2022</t>
        </is>
      </c>
      <c r="B4102" s="1" t="n">
        <v>44574</v>
      </c>
      <c r="C4102" s="1" t="n">
        <v>45710</v>
      </c>
      <c r="D4102" t="inlineStr">
        <is>
          <t>ÖSTERGÖTLANDS LÄN</t>
        </is>
      </c>
      <c r="E4102" t="inlineStr">
        <is>
          <t>FINSPÅNG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1847-2022</t>
        </is>
      </c>
      <c r="B4103" s="1" t="n">
        <v>44574</v>
      </c>
      <c r="C4103" s="1" t="n">
        <v>45710</v>
      </c>
      <c r="D4103" t="inlineStr">
        <is>
          <t>ÖSTERGÖTLANDS LÄN</t>
        </is>
      </c>
      <c r="E4103" t="inlineStr">
        <is>
          <t>ÅTVIDABERG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1845-2022</t>
        </is>
      </c>
      <c r="B4104" s="1" t="n">
        <v>44574</v>
      </c>
      <c r="C4104" s="1" t="n">
        <v>45710</v>
      </c>
      <c r="D4104" t="inlineStr">
        <is>
          <t>ÖSTERGÖTLANDS LÄN</t>
        </is>
      </c>
      <c r="E4104" t="inlineStr">
        <is>
          <t>ÅTVIDABERG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1935-2022</t>
        </is>
      </c>
      <c r="B4105" s="1" t="n">
        <v>44575</v>
      </c>
      <c r="C4105" s="1" t="n">
        <v>45710</v>
      </c>
      <c r="D4105" t="inlineStr">
        <is>
          <t>ÖSTERGÖTLANDS LÄN</t>
        </is>
      </c>
      <c r="E4105" t="inlineStr">
        <is>
          <t>NORRKÖPING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1914-2022</t>
        </is>
      </c>
      <c r="B4106" s="1" t="n">
        <v>44575</v>
      </c>
      <c r="C4106" s="1" t="n">
        <v>45710</v>
      </c>
      <c r="D4106" t="inlineStr">
        <is>
          <t>ÖSTERGÖTLANDS LÄN</t>
        </is>
      </c>
      <c r="E4106" t="inlineStr">
        <is>
          <t>BOXHOLM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1925-2022</t>
        </is>
      </c>
      <c r="B4107" s="1" t="n">
        <v>44575</v>
      </c>
      <c r="C4107" s="1" t="n">
        <v>45710</v>
      </c>
      <c r="D4107" t="inlineStr">
        <is>
          <t>ÖSTERGÖTLANDS LÄN</t>
        </is>
      </c>
      <c r="E4107" t="inlineStr">
        <is>
          <t>BOXHOLM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1885-2022</t>
        </is>
      </c>
      <c r="B4108" s="1" t="n">
        <v>44575</v>
      </c>
      <c r="C4108" s="1" t="n">
        <v>45710</v>
      </c>
      <c r="D4108" t="inlineStr">
        <is>
          <t>ÖSTERGÖTLANDS LÄN</t>
        </is>
      </c>
      <c r="E4108" t="inlineStr">
        <is>
          <t>KINDA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1974-2022</t>
        </is>
      </c>
      <c r="B4109" s="1" t="n">
        <v>44575</v>
      </c>
      <c r="C4109" s="1" t="n">
        <v>45710</v>
      </c>
      <c r="D4109" t="inlineStr">
        <is>
          <t>ÖSTERGÖTLANDS LÄN</t>
        </is>
      </c>
      <c r="E4109" t="inlineStr">
        <is>
          <t>VALDEMARSVIK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2028-2022</t>
        </is>
      </c>
      <c r="B4110" s="1" t="n">
        <v>44575</v>
      </c>
      <c r="C4110" s="1" t="n">
        <v>45710</v>
      </c>
      <c r="D4110" t="inlineStr">
        <is>
          <t>ÖSTERGÖTLANDS LÄN</t>
        </is>
      </c>
      <c r="E4110" t="inlineStr">
        <is>
          <t>MOTALA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2044-2022</t>
        </is>
      </c>
      <c r="B4111" s="1" t="n">
        <v>44575</v>
      </c>
      <c r="C4111" s="1" t="n">
        <v>45710</v>
      </c>
      <c r="D4111" t="inlineStr">
        <is>
          <t>ÖSTERGÖTLANDS LÄN</t>
        </is>
      </c>
      <c r="E4111" t="inlineStr">
        <is>
          <t>LINKÖPING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2079-2022</t>
        </is>
      </c>
      <c r="B4112" s="1" t="n">
        <v>44576</v>
      </c>
      <c r="C4112" s="1" t="n">
        <v>45710</v>
      </c>
      <c r="D4112" t="inlineStr">
        <is>
          <t>ÖSTERGÖTLANDS LÄN</t>
        </is>
      </c>
      <c r="E4112" t="inlineStr">
        <is>
          <t>YDRE</t>
        </is>
      </c>
      <c r="G4112" t="n">
        <v>5.5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2169-2022</t>
        </is>
      </c>
      <c r="B4113" s="1" t="n">
        <v>44578</v>
      </c>
      <c r="C4113" s="1" t="n">
        <v>45710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BillerudKorsnäs AB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2176-2022</t>
        </is>
      </c>
      <c r="B4114" s="1" t="n">
        <v>44578</v>
      </c>
      <c r="C4114" s="1" t="n">
        <v>45710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BillerudKorsnäs AB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2210-2022</t>
        </is>
      </c>
      <c r="B4115" s="1" t="n">
        <v>44578</v>
      </c>
      <c r="C4115" s="1" t="n">
        <v>45710</v>
      </c>
      <c r="D4115" t="inlineStr">
        <is>
          <t>ÖSTERGÖTLANDS LÄN</t>
        </is>
      </c>
      <c r="E4115" t="inlineStr">
        <is>
          <t>KINDA</t>
        </is>
      </c>
      <c r="G4115" t="n">
        <v>2.6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2253-2022</t>
        </is>
      </c>
      <c r="B4116" s="1" t="n">
        <v>44578</v>
      </c>
      <c r="C4116" s="1" t="n">
        <v>45710</v>
      </c>
      <c r="D4116" t="inlineStr">
        <is>
          <t>ÖSTERGÖTLANDS LÄN</t>
        </is>
      </c>
      <c r="E4116" t="inlineStr">
        <is>
          <t>VADSTENA</t>
        </is>
      </c>
      <c r="G4116" t="n">
        <v>0.3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2263-2022</t>
        </is>
      </c>
      <c r="B4117" s="1" t="n">
        <v>44578</v>
      </c>
      <c r="C4117" s="1" t="n">
        <v>45710</v>
      </c>
      <c r="D4117" t="inlineStr">
        <is>
          <t>ÖSTERGÖTLANDS LÄN</t>
        </is>
      </c>
      <c r="E4117" t="inlineStr">
        <is>
          <t>FINSPÅNG</t>
        </is>
      </c>
      <c r="F4117" t="inlineStr">
        <is>
          <t>Holmen skog AB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2478-2022</t>
        </is>
      </c>
      <c r="B4118" s="1" t="n">
        <v>44579</v>
      </c>
      <c r="C4118" s="1" t="n">
        <v>45710</v>
      </c>
      <c r="D4118" t="inlineStr">
        <is>
          <t>ÖSTERGÖTLANDS LÄN</t>
        </is>
      </c>
      <c r="E4118" t="inlineStr">
        <is>
          <t>ÅTVIDABERG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2669-2022</t>
        </is>
      </c>
      <c r="B4119" s="1" t="n">
        <v>44580</v>
      </c>
      <c r="C4119" s="1" t="n">
        <v>45710</v>
      </c>
      <c r="D4119" t="inlineStr">
        <is>
          <t>ÖSTERGÖTLANDS LÄN</t>
        </is>
      </c>
      <c r="E4119" t="inlineStr">
        <is>
          <t>BOXHOLM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2703-2022</t>
        </is>
      </c>
      <c r="B4120" s="1" t="n">
        <v>44580</v>
      </c>
      <c r="C4120" s="1" t="n">
        <v>45710</v>
      </c>
      <c r="D4120" t="inlineStr">
        <is>
          <t>ÖSTERGÖTLANDS LÄN</t>
        </is>
      </c>
      <c r="E4120" t="inlineStr">
        <is>
          <t>LINKÖPING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2715-2022</t>
        </is>
      </c>
      <c r="B4121" s="1" t="n">
        <v>44580</v>
      </c>
      <c r="C4121" s="1" t="n">
        <v>45710</v>
      </c>
      <c r="D4121" t="inlineStr">
        <is>
          <t>ÖSTERGÖTLANDS LÄN</t>
        </is>
      </c>
      <c r="E4121" t="inlineStr">
        <is>
          <t>MJÖLBY</t>
        </is>
      </c>
      <c r="G4121" t="n">
        <v>5.3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2805-2022</t>
        </is>
      </c>
      <c r="B4122" s="1" t="n">
        <v>44581</v>
      </c>
      <c r="C4122" s="1" t="n">
        <v>45710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Holmen skog AB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2889-2022</t>
        </is>
      </c>
      <c r="B4123" s="1" t="n">
        <v>44581</v>
      </c>
      <c r="C4123" s="1" t="n">
        <v>45710</v>
      </c>
      <c r="D4123" t="inlineStr">
        <is>
          <t>ÖSTERGÖTLANDS LÄN</t>
        </is>
      </c>
      <c r="E4123" t="inlineStr">
        <is>
          <t>LINKÖPING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2999-2022</t>
        </is>
      </c>
      <c r="B4124" s="1" t="n">
        <v>44581</v>
      </c>
      <c r="C4124" s="1" t="n">
        <v>45710</v>
      </c>
      <c r="D4124" t="inlineStr">
        <is>
          <t>ÖSTERGÖTLANDS LÄN</t>
        </is>
      </c>
      <c r="E4124" t="inlineStr">
        <is>
          <t>FINSPÅNG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3013-2022</t>
        </is>
      </c>
      <c r="B4125" s="1" t="n">
        <v>44581</v>
      </c>
      <c r="C4125" s="1" t="n">
        <v>45710</v>
      </c>
      <c r="D4125" t="inlineStr">
        <is>
          <t>ÖSTERGÖTLANDS LÄN</t>
        </is>
      </c>
      <c r="E4125" t="inlineStr">
        <is>
          <t>FINSPÅNG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3108-2022</t>
        </is>
      </c>
      <c r="B4126" s="1" t="n">
        <v>44582</v>
      </c>
      <c r="C4126" s="1" t="n">
        <v>45710</v>
      </c>
      <c r="D4126" t="inlineStr">
        <is>
          <t>ÖSTERGÖTLANDS LÄN</t>
        </is>
      </c>
      <c r="E4126" t="inlineStr">
        <is>
          <t>NORRKÖPING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3066-2022</t>
        </is>
      </c>
      <c r="B4127" s="1" t="n">
        <v>44582</v>
      </c>
      <c r="C4127" s="1" t="n">
        <v>45710</v>
      </c>
      <c r="D4127" t="inlineStr">
        <is>
          <t>ÖSTERGÖTLANDS LÄN</t>
        </is>
      </c>
      <c r="E4127" t="inlineStr">
        <is>
          <t>YDRE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3109-2022</t>
        </is>
      </c>
      <c r="B4128" s="1" t="n">
        <v>44582</v>
      </c>
      <c r="C4128" s="1" t="n">
        <v>45710</v>
      </c>
      <c r="D4128" t="inlineStr">
        <is>
          <t>ÖSTERGÖTLANDS LÄN</t>
        </is>
      </c>
      <c r="E4128" t="inlineStr">
        <is>
          <t>FINSPÅNG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3144-2022</t>
        </is>
      </c>
      <c r="B4129" s="1" t="n">
        <v>44582</v>
      </c>
      <c r="C4129" s="1" t="n">
        <v>45710</v>
      </c>
      <c r="D4129" t="inlineStr">
        <is>
          <t>ÖSTERGÖTLANDS LÄN</t>
        </is>
      </c>
      <c r="E4129" t="inlineStr">
        <is>
          <t>ÅTVIDABERG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3164-2022</t>
        </is>
      </c>
      <c r="B4130" s="1" t="n">
        <v>44582</v>
      </c>
      <c r="C4130" s="1" t="n">
        <v>45710</v>
      </c>
      <c r="D4130" t="inlineStr">
        <is>
          <t>ÖSTERGÖTLANDS LÄN</t>
        </is>
      </c>
      <c r="E4130" t="inlineStr">
        <is>
          <t>NORRKÖPING</t>
        </is>
      </c>
      <c r="F4130" t="inlineStr">
        <is>
          <t>Holmen skog AB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3143-2022</t>
        </is>
      </c>
      <c r="B4131" s="1" t="n">
        <v>44582</v>
      </c>
      <c r="C4131" s="1" t="n">
        <v>45710</v>
      </c>
      <c r="D4131" t="inlineStr">
        <is>
          <t>ÖSTERGÖTLANDS LÄN</t>
        </is>
      </c>
      <c r="E4131" t="inlineStr">
        <is>
          <t>ÅTVIDABERG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3116-2022</t>
        </is>
      </c>
      <c r="B4132" s="1" t="n">
        <v>44582</v>
      </c>
      <c r="C4132" s="1" t="n">
        <v>45710</v>
      </c>
      <c r="D4132" t="inlineStr">
        <is>
          <t>ÖSTERGÖTLANDS LÄN</t>
        </is>
      </c>
      <c r="E4132" t="inlineStr">
        <is>
          <t>NORRKÖPING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3122-2022</t>
        </is>
      </c>
      <c r="B4133" s="1" t="n">
        <v>44582</v>
      </c>
      <c r="C4133" s="1" t="n">
        <v>45710</v>
      </c>
      <c r="D4133" t="inlineStr">
        <is>
          <t>ÖSTERGÖTLANDS LÄN</t>
        </is>
      </c>
      <c r="E4133" t="inlineStr">
        <is>
          <t>ÖDESHÖG</t>
        </is>
      </c>
      <c r="G4133" t="n">
        <v>0.1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3374-2022</t>
        </is>
      </c>
      <c r="B4134" s="1" t="n">
        <v>44585</v>
      </c>
      <c r="C4134" s="1" t="n">
        <v>45710</v>
      </c>
      <c r="D4134" t="inlineStr">
        <is>
          <t>ÖSTERGÖTLANDS LÄN</t>
        </is>
      </c>
      <c r="E4134" t="inlineStr">
        <is>
          <t>YDRE</t>
        </is>
      </c>
      <c r="G4134" t="n">
        <v>2.9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3312-2022</t>
        </is>
      </c>
      <c r="B4135" s="1" t="n">
        <v>44585</v>
      </c>
      <c r="C4135" s="1" t="n">
        <v>45710</v>
      </c>
      <c r="D4135" t="inlineStr">
        <is>
          <t>ÖSTERGÖTLANDS LÄN</t>
        </is>
      </c>
      <c r="E4135" t="inlineStr">
        <is>
          <t>VALDEMARSVIK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3322-2022</t>
        </is>
      </c>
      <c r="B4136" s="1" t="n">
        <v>44585</v>
      </c>
      <c r="C4136" s="1" t="n">
        <v>45710</v>
      </c>
      <c r="D4136" t="inlineStr">
        <is>
          <t>ÖSTERGÖTLANDS LÄN</t>
        </is>
      </c>
      <c r="E4136" t="inlineStr">
        <is>
          <t>KINDA</t>
        </is>
      </c>
      <c r="G4136" t="n">
        <v>4.1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3467-2022</t>
        </is>
      </c>
      <c r="B4137" s="1" t="n">
        <v>44585</v>
      </c>
      <c r="C4137" s="1" t="n">
        <v>45710</v>
      </c>
      <c r="D4137" t="inlineStr">
        <is>
          <t>ÖSTERGÖTLANDS LÄN</t>
        </is>
      </c>
      <c r="E4137" t="inlineStr">
        <is>
          <t>BOXHOLM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3470-2022</t>
        </is>
      </c>
      <c r="B4138" s="1" t="n">
        <v>44585</v>
      </c>
      <c r="C4138" s="1" t="n">
        <v>45710</v>
      </c>
      <c r="D4138" t="inlineStr">
        <is>
          <t>ÖSTERGÖTLANDS LÄN</t>
        </is>
      </c>
      <c r="E4138" t="inlineStr">
        <is>
          <t>BOXHOLM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3533-2022</t>
        </is>
      </c>
      <c r="B4139" s="1" t="n">
        <v>44585</v>
      </c>
      <c r="C4139" s="1" t="n">
        <v>45710</v>
      </c>
      <c r="D4139" t="inlineStr">
        <is>
          <t>ÖSTERGÖTLANDS LÄN</t>
        </is>
      </c>
      <c r="E4139" t="inlineStr">
        <is>
          <t>VALDEMARSVIK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3633-2022</t>
        </is>
      </c>
      <c r="B4140" s="1" t="n">
        <v>44586</v>
      </c>
      <c r="C4140" s="1" t="n">
        <v>45710</v>
      </c>
      <c r="D4140" t="inlineStr">
        <is>
          <t>ÖSTERGÖTLANDS LÄN</t>
        </is>
      </c>
      <c r="E4140" t="inlineStr">
        <is>
          <t>ÅTVIDABERG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3567-2022</t>
        </is>
      </c>
      <c r="B4141" s="1" t="n">
        <v>44586</v>
      </c>
      <c r="C4141" s="1" t="n">
        <v>45710</v>
      </c>
      <c r="D4141" t="inlineStr">
        <is>
          <t>ÖSTERGÖTLANDS LÄN</t>
        </is>
      </c>
      <c r="E4141" t="inlineStr">
        <is>
          <t>ÅTVIDABERG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3747-2022</t>
        </is>
      </c>
      <c r="B4142" s="1" t="n">
        <v>44586</v>
      </c>
      <c r="C4142" s="1" t="n">
        <v>45710</v>
      </c>
      <c r="D4142" t="inlineStr">
        <is>
          <t>ÖSTERGÖTLANDS LÄN</t>
        </is>
      </c>
      <c r="E4142" t="inlineStr">
        <is>
          <t>ÅTVIDABERG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3967-2022</t>
        </is>
      </c>
      <c r="B4143" s="1" t="n">
        <v>44586</v>
      </c>
      <c r="C4143" s="1" t="n">
        <v>45710</v>
      </c>
      <c r="D4143" t="inlineStr">
        <is>
          <t>ÖSTERGÖTLANDS LÄN</t>
        </is>
      </c>
      <c r="E4143" t="inlineStr">
        <is>
          <t>MOTALA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3845-2022</t>
        </is>
      </c>
      <c r="B4144" s="1" t="n">
        <v>44587</v>
      </c>
      <c r="C4144" s="1" t="n">
        <v>45710</v>
      </c>
      <c r="D4144" t="inlineStr">
        <is>
          <t>ÖSTERGÖTLANDS LÄN</t>
        </is>
      </c>
      <c r="E4144" t="inlineStr">
        <is>
          <t>FINSPÅNG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3894-2022</t>
        </is>
      </c>
      <c r="B4145" s="1" t="n">
        <v>44587</v>
      </c>
      <c r="C4145" s="1" t="n">
        <v>45710</v>
      </c>
      <c r="D4145" t="inlineStr">
        <is>
          <t>ÖSTERGÖTLANDS LÄN</t>
        </is>
      </c>
      <c r="E4145" t="inlineStr">
        <is>
          <t>VALDEMARSVIK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3877-2022</t>
        </is>
      </c>
      <c r="B4146" s="1" t="n">
        <v>44587</v>
      </c>
      <c r="C4146" s="1" t="n">
        <v>45710</v>
      </c>
      <c r="D4146" t="inlineStr">
        <is>
          <t>ÖSTERGÖTLANDS LÄN</t>
        </is>
      </c>
      <c r="E4146" t="inlineStr">
        <is>
          <t>KINDA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3886-2022</t>
        </is>
      </c>
      <c r="B4147" s="1" t="n">
        <v>44587</v>
      </c>
      <c r="C4147" s="1" t="n">
        <v>45710</v>
      </c>
      <c r="D4147" t="inlineStr">
        <is>
          <t>ÖSTERGÖTLANDS LÄN</t>
        </is>
      </c>
      <c r="E4147" t="inlineStr">
        <is>
          <t>KINDA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3895-2022</t>
        </is>
      </c>
      <c r="B4148" s="1" t="n">
        <v>44587</v>
      </c>
      <c r="C4148" s="1" t="n">
        <v>45710</v>
      </c>
      <c r="D4148" t="inlineStr">
        <is>
          <t>ÖSTERGÖTLANDS LÄN</t>
        </is>
      </c>
      <c r="E4148" t="inlineStr">
        <is>
          <t>KINDA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3926-2022</t>
        </is>
      </c>
      <c r="B4149" s="1" t="n">
        <v>44587</v>
      </c>
      <c r="C4149" s="1" t="n">
        <v>45710</v>
      </c>
      <c r="D4149" t="inlineStr">
        <is>
          <t>ÖSTERGÖTLANDS LÄN</t>
        </is>
      </c>
      <c r="E4149" t="inlineStr">
        <is>
          <t>KINDA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3949-2022</t>
        </is>
      </c>
      <c r="B4150" s="1" t="n">
        <v>44587</v>
      </c>
      <c r="C4150" s="1" t="n">
        <v>45710</v>
      </c>
      <c r="D4150" t="inlineStr">
        <is>
          <t>ÖSTERGÖTLANDS LÄN</t>
        </is>
      </c>
      <c r="E4150" t="inlineStr">
        <is>
          <t>SÖDERKÖPING</t>
        </is>
      </c>
      <c r="G4150" t="n">
        <v>4.8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4027-2022</t>
        </is>
      </c>
      <c r="B4151" s="1" t="n">
        <v>44587</v>
      </c>
      <c r="C4151" s="1" t="n">
        <v>45710</v>
      </c>
      <c r="D4151" t="inlineStr">
        <is>
          <t>ÖSTERGÖTLANDS LÄN</t>
        </is>
      </c>
      <c r="E4151" t="inlineStr">
        <is>
          <t>VALDEMARSVIK</t>
        </is>
      </c>
      <c r="G4151" t="n">
        <v>6.3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4072-2022</t>
        </is>
      </c>
      <c r="B4152" s="1" t="n">
        <v>44587</v>
      </c>
      <c r="C4152" s="1" t="n">
        <v>45710</v>
      </c>
      <c r="D4152" t="inlineStr">
        <is>
          <t>ÖSTERGÖTLANDS LÄN</t>
        </is>
      </c>
      <c r="E4152" t="inlineStr">
        <is>
          <t>LINKÖPING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4082-2022</t>
        </is>
      </c>
      <c r="B4153" s="1" t="n">
        <v>44587</v>
      </c>
      <c r="C4153" s="1" t="n">
        <v>45710</v>
      </c>
      <c r="D4153" t="inlineStr">
        <is>
          <t>ÖSTERGÖTLANDS LÄN</t>
        </is>
      </c>
      <c r="E4153" t="inlineStr">
        <is>
          <t>LINKÖPING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4116-2022</t>
        </is>
      </c>
      <c r="B4154" s="1" t="n">
        <v>44588</v>
      </c>
      <c r="C4154" s="1" t="n">
        <v>45710</v>
      </c>
      <c r="D4154" t="inlineStr">
        <is>
          <t>ÖSTERGÖTLANDS LÄN</t>
        </is>
      </c>
      <c r="E4154" t="inlineStr">
        <is>
          <t>FINSPÅNG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4163-2022</t>
        </is>
      </c>
      <c r="B4155" s="1" t="n">
        <v>44588</v>
      </c>
      <c r="C4155" s="1" t="n">
        <v>45710</v>
      </c>
      <c r="D4155" t="inlineStr">
        <is>
          <t>ÖSTERGÖTLANDS LÄN</t>
        </is>
      </c>
      <c r="E4155" t="inlineStr">
        <is>
          <t>SÖDERKÖPING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4213-2022</t>
        </is>
      </c>
      <c r="B4156" s="1" t="n">
        <v>44588</v>
      </c>
      <c r="C4156" s="1" t="n">
        <v>45710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4127-2022</t>
        </is>
      </c>
      <c r="B4157" s="1" t="n">
        <v>44588</v>
      </c>
      <c r="C4157" s="1" t="n">
        <v>45710</v>
      </c>
      <c r="D4157" t="inlineStr">
        <is>
          <t>ÖSTERGÖTLANDS LÄN</t>
        </is>
      </c>
      <c r="E4157" t="inlineStr">
        <is>
          <t>NORRKÖPING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4145-2022</t>
        </is>
      </c>
      <c r="B4158" s="1" t="n">
        <v>44588</v>
      </c>
      <c r="C4158" s="1" t="n">
        <v>45710</v>
      </c>
      <c r="D4158" t="inlineStr">
        <is>
          <t>ÖSTERGÖTLANDS LÄN</t>
        </is>
      </c>
      <c r="E4158" t="inlineStr">
        <is>
          <t>MOTALA</t>
        </is>
      </c>
      <c r="G4158" t="n">
        <v>5.8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4275-2022</t>
        </is>
      </c>
      <c r="B4159" s="1" t="n">
        <v>44588</v>
      </c>
      <c r="C4159" s="1" t="n">
        <v>45710</v>
      </c>
      <c r="D4159" t="inlineStr">
        <is>
          <t>ÖSTERGÖTLANDS LÄN</t>
        </is>
      </c>
      <c r="E4159" t="inlineStr">
        <is>
          <t>FINSPÅNG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4240-2022</t>
        </is>
      </c>
      <c r="B4160" s="1" t="n">
        <v>44588</v>
      </c>
      <c r="C4160" s="1" t="n">
        <v>45710</v>
      </c>
      <c r="D4160" t="inlineStr">
        <is>
          <t>ÖSTERGÖTLANDS LÄN</t>
        </is>
      </c>
      <c r="E4160" t="inlineStr">
        <is>
          <t>LINKÖPING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4256-2022</t>
        </is>
      </c>
      <c r="B4161" s="1" t="n">
        <v>44588</v>
      </c>
      <c r="C4161" s="1" t="n">
        <v>45710</v>
      </c>
      <c r="D4161" t="inlineStr">
        <is>
          <t>ÖSTERGÖTLANDS LÄN</t>
        </is>
      </c>
      <c r="E4161" t="inlineStr">
        <is>
          <t>LINKÖPING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4446-2022</t>
        </is>
      </c>
      <c r="B4162" s="1" t="n">
        <v>44589</v>
      </c>
      <c r="C4162" s="1" t="n">
        <v>45710</v>
      </c>
      <c r="D4162" t="inlineStr">
        <is>
          <t>ÖSTERGÖTLANDS LÄN</t>
        </is>
      </c>
      <c r="E4162" t="inlineStr">
        <is>
          <t>KINDA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4363-2022</t>
        </is>
      </c>
      <c r="B4163" s="1" t="n">
        <v>44589</v>
      </c>
      <c r="C4163" s="1" t="n">
        <v>45710</v>
      </c>
      <c r="D4163" t="inlineStr">
        <is>
          <t>ÖSTERGÖTLANDS LÄN</t>
        </is>
      </c>
      <c r="E4163" t="inlineStr">
        <is>
          <t>LINKÖPING</t>
        </is>
      </c>
      <c r="G4163" t="n">
        <v>8.199999999999999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4351-2022</t>
        </is>
      </c>
      <c r="B4164" s="1" t="n">
        <v>44589</v>
      </c>
      <c r="C4164" s="1" t="n">
        <v>45710</v>
      </c>
      <c r="D4164" t="inlineStr">
        <is>
          <t>ÖSTERGÖTLANDS LÄN</t>
        </is>
      </c>
      <c r="E4164" t="inlineStr">
        <is>
          <t>FINSPÅNG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4624-2022</t>
        </is>
      </c>
      <c r="B4165" s="1" t="n">
        <v>44592</v>
      </c>
      <c r="C4165" s="1" t="n">
        <v>45710</v>
      </c>
      <c r="D4165" t="inlineStr">
        <is>
          <t>ÖSTERGÖTLANDS LÄN</t>
        </is>
      </c>
      <c r="E4165" t="inlineStr">
        <is>
          <t>YDRE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4742-2022</t>
        </is>
      </c>
      <c r="B4166" s="1" t="n">
        <v>44592</v>
      </c>
      <c r="C4166" s="1" t="n">
        <v>45710</v>
      </c>
      <c r="D4166" t="inlineStr">
        <is>
          <t>ÖSTERGÖTLANDS LÄN</t>
        </is>
      </c>
      <c r="E4166" t="inlineStr">
        <is>
          <t>VALDEMARSVIK</t>
        </is>
      </c>
      <c r="G4166" t="n">
        <v>11.6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4666-2022</t>
        </is>
      </c>
      <c r="B4167" s="1" t="n">
        <v>44592</v>
      </c>
      <c r="C4167" s="1" t="n">
        <v>45710</v>
      </c>
      <c r="D4167" t="inlineStr">
        <is>
          <t>ÖSTERGÖTLANDS LÄN</t>
        </is>
      </c>
      <c r="E4167" t="inlineStr">
        <is>
          <t>SÖDERKÖPING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4743-2022</t>
        </is>
      </c>
      <c r="B4168" s="1" t="n">
        <v>44592</v>
      </c>
      <c r="C4168" s="1" t="n">
        <v>45710</v>
      </c>
      <c r="D4168" t="inlineStr">
        <is>
          <t>ÖSTERGÖTLANDS LÄN</t>
        </is>
      </c>
      <c r="E4168" t="inlineStr">
        <is>
          <t>MOTALA</t>
        </is>
      </c>
      <c r="G4168" t="n">
        <v>5.2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4772-2022</t>
        </is>
      </c>
      <c r="B4169" s="1" t="n">
        <v>44592</v>
      </c>
      <c r="C4169" s="1" t="n">
        <v>45710</v>
      </c>
      <c r="D4169" t="inlineStr">
        <is>
          <t>ÖSTERGÖTLANDS LÄN</t>
        </is>
      </c>
      <c r="E4169" t="inlineStr">
        <is>
          <t>ÖDESHÖG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4885-2022</t>
        </is>
      </c>
      <c r="B4170" s="1" t="n">
        <v>44593</v>
      </c>
      <c r="C4170" s="1" t="n">
        <v>45710</v>
      </c>
      <c r="D4170" t="inlineStr">
        <is>
          <t>ÖSTERGÖTLANDS LÄN</t>
        </is>
      </c>
      <c r="E4170" t="inlineStr">
        <is>
          <t>ÅTVIDABERG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4946-2022</t>
        </is>
      </c>
      <c r="B4171" s="1" t="n">
        <v>44593</v>
      </c>
      <c r="C4171" s="1" t="n">
        <v>45710</v>
      </c>
      <c r="D4171" t="inlineStr">
        <is>
          <t>ÖSTERGÖTLANDS LÄN</t>
        </is>
      </c>
      <c r="E4171" t="inlineStr">
        <is>
          <t>VALDEMARSVIK</t>
        </is>
      </c>
      <c r="G4171" t="n">
        <v>4.2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4995-2022</t>
        </is>
      </c>
      <c r="B4172" s="1" t="n">
        <v>44593</v>
      </c>
      <c r="C4172" s="1" t="n">
        <v>45710</v>
      </c>
      <c r="D4172" t="inlineStr">
        <is>
          <t>ÖSTERGÖTLANDS LÄN</t>
        </is>
      </c>
      <c r="E4172" t="inlineStr">
        <is>
          <t>NORRKÖPING</t>
        </is>
      </c>
      <c r="F4172" t="inlineStr">
        <is>
          <t>BillerudKorsnäs AB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4927-2022</t>
        </is>
      </c>
      <c r="B4173" s="1" t="n">
        <v>44593</v>
      </c>
      <c r="C4173" s="1" t="n">
        <v>45710</v>
      </c>
      <c r="D4173" t="inlineStr">
        <is>
          <t>ÖSTERGÖTLANDS LÄN</t>
        </is>
      </c>
      <c r="E4173" t="inlineStr">
        <is>
          <t>VALDEMARSVIK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4982-2022</t>
        </is>
      </c>
      <c r="B4174" s="1" t="n">
        <v>44593</v>
      </c>
      <c r="C4174" s="1" t="n">
        <v>45710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Övriga Aktiebolag</t>
        </is>
      </c>
      <c r="G4174" t="n">
        <v>5.9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5048-2022</t>
        </is>
      </c>
      <c r="B4175" s="1" t="n">
        <v>44593</v>
      </c>
      <c r="C4175" s="1" t="n">
        <v>45710</v>
      </c>
      <c r="D4175" t="inlineStr">
        <is>
          <t>ÖSTERGÖTLANDS LÄN</t>
        </is>
      </c>
      <c r="E4175" t="inlineStr">
        <is>
          <t>NORRKÖPING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5072-2022</t>
        </is>
      </c>
      <c r="B4176" s="1" t="n">
        <v>44593</v>
      </c>
      <c r="C4176" s="1" t="n">
        <v>45710</v>
      </c>
      <c r="D4176" t="inlineStr">
        <is>
          <t>ÖSTERGÖTLANDS LÄN</t>
        </is>
      </c>
      <c r="E4176" t="inlineStr">
        <is>
          <t>SÖDERKÖPING</t>
        </is>
      </c>
      <c r="G4176" t="n">
        <v>6.6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5157-2022</t>
        </is>
      </c>
      <c r="B4177" s="1" t="n">
        <v>44594</v>
      </c>
      <c r="C4177" s="1" t="n">
        <v>45710</v>
      </c>
      <c r="D4177" t="inlineStr">
        <is>
          <t>ÖSTERGÖTLANDS LÄN</t>
        </is>
      </c>
      <c r="E4177" t="inlineStr">
        <is>
          <t>MOTALA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5197-2022</t>
        </is>
      </c>
      <c r="B4178" s="1" t="n">
        <v>44594</v>
      </c>
      <c r="C4178" s="1" t="n">
        <v>45710</v>
      </c>
      <c r="D4178" t="inlineStr">
        <is>
          <t>ÖSTERGÖTLANDS LÄN</t>
        </is>
      </c>
      <c r="E4178" t="inlineStr">
        <is>
          <t>KINDA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5168-2022</t>
        </is>
      </c>
      <c r="B4179" s="1" t="n">
        <v>44594</v>
      </c>
      <c r="C4179" s="1" t="n">
        <v>45710</v>
      </c>
      <c r="D4179" t="inlineStr">
        <is>
          <t>ÖSTERGÖTLANDS LÄN</t>
        </is>
      </c>
      <c r="E4179" t="inlineStr">
        <is>
          <t>MJÖLBY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5180-2022</t>
        </is>
      </c>
      <c r="B4180" s="1" t="n">
        <v>44594</v>
      </c>
      <c r="C4180" s="1" t="n">
        <v>45710</v>
      </c>
      <c r="D4180" t="inlineStr">
        <is>
          <t>ÖSTERGÖTLANDS LÄN</t>
        </is>
      </c>
      <c r="E4180" t="inlineStr">
        <is>
          <t>YDRE</t>
        </is>
      </c>
      <c r="G4180" t="n">
        <v>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5307-2022</t>
        </is>
      </c>
      <c r="B4181" s="1" t="n">
        <v>44594</v>
      </c>
      <c r="C4181" s="1" t="n">
        <v>45710</v>
      </c>
      <c r="D4181" t="inlineStr">
        <is>
          <t>ÖSTERGÖTLANDS LÄN</t>
        </is>
      </c>
      <c r="E4181" t="inlineStr">
        <is>
          <t>SÖDERKÖPING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5438-2022</t>
        </is>
      </c>
      <c r="B4182" s="1" t="n">
        <v>44595</v>
      </c>
      <c r="C4182" s="1" t="n">
        <v>45710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Övriga Aktiebolag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5431-2022</t>
        </is>
      </c>
      <c r="B4183" s="1" t="n">
        <v>44595</v>
      </c>
      <c r="C4183" s="1" t="n">
        <v>45710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Övriga Aktiebolag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5617-2022</t>
        </is>
      </c>
      <c r="B4184" s="1" t="n">
        <v>44595</v>
      </c>
      <c r="C4184" s="1" t="n">
        <v>45710</v>
      </c>
      <c r="D4184" t="inlineStr">
        <is>
          <t>ÖSTERGÖTLANDS LÄN</t>
        </is>
      </c>
      <c r="E4184" t="inlineStr">
        <is>
          <t>FINSPÅNG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5605-2022</t>
        </is>
      </c>
      <c r="B4185" s="1" t="n">
        <v>44595</v>
      </c>
      <c r="C4185" s="1" t="n">
        <v>45710</v>
      </c>
      <c r="D4185" t="inlineStr">
        <is>
          <t>ÖSTERGÖTLANDS LÄN</t>
        </is>
      </c>
      <c r="E4185" t="inlineStr">
        <is>
          <t>LINKÖPING</t>
        </is>
      </c>
      <c r="F4185" t="inlineStr">
        <is>
          <t>Övriga statliga verk och myndigheter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5595-2022</t>
        </is>
      </c>
      <c r="B4186" s="1" t="n">
        <v>44595</v>
      </c>
      <c r="C4186" s="1" t="n">
        <v>45710</v>
      </c>
      <c r="D4186" t="inlineStr">
        <is>
          <t>ÖSTERGÖTLANDS LÄN</t>
        </is>
      </c>
      <c r="E4186" t="inlineStr">
        <is>
          <t>FINSPÅNG</t>
        </is>
      </c>
      <c r="F4186" t="inlineStr">
        <is>
          <t>Övriga Aktiebolag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5615-2022</t>
        </is>
      </c>
      <c r="B4187" s="1" t="n">
        <v>44595</v>
      </c>
      <c r="C4187" s="1" t="n">
        <v>45710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Övriga Aktiebolag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5616-2022</t>
        </is>
      </c>
      <c r="B4188" s="1" t="n">
        <v>44595</v>
      </c>
      <c r="C4188" s="1" t="n">
        <v>45710</v>
      </c>
      <c r="D4188" t="inlineStr">
        <is>
          <t>ÖSTERGÖTLANDS LÄN</t>
        </is>
      </c>
      <c r="E4188" t="inlineStr">
        <is>
          <t>FINSPÅNG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5622-2022</t>
        </is>
      </c>
      <c r="B4189" s="1" t="n">
        <v>44595</v>
      </c>
      <c r="C4189" s="1" t="n">
        <v>45710</v>
      </c>
      <c r="D4189" t="inlineStr">
        <is>
          <t>ÖSTERGÖTLANDS LÄN</t>
        </is>
      </c>
      <c r="E4189" t="inlineStr">
        <is>
          <t>FINSPÅNG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5674-2022</t>
        </is>
      </c>
      <c r="B4190" s="1" t="n">
        <v>44595</v>
      </c>
      <c r="C4190" s="1" t="n">
        <v>45710</v>
      </c>
      <c r="D4190" t="inlineStr">
        <is>
          <t>ÖSTERGÖTLANDS LÄN</t>
        </is>
      </c>
      <c r="E4190" t="inlineStr">
        <is>
          <t>FINSPÅNG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5663-2022</t>
        </is>
      </c>
      <c r="B4191" s="1" t="n">
        <v>44596</v>
      </c>
      <c r="C4191" s="1" t="n">
        <v>45710</v>
      </c>
      <c r="D4191" t="inlineStr">
        <is>
          <t>ÖSTERGÖTLANDS LÄN</t>
        </is>
      </c>
      <c r="E4191" t="inlineStr">
        <is>
          <t>ÅTVIDABERG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5725-2022</t>
        </is>
      </c>
      <c r="B4192" s="1" t="n">
        <v>44596</v>
      </c>
      <c r="C4192" s="1" t="n">
        <v>45710</v>
      </c>
      <c r="D4192" t="inlineStr">
        <is>
          <t>ÖSTERGÖTLANDS LÄN</t>
        </is>
      </c>
      <c r="E4192" t="inlineStr">
        <is>
          <t>NORRKÖPING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5717-2022</t>
        </is>
      </c>
      <c r="B4193" s="1" t="n">
        <v>44596</v>
      </c>
      <c r="C4193" s="1" t="n">
        <v>45710</v>
      </c>
      <c r="D4193" t="inlineStr">
        <is>
          <t>ÖSTERGÖTLANDS LÄN</t>
        </is>
      </c>
      <c r="E4193" t="inlineStr">
        <is>
          <t>NORRKÖPING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5868-2022</t>
        </is>
      </c>
      <c r="B4194" s="1" t="n">
        <v>44596</v>
      </c>
      <c r="C4194" s="1" t="n">
        <v>45710</v>
      </c>
      <c r="D4194" t="inlineStr">
        <is>
          <t>ÖSTERGÖTLANDS LÄN</t>
        </is>
      </c>
      <c r="E4194" t="inlineStr">
        <is>
          <t>NORRKÖPING</t>
        </is>
      </c>
      <c r="F4194" t="inlineStr">
        <is>
          <t>Allmännings- och besparingsskogar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5887-2022</t>
        </is>
      </c>
      <c r="B4195" s="1" t="n">
        <v>44596</v>
      </c>
      <c r="C4195" s="1" t="n">
        <v>45710</v>
      </c>
      <c r="D4195" t="inlineStr">
        <is>
          <t>ÖSTERGÖTLANDS LÄN</t>
        </is>
      </c>
      <c r="E4195" t="inlineStr">
        <is>
          <t>MOTALA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5873-2022</t>
        </is>
      </c>
      <c r="B4196" s="1" t="n">
        <v>44596</v>
      </c>
      <c r="C4196" s="1" t="n">
        <v>45710</v>
      </c>
      <c r="D4196" t="inlineStr">
        <is>
          <t>ÖSTERGÖTLANDS LÄN</t>
        </is>
      </c>
      <c r="E4196" t="inlineStr">
        <is>
          <t>KINDA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5888-2022</t>
        </is>
      </c>
      <c r="B4197" s="1" t="n">
        <v>44596</v>
      </c>
      <c r="C4197" s="1" t="n">
        <v>45710</v>
      </c>
      <c r="D4197" t="inlineStr">
        <is>
          <t>ÖSTERGÖTLANDS LÄN</t>
        </is>
      </c>
      <c r="E4197" t="inlineStr">
        <is>
          <t>LINKÖPING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5976-2022</t>
        </is>
      </c>
      <c r="B4198" s="1" t="n">
        <v>44597</v>
      </c>
      <c r="C4198" s="1" t="n">
        <v>45710</v>
      </c>
      <c r="D4198" t="inlineStr">
        <is>
          <t>ÖSTERGÖTLANDS LÄN</t>
        </is>
      </c>
      <c r="E4198" t="inlineStr">
        <is>
          <t>NORRKÖPING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5912-2022</t>
        </is>
      </c>
      <c r="B4199" s="1" t="n">
        <v>44597</v>
      </c>
      <c r="C4199" s="1" t="n">
        <v>45710</v>
      </c>
      <c r="D4199" t="inlineStr">
        <is>
          <t>ÖSTERGÖTLANDS LÄN</t>
        </is>
      </c>
      <c r="E4199" t="inlineStr">
        <is>
          <t>NORRKÖPING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5990-2022</t>
        </is>
      </c>
      <c r="B4200" s="1" t="n">
        <v>44599</v>
      </c>
      <c r="C4200" s="1" t="n">
        <v>45710</v>
      </c>
      <c r="D4200" t="inlineStr">
        <is>
          <t>ÖSTERGÖTLANDS LÄN</t>
        </is>
      </c>
      <c r="E4200" t="inlineStr">
        <is>
          <t>MJÖLBY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6104-2022</t>
        </is>
      </c>
      <c r="B4201" s="1" t="n">
        <v>44599</v>
      </c>
      <c r="C4201" s="1" t="n">
        <v>45710</v>
      </c>
      <c r="D4201" t="inlineStr">
        <is>
          <t>ÖSTERGÖTLANDS LÄN</t>
        </is>
      </c>
      <c r="E4201" t="inlineStr">
        <is>
          <t>KINDA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6054-2022</t>
        </is>
      </c>
      <c r="B4202" s="1" t="n">
        <v>44599</v>
      </c>
      <c r="C4202" s="1" t="n">
        <v>45710</v>
      </c>
      <c r="D4202" t="inlineStr">
        <is>
          <t>ÖSTERGÖTLANDS LÄN</t>
        </is>
      </c>
      <c r="E4202" t="inlineStr">
        <is>
          <t>LINKÖPING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6067-2022</t>
        </is>
      </c>
      <c r="B4203" s="1" t="n">
        <v>44599</v>
      </c>
      <c r="C4203" s="1" t="n">
        <v>45710</v>
      </c>
      <c r="D4203" t="inlineStr">
        <is>
          <t>ÖSTERGÖTLANDS LÄN</t>
        </is>
      </c>
      <c r="E4203" t="inlineStr">
        <is>
          <t>NORRKÖPING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6038-2022</t>
        </is>
      </c>
      <c r="B4204" s="1" t="n">
        <v>44599</v>
      </c>
      <c r="C4204" s="1" t="n">
        <v>45710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Naturvårdsverket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6103-2022</t>
        </is>
      </c>
      <c r="B4205" s="1" t="n">
        <v>44599</v>
      </c>
      <c r="C4205" s="1" t="n">
        <v>45710</v>
      </c>
      <c r="D4205" t="inlineStr">
        <is>
          <t>ÖSTERGÖTLANDS LÄN</t>
        </is>
      </c>
      <c r="E4205" t="inlineStr">
        <is>
          <t>ÅTVIDABERG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6391-2022</t>
        </is>
      </c>
      <c r="B4206" s="1" t="n">
        <v>44600</v>
      </c>
      <c r="C4206" s="1" t="n">
        <v>45710</v>
      </c>
      <c r="D4206" t="inlineStr">
        <is>
          <t>ÖSTERGÖTLANDS LÄN</t>
        </is>
      </c>
      <c r="E4206" t="inlineStr">
        <is>
          <t>LINKÖPING</t>
        </is>
      </c>
      <c r="F4206" t="inlineStr">
        <is>
          <t>Övriga statliga verk och myndigheter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6399-2022</t>
        </is>
      </c>
      <c r="B4207" s="1" t="n">
        <v>44600</v>
      </c>
      <c r="C4207" s="1" t="n">
        <v>45710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6389-2022</t>
        </is>
      </c>
      <c r="B4208" s="1" t="n">
        <v>44600</v>
      </c>
      <c r="C4208" s="1" t="n">
        <v>45710</v>
      </c>
      <c r="D4208" t="inlineStr">
        <is>
          <t>ÖSTERGÖTLANDS LÄN</t>
        </is>
      </c>
      <c r="E4208" t="inlineStr">
        <is>
          <t>KINDA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6396-2022</t>
        </is>
      </c>
      <c r="B4209" s="1" t="n">
        <v>44600</v>
      </c>
      <c r="C4209" s="1" t="n">
        <v>45710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6328-2022</t>
        </is>
      </c>
      <c r="B4210" s="1" t="n">
        <v>44600</v>
      </c>
      <c r="C4210" s="1" t="n">
        <v>45710</v>
      </c>
      <c r="D4210" t="inlineStr">
        <is>
          <t>ÖSTERGÖTLANDS LÄN</t>
        </is>
      </c>
      <c r="E4210" t="inlineStr">
        <is>
          <t>YDRE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6387-2022</t>
        </is>
      </c>
      <c r="B4211" s="1" t="n">
        <v>44600</v>
      </c>
      <c r="C4211" s="1" t="n">
        <v>45710</v>
      </c>
      <c r="D4211" t="inlineStr">
        <is>
          <t>ÖSTERGÖTLANDS LÄN</t>
        </is>
      </c>
      <c r="E4211" t="inlineStr">
        <is>
          <t>LINKÖPING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6395-2022</t>
        </is>
      </c>
      <c r="B4212" s="1" t="n">
        <v>44600</v>
      </c>
      <c r="C4212" s="1" t="n">
        <v>45710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statliga verk och myndigheter</t>
        </is>
      </c>
      <c r="G4212" t="n">
        <v>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6402-2022</t>
        </is>
      </c>
      <c r="B4213" s="1" t="n">
        <v>44600</v>
      </c>
      <c r="C4213" s="1" t="n">
        <v>45710</v>
      </c>
      <c r="D4213" t="inlineStr">
        <is>
          <t>ÖSTERGÖTLANDS LÄN</t>
        </is>
      </c>
      <c r="E4213" t="inlineStr">
        <is>
          <t>FINSPÅNG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6410-2022</t>
        </is>
      </c>
      <c r="B4214" s="1" t="n">
        <v>44600</v>
      </c>
      <c r="C4214" s="1" t="n">
        <v>45710</v>
      </c>
      <c r="D4214" t="inlineStr">
        <is>
          <t>ÖSTERGÖTLANDS LÄN</t>
        </is>
      </c>
      <c r="E4214" t="inlineStr">
        <is>
          <t>FINSPÅNG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6393-2022</t>
        </is>
      </c>
      <c r="B4215" s="1" t="n">
        <v>44600</v>
      </c>
      <c r="C4215" s="1" t="n">
        <v>45710</v>
      </c>
      <c r="D4215" t="inlineStr">
        <is>
          <t>ÖSTERGÖTLANDS LÄN</t>
        </is>
      </c>
      <c r="E4215" t="inlineStr">
        <is>
          <t>LINKÖPING</t>
        </is>
      </c>
      <c r="F4215" t="inlineStr">
        <is>
          <t>Övriga statliga verk och myndigheter</t>
        </is>
      </c>
      <c r="G4215" t="n">
        <v>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6401-2022</t>
        </is>
      </c>
      <c r="B4216" s="1" t="n">
        <v>44600</v>
      </c>
      <c r="C4216" s="1" t="n">
        <v>45710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statliga verk och myndigheter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6491-2022</t>
        </is>
      </c>
      <c r="B4217" s="1" t="n">
        <v>44601</v>
      </c>
      <c r="C4217" s="1" t="n">
        <v>45710</v>
      </c>
      <c r="D4217" t="inlineStr">
        <is>
          <t>ÖSTERGÖTLANDS LÄN</t>
        </is>
      </c>
      <c r="E4217" t="inlineStr">
        <is>
          <t>FINSPÅNG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6519-2022</t>
        </is>
      </c>
      <c r="B4218" s="1" t="n">
        <v>44601</v>
      </c>
      <c r="C4218" s="1" t="n">
        <v>45710</v>
      </c>
      <c r="D4218" t="inlineStr">
        <is>
          <t>ÖSTERGÖTLANDS LÄN</t>
        </is>
      </c>
      <c r="E4218" t="inlineStr">
        <is>
          <t>FINSPÅNG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6548-2022</t>
        </is>
      </c>
      <c r="B4219" s="1" t="n">
        <v>44601</v>
      </c>
      <c r="C4219" s="1" t="n">
        <v>45710</v>
      </c>
      <c r="D4219" t="inlineStr">
        <is>
          <t>ÖSTERGÖTLANDS LÄN</t>
        </is>
      </c>
      <c r="E4219" t="inlineStr">
        <is>
          <t>VALDEMARSVIK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6493-2022</t>
        </is>
      </c>
      <c r="B4220" s="1" t="n">
        <v>44601</v>
      </c>
      <c r="C4220" s="1" t="n">
        <v>45710</v>
      </c>
      <c r="D4220" t="inlineStr">
        <is>
          <t>ÖSTERGÖTLANDS LÄN</t>
        </is>
      </c>
      <c r="E4220" t="inlineStr">
        <is>
          <t>FINSPÅNG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6503-2022</t>
        </is>
      </c>
      <c r="B4221" s="1" t="n">
        <v>44601</v>
      </c>
      <c r="C4221" s="1" t="n">
        <v>45710</v>
      </c>
      <c r="D4221" t="inlineStr">
        <is>
          <t>ÖSTERGÖTLANDS LÄN</t>
        </is>
      </c>
      <c r="E4221" t="inlineStr">
        <is>
          <t>FINSPÅNG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6495-2022</t>
        </is>
      </c>
      <c r="B4222" s="1" t="n">
        <v>44601</v>
      </c>
      <c r="C4222" s="1" t="n">
        <v>45710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Naturvårdsverket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6780-2022</t>
        </is>
      </c>
      <c r="B4223" s="1" t="n">
        <v>44602</v>
      </c>
      <c r="C4223" s="1" t="n">
        <v>45710</v>
      </c>
      <c r="D4223" t="inlineStr">
        <is>
          <t>ÖSTERGÖTLANDS LÄN</t>
        </is>
      </c>
      <c r="E4223" t="inlineStr">
        <is>
          <t>YDRE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6793-2022</t>
        </is>
      </c>
      <c r="B4224" s="1" t="n">
        <v>44602</v>
      </c>
      <c r="C4224" s="1" t="n">
        <v>45710</v>
      </c>
      <c r="D4224" t="inlineStr">
        <is>
          <t>ÖSTERGÖTLANDS LÄN</t>
        </is>
      </c>
      <c r="E4224" t="inlineStr">
        <is>
          <t>MOTALA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6720-2022</t>
        </is>
      </c>
      <c r="B4225" s="1" t="n">
        <v>44602</v>
      </c>
      <c r="C4225" s="1" t="n">
        <v>45710</v>
      </c>
      <c r="D4225" t="inlineStr">
        <is>
          <t>ÖSTERGÖTLANDS LÄN</t>
        </is>
      </c>
      <c r="E4225" t="inlineStr">
        <is>
          <t>LINKÖPING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6868-2022</t>
        </is>
      </c>
      <c r="B4226" s="1" t="n">
        <v>44602</v>
      </c>
      <c r="C4226" s="1" t="n">
        <v>45710</v>
      </c>
      <c r="D4226" t="inlineStr">
        <is>
          <t>ÖSTERGÖTLANDS LÄN</t>
        </is>
      </c>
      <c r="E4226" t="inlineStr">
        <is>
          <t>NORRKÖPING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6993-2022</t>
        </is>
      </c>
      <c r="B4227" s="1" t="n">
        <v>44603</v>
      </c>
      <c r="C4227" s="1" t="n">
        <v>45710</v>
      </c>
      <c r="D4227" t="inlineStr">
        <is>
          <t>ÖSTERGÖTLANDS LÄN</t>
        </is>
      </c>
      <c r="E4227" t="inlineStr">
        <is>
          <t>MOTALA</t>
        </is>
      </c>
      <c r="F4227" t="inlineStr">
        <is>
          <t>Övriga statliga verk och myndigheter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6996-2022</t>
        </is>
      </c>
      <c r="B4228" s="1" t="n">
        <v>44603</v>
      </c>
      <c r="C4228" s="1" t="n">
        <v>45710</v>
      </c>
      <c r="D4228" t="inlineStr">
        <is>
          <t>ÖSTERGÖTLANDS LÄN</t>
        </is>
      </c>
      <c r="E4228" t="inlineStr">
        <is>
          <t>VALDEMARSVIK</t>
        </is>
      </c>
      <c r="F4228" t="inlineStr">
        <is>
          <t>Övriga Aktiebolag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7125-2022</t>
        </is>
      </c>
      <c r="B4229" s="1" t="n">
        <v>44603</v>
      </c>
      <c r="C4229" s="1" t="n">
        <v>45710</v>
      </c>
      <c r="D4229" t="inlineStr">
        <is>
          <t>ÖSTERGÖTLANDS LÄN</t>
        </is>
      </c>
      <c r="E4229" t="inlineStr">
        <is>
          <t>VALDEMARSVIK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7142-2022</t>
        </is>
      </c>
      <c r="B4230" s="1" t="n">
        <v>44603</v>
      </c>
      <c r="C4230" s="1" t="n">
        <v>45710</v>
      </c>
      <c r="D4230" t="inlineStr">
        <is>
          <t>ÖSTERGÖTLANDS LÄN</t>
        </is>
      </c>
      <c r="E4230" t="inlineStr">
        <is>
          <t>KINDA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7138-2022</t>
        </is>
      </c>
      <c r="B4231" s="1" t="n">
        <v>44603</v>
      </c>
      <c r="C4231" s="1" t="n">
        <v>45710</v>
      </c>
      <c r="D4231" t="inlineStr">
        <is>
          <t>ÖSTERGÖTLANDS LÄN</t>
        </is>
      </c>
      <c r="E4231" t="inlineStr">
        <is>
          <t>VALDEMARSVIK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7128-2022</t>
        </is>
      </c>
      <c r="B4232" s="1" t="n">
        <v>44603</v>
      </c>
      <c r="C4232" s="1" t="n">
        <v>45710</v>
      </c>
      <c r="D4232" t="inlineStr">
        <is>
          <t>ÖSTERGÖTLANDS LÄN</t>
        </is>
      </c>
      <c r="E4232" t="inlineStr">
        <is>
          <t>VALDEMARSVIK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7306-2022</t>
        </is>
      </c>
      <c r="B4233" s="1" t="n">
        <v>44606</v>
      </c>
      <c r="C4233" s="1" t="n">
        <v>45710</v>
      </c>
      <c r="D4233" t="inlineStr">
        <is>
          <t>ÖSTERGÖTLANDS LÄN</t>
        </is>
      </c>
      <c r="E4233" t="inlineStr">
        <is>
          <t>YDRE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7318-2022</t>
        </is>
      </c>
      <c r="B4234" s="1" t="n">
        <v>44606</v>
      </c>
      <c r="C4234" s="1" t="n">
        <v>45710</v>
      </c>
      <c r="D4234" t="inlineStr">
        <is>
          <t>ÖSTERGÖTLANDS LÄN</t>
        </is>
      </c>
      <c r="E4234" t="inlineStr">
        <is>
          <t>MOTALA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7337-2022</t>
        </is>
      </c>
      <c r="B4235" s="1" t="n">
        <v>44606</v>
      </c>
      <c r="C4235" s="1" t="n">
        <v>45710</v>
      </c>
      <c r="D4235" t="inlineStr">
        <is>
          <t>ÖSTERGÖTLANDS LÄN</t>
        </is>
      </c>
      <c r="E4235" t="inlineStr">
        <is>
          <t>KINDA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7295-2022</t>
        </is>
      </c>
      <c r="B4236" s="1" t="n">
        <v>44606</v>
      </c>
      <c r="C4236" s="1" t="n">
        <v>45710</v>
      </c>
      <c r="D4236" t="inlineStr">
        <is>
          <t>ÖSTERGÖTLANDS LÄN</t>
        </is>
      </c>
      <c r="E4236" t="inlineStr">
        <is>
          <t>MOTALA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7198-2022</t>
        </is>
      </c>
      <c r="B4237" s="1" t="n">
        <v>44606</v>
      </c>
      <c r="C4237" s="1" t="n">
        <v>45710</v>
      </c>
      <c r="D4237" t="inlineStr">
        <is>
          <t>ÖSTERGÖTLANDS LÄN</t>
        </is>
      </c>
      <c r="E4237" t="inlineStr">
        <is>
          <t>FINSPÅNG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7445-2022</t>
        </is>
      </c>
      <c r="B4238" s="1" t="n">
        <v>44607</v>
      </c>
      <c r="C4238" s="1" t="n">
        <v>45710</v>
      </c>
      <c r="D4238" t="inlineStr">
        <is>
          <t>ÖSTERGÖTLANDS LÄN</t>
        </is>
      </c>
      <c r="E4238" t="inlineStr">
        <is>
          <t>FINSPÅNG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7652-2022</t>
        </is>
      </c>
      <c r="B4239" s="1" t="n">
        <v>44607</v>
      </c>
      <c r="C4239" s="1" t="n">
        <v>45710</v>
      </c>
      <c r="D4239" t="inlineStr">
        <is>
          <t>ÖSTERGÖTLANDS LÄN</t>
        </is>
      </c>
      <c r="E4239" t="inlineStr">
        <is>
          <t>ÅTVIDABERG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7709-2022</t>
        </is>
      </c>
      <c r="B4240" s="1" t="n">
        <v>44607</v>
      </c>
      <c r="C4240" s="1" t="n">
        <v>45710</v>
      </c>
      <c r="D4240" t="inlineStr">
        <is>
          <t>ÖSTERGÖTLANDS LÄN</t>
        </is>
      </c>
      <c r="E4240" t="inlineStr">
        <is>
          <t>NORRKÖPING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7634-2022</t>
        </is>
      </c>
      <c r="B4241" s="1" t="n">
        <v>44607</v>
      </c>
      <c r="C4241" s="1" t="n">
        <v>45710</v>
      </c>
      <c r="D4241" t="inlineStr">
        <is>
          <t>ÖSTERGÖTLANDS LÄN</t>
        </is>
      </c>
      <c r="E4241" t="inlineStr">
        <is>
          <t>VALDEMARSVIK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7799-2022</t>
        </is>
      </c>
      <c r="B4242" s="1" t="n">
        <v>44608</v>
      </c>
      <c r="C4242" s="1" t="n">
        <v>45710</v>
      </c>
      <c r="D4242" t="inlineStr">
        <is>
          <t>ÖSTERGÖTLANDS LÄN</t>
        </is>
      </c>
      <c r="E4242" t="inlineStr">
        <is>
          <t>YDRE</t>
        </is>
      </c>
      <c r="F4242" t="inlineStr">
        <is>
          <t>Sveaskog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7812-2022</t>
        </is>
      </c>
      <c r="B4243" s="1" t="n">
        <v>44608</v>
      </c>
      <c r="C4243" s="1" t="n">
        <v>45710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Sveaskog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7840-2022</t>
        </is>
      </c>
      <c r="B4244" s="1" t="n">
        <v>44608</v>
      </c>
      <c r="C4244" s="1" t="n">
        <v>45710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7710-2022</t>
        </is>
      </c>
      <c r="B4245" s="1" t="n">
        <v>44608</v>
      </c>
      <c r="C4245" s="1" t="n">
        <v>45710</v>
      </c>
      <c r="D4245" t="inlineStr">
        <is>
          <t>ÖSTERGÖTLANDS LÄN</t>
        </is>
      </c>
      <c r="E4245" t="inlineStr">
        <is>
          <t>MOTALA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7788-2022</t>
        </is>
      </c>
      <c r="B4246" s="1" t="n">
        <v>44608</v>
      </c>
      <c r="C4246" s="1" t="n">
        <v>45710</v>
      </c>
      <c r="D4246" t="inlineStr">
        <is>
          <t>ÖSTERGÖTLANDS LÄN</t>
        </is>
      </c>
      <c r="E4246" t="inlineStr">
        <is>
          <t>KINDA</t>
        </is>
      </c>
      <c r="F4246" t="inlineStr">
        <is>
          <t>Sveaskog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7808-2022</t>
        </is>
      </c>
      <c r="B4247" s="1" t="n">
        <v>44608</v>
      </c>
      <c r="C4247" s="1" t="n">
        <v>45710</v>
      </c>
      <c r="D4247" t="inlineStr">
        <is>
          <t>ÖSTERGÖTLANDS LÄN</t>
        </is>
      </c>
      <c r="E4247" t="inlineStr">
        <is>
          <t>LINKÖPING</t>
        </is>
      </c>
      <c r="F4247" t="inlineStr">
        <is>
          <t>Sveaskog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7824-2022</t>
        </is>
      </c>
      <c r="B4248" s="1" t="n">
        <v>44608</v>
      </c>
      <c r="C4248" s="1" t="n">
        <v>45710</v>
      </c>
      <c r="D4248" t="inlineStr">
        <is>
          <t>ÖSTERGÖTLANDS LÄN</t>
        </is>
      </c>
      <c r="E4248" t="inlineStr">
        <is>
          <t>SÖDERKÖPING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7792-2022</t>
        </is>
      </c>
      <c r="B4249" s="1" t="n">
        <v>44608</v>
      </c>
      <c r="C4249" s="1" t="n">
        <v>45710</v>
      </c>
      <c r="D4249" t="inlineStr">
        <is>
          <t>ÖSTERGÖTLANDS LÄN</t>
        </is>
      </c>
      <c r="E4249" t="inlineStr">
        <is>
          <t>KINDA</t>
        </is>
      </c>
      <c r="F4249" t="inlineStr">
        <is>
          <t>Sveaskog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7925-2022</t>
        </is>
      </c>
      <c r="B4250" s="1" t="n">
        <v>44608</v>
      </c>
      <c r="C4250" s="1" t="n">
        <v>45710</v>
      </c>
      <c r="D4250" t="inlineStr">
        <is>
          <t>ÖSTERGÖTLANDS LÄN</t>
        </is>
      </c>
      <c r="E4250" t="inlineStr">
        <is>
          <t>MOTALA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7927-2022</t>
        </is>
      </c>
      <c r="B4251" s="1" t="n">
        <v>44608</v>
      </c>
      <c r="C4251" s="1" t="n">
        <v>45710</v>
      </c>
      <c r="D4251" t="inlineStr">
        <is>
          <t>ÖSTERGÖTLANDS LÄN</t>
        </is>
      </c>
      <c r="E4251" t="inlineStr">
        <is>
          <t>MOTALA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7973-2022</t>
        </is>
      </c>
      <c r="B4252" s="1" t="n">
        <v>44609</v>
      </c>
      <c r="C4252" s="1" t="n">
        <v>45710</v>
      </c>
      <c r="D4252" t="inlineStr">
        <is>
          <t>ÖSTERGÖTLANDS LÄN</t>
        </is>
      </c>
      <c r="E4252" t="inlineStr">
        <is>
          <t>NORRKÖPING</t>
        </is>
      </c>
      <c r="G4252" t="n">
        <v>8.699999999999999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8021-2022</t>
        </is>
      </c>
      <c r="B4253" s="1" t="n">
        <v>44609</v>
      </c>
      <c r="C4253" s="1" t="n">
        <v>45710</v>
      </c>
      <c r="D4253" t="inlineStr">
        <is>
          <t>ÖSTERGÖTLANDS LÄN</t>
        </is>
      </c>
      <c r="E4253" t="inlineStr">
        <is>
          <t>MOTALA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8197-2022</t>
        </is>
      </c>
      <c r="B4254" s="1" t="n">
        <v>44609</v>
      </c>
      <c r="C4254" s="1" t="n">
        <v>45710</v>
      </c>
      <c r="D4254" t="inlineStr">
        <is>
          <t>ÖSTERGÖTLANDS LÄN</t>
        </is>
      </c>
      <c r="E4254" t="inlineStr">
        <is>
          <t>NORRKÖPING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8628-2022</t>
        </is>
      </c>
      <c r="B4255" s="1" t="n">
        <v>44613</v>
      </c>
      <c r="C4255" s="1" t="n">
        <v>45710</v>
      </c>
      <c r="D4255" t="inlineStr">
        <is>
          <t>ÖSTERGÖTLANDS LÄN</t>
        </is>
      </c>
      <c r="E4255" t="inlineStr">
        <is>
          <t>SÖDERKÖPING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8604-2022</t>
        </is>
      </c>
      <c r="B4256" s="1" t="n">
        <v>44613</v>
      </c>
      <c r="C4256" s="1" t="n">
        <v>45710</v>
      </c>
      <c r="D4256" t="inlineStr">
        <is>
          <t>ÖSTERGÖTLANDS LÄN</t>
        </is>
      </c>
      <c r="E4256" t="inlineStr">
        <is>
          <t>FINSPÅNG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8658-2022</t>
        </is>
      </c>
      <c r="B4257" s="1" t="n">
        <v>44613</v>
      </c>
      <c r="C4257" s="1" t="n">
        <v>45710</v>
      </c>
      <c r="D4257" t="inlineStr">
        <is>
          <t>ÖSTERGÖTLANDS LÄN</t>
        </is>
      </c>
      <c r="E4257" t="inlineStr">
        <is>
          <t>MJÖLBY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8615-2022</t>
        </is>
      </c>
      <c r="B4258" s="1" t="n">
        <v>44613</v>
      </c>
      <c r="C4258" s="1" t="n">
        <v>45710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Holmen skog AB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8718-2022</t>
        </is>
      </c>
      <c r="B4259" s="1" t="n">
        <v>44613</v>
      </c>
      <c r="C4259" s="1" t="n">
        <v>45710</v>
      </c>
      <c r="D4259" t="inlineStr">
        <is>
          <t>ÖSTERGÖTLANDS LÄN</t>
        </is>
      </c>
      <c r="E4259" t="inlineStr">
        <is>
          <t>VALDEMARSVIK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8515-2022</t>
        </is>
      </c>
      <c r="B4260" s="1" t="n">
        <v>44613</v>
      </c>
      <c r="C4260" s="1" t="n">
        <v>45710</v>
      </c>
      <c r="D4260" t="inlineStr">
        <is>
          <t>ÖSTERGÖTLANDS LÄN</t>
        </is>
      </c>
      <c r="E4260" t="inlineStr">
        <is>
          <t>ÖDESHÖG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8717-2022</t>
        </is>
      </c>
      <c r="B4261" s="1" t="n">
        <v>44613</v>
      </c>
      <c r="C4261" s="1" t="n">
        <v>45710</v>
      </c>
      <c r="D4261" t="inlineStr">
        <is>
          <t>ÖSTERGÖTLANDS LÄN</t>
        </is>
      </c>
      <c r="E4261" t="inlineStr">
        <is>
          <t>VALDEMARSVIK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8688-2022</t>
        </is>
      </c>
      <c r="B4262" s="1" t="n">
        <v>44613</v>
      </c>
      <c r="C4262" s="1" t="n">
        <v>45710</v>
      </c>
      <c r="D4262" t="inlineStr">
        <is>
          <t>ÖSTERGÖTLANDS LÄN</t>
        </is>
      </c>
      <c r="E4262" t="inlineStr">
        <is>
          <t>VALDEMARSVIK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8720-2022</t>
        </is>
      </c>
      <c r="B4263" s="1" t="n">
        <v>44613</v>
      </c>
      <c r="C4263" s="1" t="n">
        <v>45710</v>
      </c>
      <c r="D4263" t="inlineStr">
        <is>
          <t>ÖSTERGÖTLANDS LÄN</t>
        </is>
      </c>
      <c r="E4263" t="inlineStr">
        <is>
          <t>VALDEMARSVIK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8685-2022</t>
        </is>
      </c>
      <c r="B4264" s="1" t="n">
        <v>44613</v>
      </c>
      <c r="C4264" s="1" t="n">
        <v>45710</v>
      </c>
      <c r="D4264" t="inlineStr">
        <is>
          <t>ÖSTERGÖTLANDS LÄN</t>
        </is>
      </c>
      <c r="E4264" t="inlineStr">
        <is>
          <t>VALDEMARSVIK</t>
        </is>
      </c>
      <c r="G4264" t="n">
        <v>4.7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8724-2022</t>
        </is>
      </c>
      <c r="B4265" s="1" t="n">
        <v>44613</v>
      </c>
      <c r="C4265" s="1" t="n">
        <v>45710</v>
      </c>
      <c r="D4265" t="inlineStr">
        <is>
          <t>ÖSTERGÖTLANDS LÄN</t>
        </is>
      </c>
      <c r="E4265" t="inlineStr">
        <is>
          <t>MOTALA</t>
        </is>
      </c>
      <c r="G4265" t="n">
        <v>3.9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8528-2022</t>
        </is>
      </c>
      <c r="B4266" s="1" t="n">
        <v>44613</v>
      </c>
      <c r="C4266" s="1" t="n">
        <v>45710</v>
      </c>
      <c r="D4266" t="inlineStr">
        <is>
          <t>ÖSTERGÖTLANDS LÄN</t>
        </is>
      </c>
      <c r="E4266" t="inlineStr">
        <is>
          <t>FINSPÅNG</t>
        </is>
      </c>
      <c r="G4266" t="n">
        <v>4.1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8771-2022</t>
        </is>
      </c>
      <c r="B4267" s="1" t="n">
        <v>44614</v>
      </c>
      <c r="C4267" s="1" t="n">
        <v>45710</v>
      </c>
      <c r="D4267" t="inlineStr">
        <is>
          <t>ÖSTERGÖTLANDS LÄN</t>
        </is>
      </c>
      <c r="E4267" t="inlineStr">
        <is>
          <t>BOXHOLM</t>
        </is>
      </c>
      <c r="F4267" t="inlineStr">
        <is>
          <t>Övriga Aktiebolag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8913-2022</t>
        </is>
      </c>
      <c r="B4268" s="1" t="n">
        <v>44614</v>
      </c>
      <c r="C4268" s="1" t="n">
        <v>45710</v>
      </c>
      <c r="D4268" t="inlineStr">
        <is>
          <t>ÖSTERGÖTLANDS LÄN</t>
        </is>
      </c>
      <c r="E4268" t="inlineStr">
        <is>
          <t>ÖDESHÖG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8937-2022</t>
        </is>
      </c>
      <c r="B4269" s="1" t="n">
        <v>44614</v>
      </c>
      <c r="C4269" s="1" t="n">
        <v>45710</v>
      </c>
      <c r="D4269" t="inlineStr">
        <is>
          <t>ÖSTERGÖTLANDS LÄN</t>
        </is>
      </c>
      <c r="E4269" t="inlineStr">
        <is>
          <t>FINSPÅNG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9036-2022</t>
        </is>
      </c>
      <c r="B4270" s="1" t="n">
        <v>44615</v>
      </c>
      <c r="C4270" s="1" t="n">
        <v>45710</v>
      </c>
      <c r="D4270" t="inlineStr">
        <is>
          <t>ÖSTERGÖTLANDS LÄN</t>
        </is>
      </c>
      <c r="E4270" t="inlineStr">
        <is>
          <t>MJÖLBY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9030-2022</t>
        </is>
      </c>
      <c r="B4271" s="1" t="n">
        <v>44615</v>
      </c>
      <c r="C4271" s="1" t="n">
        <v>45710</v>
      </c>
      <c r="D4271" t="inlineStr">
        <is>
          <t>ÖSTERGÖTLANDS LÄN</t>
        </is>
      </c>
      <c r="E4271" t="inlineStr">
        <is>
          <t>MJÖLBY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9035-2022</t>
        </is>
      </c>
      <c r="B4272" s="1" t="n">
        <v>44615</v>
      </c>
      <c r="C4272" s="1" t="n">
        <v>45710</v>
      </c>
      <c r="D4272" t="inlineStr">
        <is>
          <t>ÖSTERGÖTLANDS LÄN</t>
        </is>
      </c>
      <c r="E4272" t="inlineStr">
        <is>
          <t>MJÖLBY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9081-2022</t>
        </is>
      </c>
      <c r="B4273" s="1" t="n">
        <v>44615</v>
      </c>
      <c r="C4273" s="1" t="n">
        <v>45710</v>
      </c>
      <c r="D4273" t="inlineStr">
        <is>
          <t>ÖSTERGÖTLANDS LÄN</t>
        </is>
      </c>
      <c r="E4273" t="inlineStr">
        <is>
          <t>MOTALA</t>
        </is>
      </c>
      <c r="G4273" t="n">
        <v>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9094-2022</t>
        </is>
      </c>
      <c r="B4274" s="1" t="n">
        <v>44615</v>
      </c>
      <c r="C4274" s="1" t="n">
        <v>45710</v>
      </c>
      <c r="D4274" t="inlineStr">
        <is>
          <t>ÖSTERGÖTLANDS LÄN</t>
        </is>
      </c>
      <c r="E4274" t="inlineStr">
        <is>
          <t>MOTALA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9039-2022</t>
        </is>
      </c>
      <c r="B4275" s="1" t="n">
        <v>44615</v>
      </c>
      <c r="C4275" s="1" t="n">
        <v>45710</v>
      </c>
      <c r="D4275" t="inlineStr">
        <is>
          <t>ÖSTERGÖTLANDS LÄN</t>
        </is>
      </c>
      <c r="E4275" t="inlineStr">
        <is>
          <t>ÖDESHÖG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9183-2022</t>
        </is>
      </c>
      <c r="B4276" s="1" t="n">
        <v>44615</v>
      </c>
      <c r="C4276" s="1" t="n">
        <v>45710</v>
      </c>
      <c r="D4276" t="inlineStr">
        <is>
          <t>ÖSTERGÖTLANDS LÄN</t>
        </is>
      </c>
      <c r="E4276" t="inlineStr">
        <is>
          <t>VALDEMARSVIK</t>
        </is>
      </c>
      <c r="G4276" t="n">
        <v>9.9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9282-2022</t>
        </is>
      </c>
      <c r="B4277" s="1" t="n">
        <v>44616</v>
      </c>
      <c r="C4277" s="1" t="n">
        <v>45710</v>
      </c>
      <c r="D4277" t="inlineStr">
        <is>
          <t>ÖSTERGÖTLANDS LÄN</t>
        </is>
      </c>
      <c r="E4277" t="inlineStr">
        <is>
          <t>LINKÖPING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9339-2022</t>
        </is>
      </c>
      <c r="B4278" s="1" t="n">
        <v>44616</v>
      </c>
      <c r="C4278" s="1" t="n">
        <v>45710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Holmen skog AB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9465-2022</t>
        </is>
      </c>
      <c r="B4279" s="1" t="n">
        <v>44616</v>
      </c>
      <c r="C4279" s="1" t="n">
        <v>45710</v>
      </c>
      <c r="D4279" t="inlineStr">
        <is>
          <t>ÖSTERGÖTLANDS LÄN</t>
        </is>
      </c>
      <c r="E4279" t="inlineStr">
        <is>
          <t>KINDA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9337-2022</t>
        </is>
      </c>
      <c r="B4280" s="1" t="n">
        <v>44616</v>
      </c>
      <c r="C4280" s="1" t="n">
        <v>45710</v>
      </c>
      <c r="D4280" t="inlineStr">
        <is>
          <t>ÖSTERGÖTLANDS LÄN</t>
        </is>
      </c>
      <c r="E4280" t="inlineStr">
        <is>
          <t>VALDEMARSVIK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9456-2022</t>
        </is>
      </c>
      <c r="B4281" s="1" t="n">
        <v>44616</v>
      </c>
      <c r="C4281" s="1" t="n">
        <v>45710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Holmen skog AB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9468-2022</t>
        </is>
      </c>
      <c r="B4282" s="1" t="n">
        <v>44616</v>
      </c>
      <c r="C4282" s="1" t="n">
        <v>45710</v>
      </c>
      <c r="D4282" t="inlineStr">
        <is>
          <t>ÖSTERGÖTLANDS LÄN</t>
        </is>
      </c>
      <c r="E4282" t="inlineStr">
        <is>
          <t>KINDA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9537-2022</t>
        </is>
      </c>
      <c r="B4283" s="1" t="n">
        <v>44617</v>
      </c>
      <c r="C4283" s="1" t="n">
        <v>45710</v>
      </c>
      <c r="D4283" t="inlineStr">
        <is>
          <t>ÖSTERGÖTLANDS LÄN</t>
        </is>
      </c>
      <c r="E4283" t="inlineStr">
        <is>
          <t>YDRE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9554-2022</t>
        </is>
      </c>
      <c r="B4284" s="1" t="n">
        <v>44617</v>
      </c>
      <c r="C4284" s="1" t="n">
        <v>45710</v>
      </c>
      <c r="D4284" t="inlineStr">
        <is>
          <t>ÖSTERGÖTLANDS LÄN</t>
        </is>
      </c>
      <c r="E4284" t="inlineStr">
        <is>
          <t>FINSPÅNG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9702-2022</t>
        </is>
      </c>
      <c r="B4285" s="1" t="n">
        <v>44617</v>
      </c>
      <c r="C4285" s="1" t="n">
        <v>45710</v>
      </c>
      <c r="D4285" t="inlineStr">
        <is>
          <t>ÖSTERGÖTLANDS LÄN</t>
        </is>
      </c>
      <c r="E4285" t="inlineStr">
        <is>
          <t>KINDA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9708-2022</t>
        </is>
      </c>
      <c r="B4286" s="1" t="n">
        <v>44617</v>
      </c>
      <c r="C4286" s="1" t="n">
        <v>45710</v>
      </c>
      <c r="D4286" t="inlineStr">
        <is>
          <t>ÖSTERGÖTLANDS LÄN</t>
        </is>
      </c>
      <c r="E4286" t="inlineStr">
        <is>
          <t>MOTALA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9676-2022</t>
        </is>
      </c>
      <c r="B4287" s="1" t="n">
        <v>44617</v>
      </c>
      <c r="C4287" s="1" t="n">
        <v>45710</v>
      </c>
      <c r="D4287" t="inlineStr">
        <is>
          <t>ÖSTERGÖTLANDS LÄN</t>
        </is>
      </c>
      <c r="E4287" t="inlineStr">
        <is>
          <t>ÖDESHÖG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9746-2022</t>
        </is>
      </c>
      <c r="B4288" s="1" t="n">
        <v>44618</v>
      </c>
      <c r="C4288" s="1" t="n">
        <v>45710</v>
      </c>
      <c r="D4288" t="inlineStr">
        <is>
          <t>ÖSTERGÖTLANDS LÄN</t>
        </is>
      </c>
      <c r="E4288" t="inlineStr">
        <is>
          <t>SÖDERKÖPING</t>
        </is>
      </c>
      <c r="G4288" t="n">
        <v>6.8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9759-2022</t>
        </is>
      </c>
      <c r="B4289" s="1" t="n">
        <v>44618</v>
      </c>
      <c r="C4289" s="1" t="n">
        <v>45710</v>
      </c>
      <c r="D4289" t="inlineStr">
        <is>
          <t>ÖSTERGÖTLANDS LÄN</t>
        </is>
      </c>
      <c r="E4289" t="inlineStr">
        <is>
          <t>ÅTVIDABERG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9904-2022</t>
        </is>
      </c>
      <c r="B4290" s="1" t="n">
        <v>44620</v>
      </c>
      <c r="C4290" s="1" t="n">
        <v>45710</v>
      </c>
      <c r="D4290" t="inlineStr">
        <is>
          <t>ÖSTERGÖTLANDS LÄN</t>
        </is>
      </c>
      <c r="E4290" t="inlineStr">
        <is>
          <t>YDRE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9975-2022</t>
        </is>
      </c>
      <c r="B4291" s="1" t="n">
        <v>44621</v>
      </c>
      <c r="C4291" s="1" t="n">
        <v>45710</v>
      </c>
      <c r="D4291" t="inlineStr">
        <is>
          <t>ÖSTERGÖTLANDS LÄN</t>
        </is>
      </c>
      <c r="E4291" t="inlineStr">
        <is>
          <t>ÅTVIDABERG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10001-2022</t>
        </is>
      </c>
      <c r="B4292" s="1" t="n">
        <v>44621</v>
      </c>
      <c r="C4292" s="1" t="n">
        <v>45710</v>
      </c>
      <c r="D4292" t="inlineStr">
        <is>
          <t>ÖSTERGÖTLANDS LÄN</t>
        </is>
      </c>
      <c r="E4292" t="inlineStr">
        <is>
          <t>YDRE</t>
        </is>
      </c>
      <c r="G4292" t="n">
        <v>6.5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10206-2022</t>
        </is>
      </c>
      <c r="B4293" s="1" t="n">
        <v>44622</v>
      </c>
      <c r="C4293" s="1" t="n">
        <v>45710</v>
      </c>
      <c r="D4293" t="inlineStr">
        <is>
          <t>ÖSTERGÖTLANDS LÄN</t>
        </is>
      </c>
      <c r="E4293" t="inlineStr">
        <is>
          <t>FINSPÅNG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10215-2022</t>
        </is>
      </c>
      <c r="B4294" s="1" t="n">
        <v>44622</v>
      </c>
      <c r="C4294" s="1" t="n">
        <v>45710</v>
      </c>
      <c r="D4294" t="inlineStr">
        <is>
          <t>ÖSTERGÖTLANDS LÄN</t>
        </is>
      </c>
      <c r="E4294" t="inlineStr">
        <is>
          <t>FINSPÅNG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10222-2022</t>
        </is>
      </c>
      <c r="B4295" s="1" t="n">
        <v>44622</v>
      </c>
      <c r="C4295" s="1" t="n">
        <v>45710</v>
      </c>
      <c r="D4295" t="inlineStr">
        <is>
          <t>ÖSTERGÖTLANDS LÄN</t>
        </is>
      </c>
      <c r="E4295" t="inlineStr">
        <is>
          <t>ÅTVIDABERG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10226-2022</t>
        </is>
      </c>
      <c r="B4296" s="1" t="n">
        <v>44622</v>
      </c>
      <c r="C4296" s="1" t="n">
        <v>45710</v>
      </c>
      <c r="D4296" t="inlineStr">
        <is>
          <t>ÖSTERGÖTLANDS LÄN</t>
        </is>
      </c>
      <c r="E4296" t="inlineStr">
        <is>
          <t>ÖDESHÖG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10282-2022</t>
        </is>
      </c>
      <c r="B4297" s="1" t="n">
        <v>44622</v>
      </c>
      <c r="C4297" s="1" t="n">
        <v>45710</v>
      </c>
      <c r="D4297" t="inlineStr">
        <is>
          <t>ÖSTERGÖTLANDS LÄN</t>
        </is>
      </c>
      <c r="E4297" t="inlineStr">
        <is>
          <t>NORRKÖPING</t>
        </is>
      </c>
      <c r="F4297" t="inlineStr">
        <is>
          <t>Holmen skog AB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10253-2022</t>
        </is>
      </c>
      <c r="B4298" s="1" t="n">
        <v>44622</v>
      </c>
      <c r="C4298" s="1" t="n">
        <v>45710</v>
      </c>
      <c r="D4298" t="inlineStr">
        <is>
          <t>ÖSTERGÖTLANDS LÄN</t>
        </is>
      </c>
      <c r="E4298" t="inlineStr">
        <is>
          <t>LINKÖPING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10329-2022</t>
        </is>
      </c>
      <c r="B4299" s="1" t="n">
        <v>44623</v>
      </c>
      <c r="C4299" s="1" t="n">
        <v>45710</v>
      </c>
      <c r="D4299" t="inlineStr">
        <is>
          <t>ÖSTERGÖTLANDS LÄN</t>
        </is>
      </c>
      <c r="E4299" t="inlineStr">
        <is>
          <t>ÖDESHÖG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10335-2022</t>
        </is>
      </c>
      <c r="B4300" s="1" t="n">
        <v>44623</v>
      </c>
      <c r="C4300" s="1" t="n">
        <v>45710</v>
      </c>
      <c r="D4300" t="inlineStr">
        <is>
          <t>ÖSTERGÖTLANDS LÄN</t>
        </is>
      </c>
      <c r="E4300" t="inlineStr">
        <is>
          <t>ÖDESHÖG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10477-2022</t>
        </is>
      </c>
      <c r="B4301" s="1" t="n">
        <v>44623</v>
      </c>
      <c r="C4301" s="1" t="n">
        <v>45710</v>
      </c>
      <c r="D4301" t="inlineStr">
        <is>
          <t>ÖSTERGÖTLANDS LÄN</t>
        </is>
      </c>
      <c r="E4301" t="inlineStr">
        <is>
          <t>KINDA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10492-2022</t>
        </is>
      </c>
      <c r="B4302" s="1" t="n">
        <v>44623</v>
      </c>
      <c r="C4302" s="1" t="n">
        <v>45710</v>
      </c>
      <c r="D4302" t="inlineStr">
        <is>
          <t>ÖSTERGÖTLANDS LÄN</t>
        </is>
      </c>
      <c r="E4302" t="inlineStr">
        <is>
          <t>LINKÖPING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10678-2022</t>
        </is>
      </c>
      <c r="B4303" s="1" t="n">
        <v>44624</v>
      </c>
      <c r="C4303" s="1" t="n">
        <v>45710</v>
      </c>
      <c r="D4303" t="inlineStr">
        <is>
          <t>ÖSTERGÖTLANDS LÄN</t>
        </is>
      </c>
      <c r="E4303" t="inlineStr">
        <is>
          <t>MOTALA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10699-2022</t>
        </is>
      </c>
      <c r="B4304" s="1" t="n">
        <v>44624</v>
      </c>
      <c r="C4304" s="1" t="n">
        <v>45710</v>
      </c>
      <c r="D4304" t="inlineStr">
        <is>
          <t>ÖSTERGÖTLANDS LÄN</t>
        </is>
      </c>
      <c r="E4304" t="inlineStr">
        <is>
          <t>YDRE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10758-2022</t>
        </is>
      </c>
      <c r="B4305" s="1" t="n">
        <v>44627</v>
      </c>
      <c r="C4305" s="1" t="n">
        <v>45710</v>
      </c>
      <c r="D4305" t="inlineStr">
        <is>
          <t>ÖSTERGÖTLANDS LÄN</t>
        </is>
      </c>
      <c r="E4305" t="inlineStr">
        <is>
          <t>KINDA</t>
        </is>
      </c>
      <c r="G4305" t="n">
        <v>0.1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9644-2022</t>
        </is>
      </c>
      <c r="B4306" s="1" t="n">
        <v>44627</v>
      </c>
      <c r="C4306" s="1" t="n">
        <v>45710</v>
      </c>
      <c r="D4306" t="inlineStr">
        <is>
          <t>ÖSTERGÖTLANDS LÄN</t>
        </is>
      </c>
      <c r="E4306" t="inlineStr">
        <is>
          <t>ÅTVIDABERG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10820-2022</t>
        </is>
      </c>
      <c r="B4307" s="1" t="n">
        <v>44627</v>
      </c>
      <c r="C4307" s="1" t="n">
        <v>45710</v>
      </c>
      <c r="D4307" t="inlineStr">
        <is>
          <t>ÖSTERGÖTLANDS LÄN</t>
        </is>
      </c>
      <c r="E4307" t="inlineStr">
        <is>
          <t>ÅTVIDABERG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10836-2022</t>
        </is>
      </c>
      <c r="B4308" s="1" t="n">
        <v>44627</v>
      </c>
      <c r="C4308" s="1" t="n">
        <v>45710</v>
      </c>
      <c r="D4308" t="inlineStr">
        <is>
          <t>ÖSTERGÖTLANDS LÄN</t>
        </is>
      </c>
      <c r="E4308" t="inlineStr">
        <is>
          <t>SÖDERKÖPING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10887-2022</t>
        </is>
      </c>
      <c r="B4309" s="1" t="n">
        <v>44627</v>
      </c>
      <c r="C4309" s="1" t="n">
        <v>45710</v>
      </c>
      <c r="D4309" t="inlineStr">
        <is>
          <t>ÖSTERGÖTLANDS LÄN</t>
        </is>
      </c>
      <c r="E4309" t="inlineStr">
        <is>
          <t>FINSPÅNG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10885-2022</t>
        </is>
      </c>
      <c r="B4310" s="1" t="n">
        <v>44627</v>
      </c>
      <c r="C4310" s="1" t="n">
        <v>45710</v>
      </c>
      <c r="D4310" t="inlineStr">
        <is>
          <t>ÖSTERGÖTLANDS LÄN</t>
        </is>
      </c>
      <c r="E4310" t="inlineStr">
        <is>
          <t>FINSPÅNG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10951-2022</t>
        </is>
      </c>
      <c r="B4311" s="1" t="n">
        <v>44627</v>
      </c>
      <c r="C4311" s="1" t="n">
        <v>45710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10950-2022</t>
        </is>
      </c>
      <c r="B4312" s="1" t="n">
        <v>44627</v>
      </c>
      <c r="C4312" s="1" t="n">
        <v>45710</v>
      </c>
      <c r="D4312" t="inlineStr">
        <is>
          <t>ÖSTERGÖTLANDS LÄN</t>
        </is>
      </c>
      <c r="E4312" t="inlineStr">
        <is>
          <t>MJÖLBY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11041-2022</t>
        </is>
      </c>
      <c r="B4313" s="1" t="n">
        <v>44628</v>
      </c>
      <c r="C4313" s="1" t="n">
        <v>45710</v>
      </c>
      <c r="D4313" t="inlineStr">
        <is>
          <t>ÖSTERGÖTLANDS LÄN</t>
        </is>
      </c>
      <c r="E4313" t="inlineStr">
        <is>
          <t>MOTALA</t>
        </is>
      </c>
      <c r="F4313" t="inlineStr">
        <is>
          <t>Allmännings- och besparingsskogar</t>
        </is>
      </c>
      <c r="G4313" t="n">
        <v>7.1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11057-2022</t>
        </is>
      </c>
      <c r="B4314" s="1" t="n">
        <v>44628</v>
      </c>
      <c r="C4314" s="1" t="n">
        <v>45710</v>
      </c>
      <c r="D4314" t="inlineStr">
        <is>
          <t>ÖSTERGÖTLANDS LÄN</t>
        </is>
      </c>
      <c r="E4314" t="inlineStr">
        <is>
          <t>MOTALA</t>
        </is>
      </c>
      <c r="F4314" t="inlineStr">
        <is>
          <t>Allmännings- och besparingsskogar</t>
        </is>
      </c>
      <c r="G4314" t="n">
        <v>11.8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11051-2022</t>
        </is>
      </c>
      <c r="B4315" s="1" t="n">
        <v>44628</v>
      </c>
      <c r="C4315" s="1" t="n">
        <v>45710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Allmännings- och besparingsskogar</t>
        </is>
      </c>
      <c r="G4315" t="n">
        <v>3.4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11061-2022</t>
        </is>
      </c>
      <c r="B4316" s="1" t="n">
        <v>44628</v>
      </c>
      <c r="C4316" s="1" t="n">
        <v>45710</v>
      </c>
      <c r="D4316" t="inlineStr">
        <is>
          <t>ÖSTERGÖTLANDS LÄN</t>
        </is>
      </c>
      <c r="E4316" t="inlineStr">
        <is>
          <t>MOTALA</t>
        </is>
      </c>
      <c r="F4316" t="inlineStr">
        <is>
          <t>Allmännings- och besparingsskogar</t>
        </is>
      </c>
      <c r="G4316" t="n">
        <v>5.8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11079-2022</t>
        </is>
      </c>
      <c r="B4317" s="1" t="n">
        <v>44628</v>
      </c>
      <c r="C4317" s="1" t="n">
        <v>45710</v>
      </c>
      <c r="D4317" t="inlineStr">
        <is>
          <t>ÖSTERGÖTLANDS LÄN</t>
        </is>
      </c>
      <c r="E4317" t="inlineStr">
        <is>
          <t>LINKÖPING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11084-2022</t>
        </is>
      </c>
      <c r="B4318" s="1" t="n">
        <v>44628</v>
      </c>
      <c r="C4318" s="1" t="n">
        <v>45710</v>
      </c>
      <c r="D4318" t="inlineStr">
        <is>
          <t>ÖSTERGÖTLANDS LÄN</t>
        </is>
      </c>
      <c r="E4318" t="inlineStr">
        <is>
          <t>LINKÖPING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11222-2022</t>
        </is>
      </c>
      <c r="B4319" s="1" t="n">
        <v>44629</v>
      </c>
      <c r="C4319" s="1" t="n">
        <v>45710</v>
      </c>
      <c r="D4319" t="inlineStr">
        <is>
          <t>ÖSTERGÖTLANDS LÄN</t>
        </is>
      </c>
      <c r="E4319" t="inlineStr">
        <is>
          <t>ÅTVIDABERG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11252-2022</t>
        </is>
      </c>
      <c r="B4320" s="1" t="n">
        <v>44629</v>
      </c>
      <c r="C4320" s="1" t="n">
        <v>45710</v>
      </c>
      <c r="D4320" t="inlineStr">
        <is>
          <t>ÖSTERGÖTLANDS LÄN</t>
        </is>
      </c>
      <c r="E4320" t="inlineStr">
        <is>
          <t>VALDEMARSVIK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11268-2022</t>
        </is>
      </c>
      <c r="B4321" s="1" t="n">
        <v>44629</v>
      </c>
      <c r="C4321" s="1" t="n">
        <v>45710</v>
      </c>
      <c r="D4321" t="inlineStr">
        <is>
          <t>ÖSTERGÖTLANDS LÄN</t>
        </is>
      </c>
      <c r="E4321" t="inlineStr">
        <is>
          <t>NORRKÖPING</t>
        </is>
      </c>
      <c r="G4321" t="n">
        <v>4.2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11270-2022</t>
        </is>
      </c>
      <c r="B4322" s="1" t="n">
        <v>44629</v>
      </c>
      <c r="C4322" s="1" t="n">
        <v>45710</v>
      </c>
      <c r="D4322" t="inlineStr">
        <is>
          <t>ÖSTERGÖTLANDS LÄN</t>
        </is>
      </c>
      <c r="E4322" t="inlineStr">
        <is>
          <t>MJÖLBY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11346-2022</t>
        </is>
      </c>
      <c r="B4323" s="1" t="n">
        <v>44630</v>
      </c>
      <c r="C4323" s="1" t="n">
        <v>45710</v>
      </c>
      <c r="D4323" t="inlineStr">
        <is>
          <t>ÖSTERGÖTLANDS LÄN</t>
        </is>
      </c>
      <c r="E4323" t="inlineStr">
        <is>
          <t>NORRKÖPING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11347-2022</t>
        </is>
      </c>
      <c r="B4324" s="1" t="n">
        <v>44630</v>
      </c>
      <c r="C4324" s="1" t="n">
        <v>45710</v>
      </c>
      <c r="D4324" t="inlineStr">
        <is>
          <t>ÖSTERGÖTLANDS LÄN</t>
        </is>
      </c>
      <c r="E4324" t="inlineStr">
        <is>
          <t>NORRKÖPING</t>
        </is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11345-2022</t>
        </is>
      </c>
      <c r="B4325" s="1" t="n">
        <v>44630</v>
      </c>
      <c r="C4325" s="1" t="n">
        <v>45710</v>
      </c>
      <c r="D4325" t="inlineStr">
        <is>
          <t>ÖSTERGÖTLANDS LÄN</t>
        </is>
      </c>
      <c r="E4325" t="inlineStr">
        <is>
          <t>NORRKÖPING</t>
        </is>
      </c>
      <c r="G4325" t="n">
        <v>9.199999999999999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11450-2022</t>
        </is>
      </c>
      <c r="B4326" s="1" t="n">
        <v>44630</v>
      </c>
      <c r="C4326" s="1" t="n">
        <v>45710</v>
      </c>
      <c r="D4326" t="inlineStr">
        <is>
          <t>ÖSTERGÖTLANDS LÄN</t>
        </is>
      </c>
      <c r="E4326" t="inlineStr">
        <is>
          <t>FINSPÅNG</t>
        </is>
      </c>
      <c r="G4326" t="n">
        <v>8.9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11404-2022</t>
        </is>
      </c>
      <c r="B4327" s="1" t="n">
        <v>44630</v>
      </c>
      <c r="C4327" s="1" t="n">
        <v>45710</v>
      </c>
      <c r="D4327" t="inlineStr">
        <is>
          <t>ÖSTERGÖTLANDS LÄN</t>
        </is>
      </c>
      <c r="E4327" t="inlineStr">
        <is>
          <t>NORRKÖPING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11344-2022</t>
        </is>
      </c>
      <c r="B4328" s="1" t="n">
        <v>44630</v>
      </c>
      <c r="C4328" s="1" t="n">
        <v>45710</v>
      </c>
      <c r="D4328" t="inlineStr">
        <is>
          <t>ÖSTERGÖTLANDS LÄN</t>
        </is>
      </c>
      <c r="E4328" t="inlineStr">
        <is>
          <t>NORRKÖPING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11505-2022</t>
        </is>
      </c>
      <c r="B4329" s="1" t="n">
        <v>44631</v>
      </c>
      <c r="C4329" s="1" t="n">
        <v>45710</v>
      </c>
      <c r="D4329" t="inlineStr">
        <is>
          <t>ÖSTERGÖTLANDS LÄN</t>
        </is>
      </c>
      <c r="E4329" t="inlineStr">
        <is>
          <t>ÅTVIDABERG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11749-2022</t>
        </is>
      </c>
      <c r="B4330" s="1" t="n">
        <v>44634</v>
      </c>
      <c r="C4330" s="1" t="n">
        <v>45710</v>
      </c>
      <c r="D4330" t="inlineStr">
        <is>
          <t>ÖSTERGÖTLANDS LÄN</t>
        </is>
      </c>
      <c r="E4330" t="inlineStr">
        <is>
          <t>YDRE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11776-2022</t>
        </is>
      </c>
      <c r="B4331" s="1" t="n">
        <v>44634</v>
      </c>
      <c r="C4331" s="1" t="n">
        <v>45710</v>
      </c>
      <c r="D4331" t="inlineStr">
        <is>
          <t>ÖSTERGÖTLANDS LÄN</t>
        </is>
      </c>
      <c r="E4331" t="inlineStr">
        <is>
          <t>SÖDERKÖPING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11783-2022</t>
        </is>
      </c>
      <c r="B4332" s="1" t="n">
        <v>44634</v>
      </c>
      <c r="C4332" s="1" t="n">
        <v>45710</v>
      </c>
      <c r="D4332" t="inlineStr">
        <is>
          <t>ÖSTERGÖTLANDS LÄN</t>
        </is>
      </c>
      <c r="E4332" t="inlineStr">
        <is>
          <t>SÖDERKÖPING</t>
        </is>
      </c>
      <c r="G4332" t="n">
        <v>5.9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11902-2022</t>
        </is>
      </c>
      <c r="B4333" s="1" t="n">
        <v>44635</v>
      </c>
      <c r="C4333" s="1" t="n">
        <v>45710</v>
      </c>
      <c r="D4333" t="inlineStr">
        <is>
          <t>ÖSTERGÖTLANDS LÄN</t>
        </is>
      </c>
      <c r="E4333" t="inlineStr">
        <is>
          <t>YDRE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11992-2022</t>
        </is>
      </c>
      <c r="B4334" s="1" t="n">
        <v>44635</v>
      </c>
      <c r="C4334" s="1" t="n">
        <v>45710</v>
      </c>
      <c r="D4334" t="inlineStr">
        <is>
          <t>ÖSTERGÖTLANDS LÄN</t>
        </is>
      </c>
      <c r="E4334" t="inlineStr">
        <is>
          <t>FINSPÅNG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12094-2022</t>
        </is>
      </c>
      <c r="B4335" s="1" t="n">
        <v>44636</v>
      </c>
      <c r="C4335" s="1" t="n">
        <v>45710</v>
      </c>
      <c r="D4335" t="inlineStr">
        <is>
          <t>ÖSTERGÖTLANDS LÄN</t>
        </is>
      </c>
      <c r="E4335" t="inlineStr">
        <is>
          <t>VALDEMARSVIK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12275-2022</t>
        </is>
      </c>
      <c r="B4336" s="1" t="n">
        <v>44637</v>
      </c>
      <c r="C4336" s="1" t="n">
        <v>45710</v>
      </c>
      <c r="D4336" t="inlineStr">
        <is>
          <t>ÖSTERGÖTLANDS LÄN</t>
        </is>
      </c>
      <c r="E4336" t="inlineStr">
        <is>
          <t>MOTALA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12216-2022</t>
        </is>
      </c>
      <c r="B4337" s="1" t="n">
        <v>44637</v>
      </c>
      <c r="C4337" s="1" t="n">
        <v>45710</v>
      </c>
      <c r="D4337" t="inlineStr">
        <is>
          <t>ÖSTERGÖTLANDS LÄN</t>
        </is>
      </c>
      <c r="E4337" t="inlineStr">
        <is>
          <t>FINSPÅNG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12274-2022</t>
        </is>
      </c>
      <c r="B4338" s="1" t="n">
        <v>44637</v>
      </c>
      <c r="C4338" s="1" t="n">
        <v>45710</v>
      </c>
      <c r="D4338" t="inlineStr">
        <is>
          <t>ÖSTERGÖTLANDS LÄN</t>
        </is>
      </c>
      <c r="E4338" t="inlineStr">
        <is>
          <t>MOTALA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12412-2022</t>
        </is>
      </c>
      <c r="B4339" s="1" t="n">
        <v>44638</v>
      </c>
      <c r="C4339" s="1" t="n">
        <v>45710</v>
      </c>
      <c r="D4339" t="inlineStr">
        <is>
          <t>ÖSTERGÖTLANDS LÄN</t>
        </is>
      </c>
      <c r="E4339" t="inlineStr">
        <is>
          <t>LINKÖPING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12413-2022</t>
        </is>
      </c>
      <c r="B4340" s="1" t="n">
        <v>44638</v>
      </c>
      <c r="C4340" s="1" t="n">
        <v>45710</v>
      </c>
      <c r="D4340" t="inlineStr">
        <is>
          <t>ÖSTERGÖTLANDS LÄN</t>
        </is>
      </c>
      <c r="E4340" t="inlineStr">
        <is>
          <t>LINKÖPING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12411-2022</t>
        </is>
      </c>
      <c r="B4341" s="1" t="n">
        <v>44638</v>
      </c>
      <c r="C4341" s="1" t="n">
        <v>45710</v>
      </c>
      <c r="D4341" t="inlineStr">
        <is>
          <t>ÖSTERGÖTLANDS LÄN</t>
        </is>
      </c>
      <c r="E4341" t="inlineStr">
        <is>
          <t>LINKÖPING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12654-2022</t>
        </is>
      </c>
      <c r="B4342" s="1" t="n">
        <v>44641</v>
      </c>
      <c r="C4342" s="1" t="n">
        <v>45710</v>
      </c>
      <c r="D4342" t="inlineStr">
        <is>
          <t>ÖSTERGÖTLANDS LÄN</t>
        </is>
      </c>
      <c r="E4342" t="inlineStr">
        <is>
          <t>ÅTVIDABERG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12643-2022</t>
        </is>
      </c>
      <c r="B4343" s="1" t="n">
        <v>44641</v>
      </c>
      <c r="C4343" s="1" t="n">
        <v>45710</v>
      </c>
      <c r="D4343" t="inlineStr">
        <is>
          <t>ÖSTERGÖTLANDS LÄN</t>
        </is>
      </c>
      <c r="E4343" t="inlineStr">
        <is>
          <t>MOTALA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12720-2022</t>
        </is>
      </c>
      <c r="B4344" s="1" t="n">
        <v>44641</v>
      </c>
      <c r="C4344" s="1" t="n">
        <v>45710</v>
      </c>
      <c r="D4344" t="inlineStr">
        <is>
          <t>ÖSTERGÖTLANDS LÄN</t>
        </is>
      </c>
      <c r="E4344" t="inlineStr">
        <is>
          <t>LINKÖPING</t>
        </is>
      </c>
      <c r="F4344" t="inlineStr">
        <is>
          <t>Övriga Aktiebolag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12727-2022</t>
        </is>
      </c>
      <c r="B4345" s="1" t="n">
        <v>44641</v>
      </c>
      <c r="C4345" s="1" t="n">
        <v>45710</v>
      </c>
      <c r="D4345" t="inlineStr">
        <is>
          <t>ÖSTERGÖTLANDS LÄN</t>
        </is>
      </c>
      <c r="E4345" t="inlineStr">
        <is>
          <t>NORRKÖPING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12655-2022</t>
        </is>
      </c>
      <c r="B4346" s="1" t="n">
        <v>44641</v>
      </c>
      <c r="C4346" s="1" t="n">
        <v>45710</v>
      </c>
      <c r="D4346" t="inlineStr">
        <is>
          <t>ÖSTERGÖTLANDS LÄN</t>
        </is>
      </c>
      <c r="E4346" t="inlineStr">
        <is>
          <t>ÅTVIDABERG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12814-2022</t>
        </is>
      </c>
      <c r="B4347" s="1" t="n">
        <v>44642</v>
      </c>
      <c r="C4347" s="1" t="n">
        <v>45710</v>
      </c>
      <c r="D4347" t="inlineStr">
        <is>
          <t>ÖSTERGÖTLANDS LÄN</t>
        </is>
      </c>
      <c r="E4347" t="inlineStr">
        <is>
          <t>FINSPÅNG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12898-2022</t>
        </is>
      </c>
      <c r="B4348" s="1" t="n">
        <v>44642</v>
      </c>
      <c r="C4348" s="1" t="n">
        <v>45710</v>
      </c>
      <c r="D4348" t="inlineStr">
        <is>
          <t>ÖSTERGÖTLANDS LÄN</t>
        </is>
      </c>
      <c r="E4348" t="inlineStr">
        <is>
          <t>FINSPÅNG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13075-2022</t>
        </is>
      </c>
      <c r="B4349" s="1" t="n">
        <v>44643</v>
      </c>
      <c r="C4349" s="1" t="n">
        <v>45710</v>
      </c>
      <c r="D4349" t="inlineStr">
        <is>
          <t>ÖSTERGÖTLANDS LÄN</t>
        </is>
      </c>
      <c r="E4349" t="inlineStr">
        <is>
          <t>LINKÖPING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13011-2022</t>
        </is>
      </c>
      <c r="B4350" s="1" t="n">
        <v>44643</v>
      </c>
      <c r="C4350" s="1" t="n">
        <v>45710</v>
      </c>
      <c r="D4350" t="inlineStr">
        <is>
          <t>ÖSTERGÖTLANDS LÄN</t>
        </is>
      </c>
      <c r="E4350" t="inlineStr">
        <is>
          <t>LINKÖPING</t>
        </is>
      </c>
      <c r="G4350" t="n">
        <v>3.7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13061-2022</t>
        </is>
      </c>
      <c r="B4351" s="1" t="n">
        <v>44643</v>
      </c>
      <c r="C4351" s="1" t="n">
        <v>45710</v>
      </c>
      <c r="D4351" t="inlineStr">
        <is>
          <t>ÖSTERGÖTLANDS LÄN</t>
        </is>
      </c>
      <c r="E4351" t="inlineStr">
        <is>
          <t>LINKÖPING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13173-2022</t>
        </is>
      </c>
      <c r="B4352" s="1" t="n">
        <v>44644</v>
      </c>
      <c r="C4352" s="1" t="n">
        <v>45710</v>
      </c>
      <c r="D4352" t="inlineStr">
        <is>
          <t>ÖSTERGÖTLANDS LÄN</t>
        </is>
      </c>
      <c r="E4352" t="inlineStr">
        <is>
          <t>NORRKÖPING</t>
        </is>
      </c>
      <c r="F4352" t="inlineStr">
        <is>
          <t>Allmännings- och besparingsskogar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13267-2022</t>
        </is>
      </c>
      <c r="B4353" s="1" t="n">
        <v>44644</v>
      </c>
      <c r="C4353" s="1" t="n">
        <v>45710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13178-2022</t>
        </is>
      </c>
      <c r="B4354" s="1" t="n">
        <v>44644</v>
      </c>
      <c r="C4354" s="1" t="n">
        <v>45710</v>
      </c>
      <c r="D4354" t="inlineStr">
        <is>
          <t>ÖSTERGÖTLANDS LÄN</t>
        </is>
      </c>
      <c r="E4354" t="inlineStr">
        <is>
          <t>KINDA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13422-2022</t>
        </is>
      </c>
      <c r="B4355" s="1" t="n">
        <v>44645</v>
      </c>
      <c r="C4355" s="1" t="n">
        <v>45710</v>
      </c>
      <c r="D4355" t="inlineStr">
        <is>
          <t>ÖSTERGÖTLANDS LÄN</t>
        </is>
      </c>
      <c r="E4355" t="inlineStr">
        <is>
          <t>MOTALA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13352-2022</t>
        </is>
      </c>
      <c r="B4356" s="1" t="n">
        <v>44645</v>
      </c>
      <c r="C4356" s="1" t="n">
        <v>45710</v>
      </c>
      <c r="D4356" t="inlineStr">
        <is>
          <t>ÖSTERGÖTLANDS LÄN</t>
        </is>
      </c>
      <c r="E4356" t="inlineStr">
        <is>
          <t>KINDA</t>
        </is>
      </c>
      <c r="G4356" t="n">
        <v>0.3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13420-2022</t>
        </is>
      </c>
      <c r="B4357" s="1" t="n">
        <v>44645</v>
      </c>
      <c r="C4357" s="1" t="n">
        <v>45710</v>
      </c>
      <c r="D4357" t="inlineStr">
        <is>
          <t>ÖSTERGÖTLANDS LÄN</t>
        </is>
      </c>
      <c r="E4357" t="inlineStr">
        <is>
          <t>MOTALA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13457-2022</t>
        </is>
      </c>
      <c r="B4358" s="1" t="n">
        <v>44645</v>
      </c>
      <c r="C4358" s="1" t="n">
        <v>45710</v>
      </c>
      <c r="D4358" t="inlineStr">
        <is>
          <t>ÖSTERGÖTLANDS LÄN</t>
        </is>
      </c>
      <c r="E4358" t="inlineStr">
        <is>
          <t>BOXHOLM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13460-2022</t>
        </is>
      </c>
      <c r="B4359" s="1" t="n">
        <v>44645</v>
      </c>
      <c r="C4359" s="1" t="n">
        <v>45710</v>
      </c>
      <c r="D4359" t="inlineStr">
        <is>
          <t>ÖSTERGÖTLANDS LÄN</t>
        </is>
      </c>
      <c r="E4359" t="inlineStr">
        <is>
          <t>BOXHOLM</t>
        </is>
      </c>
      <c r="G4359" t="n">
        <v>4.6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13601-2022</t>
        </is>
      </c>
      <c r="B4360" s="1" t="n">
        <v>44648</v>
      </c>
      <c r="C4360" s="1" t="n">
        <v>45710</v>
      </c>
      <c r="D4360" t="inlineStr">
        <is>
          <t>ÖSTERGÖTLANDS LÄN</t>
        </is>
      </c>
      <c r="E4360" t="inlineStr">
        <is>
          <t>BOXHOLM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13550-2022</t>
        </is>
      </c>
      <c r="B4361" s="1" t="n">
        <v>44648</v>
      </c>
      <c r="C4361" s="1" t="n">
        <v>45710</v>
      </c>
      <c r="D4361" t="inlineStr">
        <is>
          <t>ÖSTERGÖTLANDS LÄN</t>
        </is>
      </c>
      <c r="E4361" t="inlineStr">
        <is>
          <t>MOTALA</t>
        </is>
      </c>
      <c r="G4361" t="n">
        <v>13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13814-2022</t>
        </is>
      </c>
      <c r="B4362" s="1" t="n">
        <v>44649</v>
      </c>
      <c r="C4362" s="1" t="n">
        <v>45710</v>
      </c>
      <c r="D4362" t="inlineStr">
        <is>
          <t>ÖSTERGÖTLANDS LÄN</t>
        </is>
      </c>
      <c r="E4362" t="inlineStr">
        <is>
          <t>NORRKÖPING</t>
        </is>
      </c>
      <c r="G4362" t="n">
        <v>6.8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13993-2022</t>
        </is>
      </c>
      <c r="B4363" s="1" t="n">
        <v>44650</v>
      </c>
      <c r="C4363" s="1" t="n">
        <v>45710</v>
      </c>
      <c r="D4363" t="inlineStr">
        <is>
          <t>ÖSTERGÖTLANDS LÄN</t>
        </is>
      </c>
      <c r="E4363" t="inlineStr">
        <is>
          <t>BOXHOLM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14004-2022</t>
        </is>
      </c>
      <c r="B4364" s="1" t="n">
        <v>44650</v>
      </c>
      <c r="C4364" s="1" t="n">
        <v>45710</v>
      </c>
      <c r="D4364" t="inlineStr">
        <is>
          <t>ÖSTERGÖTLANDS LÄN</t>
        </is>
      </c>
      <c r="E4364" t="inlineStr">
        <is>
          <t>VALDEMARSVIK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13935-2022</t>
        </is>
      </c>
      <c r="B4365" s="1" t="n">
        <v>44650</v>
      </c>
      <c r="C4365" s="1" t="n">
        <v>45710</v>
      </c>
      <c r="D4365" t="inlineStr">
        <is>
          <t>ÖSTERGÖTLANDS LÄN</t>
        </is>
      </c>
      <c r="E4365" t="inlineStr">
        <is>
          <t>YDRE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13976-2022</t>
        </is>
      </c>
      <c r="B4366" s="1" t="n">
        <v>44650</v>
      </c>
      <c r="C4366" s="1" t="n">
        <v>45710</v>
      </c>
      <c r="D4366" t="inlineStr">
        <is>
          <t>ÖSTERGÖTLANDS LÄN</t>
        </is>
      </c>
      <c r="E4366" t="inlineStr">
        <is>
          <t>KINDA</t>
        </is>
      </c>
      <c r="F4366" t="inlineStr">
        <is>
          <t>Övriga Aktiebolag</t>
        </is>
      </c>
      <c r="G4366" t="n">
        <v>7.4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14184-2022</t>
        </is>
      </c>
      <c r="B4367" s="1" t="n">
        <v>44651</v>
      </c>
      <c r="C4367" s="1" t="n">
        <v>45710</v>
      </c>
      <c r="D4367" t="inlineStr">
        <is>
          <t>ÖSTERGÖTLANDS LÄN</t>
        </is>
      </c>
      <c r="E4367" t="inlineStr">
        <is>
          <t>YDRE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14101-2022</t>
        </is>
      </c>
      <c r="B4368" s="1" t="n">
        <v>44651</v>
      </c>
      <c r="C4368" s="1" t="n">
        <v>45710</v>
      </c>
      <c r="D4368" t="inlineStr">
        <is>
          <t>ÖSTERGÖTLANDS LÄN</t>
        </is>
      </c>
      <c r="E4368" t="inlineStr">
        <is>
          <t>YDRE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14138-2022</t>
        </is>
      </c>
      <c r="B4369" s="1" t="n">
        <v>44651</v>
      </c>
      <c r="C4369" s="1" t="n">
        <v>45710</v>
      </c>
      <c r="D4369" t="inlineStr">
        <is>
          <t>ÖSTERGÖTLANDS LÄN</t>
        </is>
      </c>
      <c r="E4369" t="inlineStr">
        <is>
          <t>NORRKÖPING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14201-2022</t>
        </is>
      </c>
      <c r="B4370" s="1" t="n">
        <v>44651</v>
      </c>
      <c r="C4370" s="1" t="n">
        <v>45710</v>
      </c>
      <c r="D4370" t="inlineStr">
        <is>
          <t>ÖSTERGÖTLANDS LÄN</t>
        </is>
      </c>
      <c r="E4370" t="inlineStr">
        <is>
          <t>MOTALA</t>
        </is>
      </c>
      <c r="F4370" t="inlineStr">
        <is>
          <t>Sveaskog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14208-2022</t>
        </is>
      </c>
      <c r="B4371" s="1" t="n">
        <v>44651</v>
      </c>
      <c r="C4371" s="1" t="n">
        <v>45710</v>
      </c>
      <c r="D4371" t="inlineStr">
        <is>
          <t>ÖSTERGÖTLANDS LÄN</t>
        </is>
      </c>
      <c r="E4371" t="inlineStr">
        <is>
          <t>MOTALA</t>
        </is>
      </c>
      <c r="F4371" t="inlineStr">
        <is>
          <t>Sveaskog</t>
        </is>
      </c>
      <c r="G4371" t="n">
        <v>13.5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14389-2022</t>
        </is>
      </c>
      <c r="B4372" s="1" t="n">
        <v>44652</v>
      </c>
      <c r="C4372" s="1" t="n">
        <v>45710</v>
      </c>
      <c r="D4372" t="inlineStr">
        <is>
          <t>ÖSTERGÖTLANDS LÄN</t>
        </is>
      </c>
      <c r="E4372" t="inlineStr">
        <is>
          <t>LINKÖPING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14428-2022</t>
        </is>
      </c>
      <c r="B4373" s="1" t="n">
        <v>44652</v>
      </c>
      <c r="C4373" s="1" t="n">
        <v>45710</v>
      </c>
      <c r="D4373" t="inlineStr">
        <is>
          <t>ÖSTERGÖTLANDS LÄN</t>
        </is>
      </c>
      <c r="E4373" t="inlineStr">
        <is>
          <t>VALDEMARSVIK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14429-2022</t>
        </is>
      </c>
      <c r="B4374" s="1" t="n">
        <v>44652</v>
      </c>
      <c r="C4374" s="1" t="n">
        <v>45710</v>
      </c>
      <c r="D4374" t="inlineStr">
        <is>
          <t>ÖSTERGÖTLANDS LÄN</t>
        </is>
      </c>
      <c r="E4374" t="inlineStr">
        <is>
          <t>VALDEMARSVIK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14454-2022</t>
        </is>
      </c>
      <c r="B4375" s="1" t="n">
        <v>44653</v>
      </c>
      <c r="C4375" s="1" t="n">
        <v>45710</v>
      </c>
      <c r="D4375" t="inlineStr">
        <is>
          <t>ÖSTERGÖTLANDS LÄN</t>
        </is>
      </c>
      <c r="E4375" t="inlineStr">
        <is>
          <t>FINSPÅNG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14503-2022</t>
        </is>
      </c>
      <c r="B4376" s="1" t="n">
        <v>44655</v>
      </c>
      <c r="C4376" s="1" t="n">
        <v>45710</v>
      </c>
      <c r="D4376" t="inlineStr">
        <is>
          <t>ÖSTERGÖTLANDS LÄN</t>
        </is>
      </c>
      <c r="E4376" t="inlineStr">
        <is>
          <t>YDRE</t>
        </is>
      </c>
      <c r="G4376" t="n">
        <v>5.8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14611-2022</t>
        </is>
      </c>
      <c r="B4377" s="1" t="n">
        <v>44655</v>
      </c>
      <c r="C4377" s="1" t="n">
        <v>45710</v>
      </c>
      <c r="D4377" t="inlineStr">
        <is>
          <t>ÖSTERGÖTLANDS LÄN</t>
        </is>
      </c>
      <c r="E4377" t="inlineStr">
        <is>
          <t>KINDA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14520-2022</t>
        </is>
      </c>
      <c r="B4378" s="1" t="n">
        <v>44655</v>
      </c>
      <c r="C4378" s="1" t="n">
        <v>45710</v>
      </c>
      <c r="D4378" t="inlineStr">
        <is>
          <t>ÖSTERGÖTLANDS LÄN</t>
        </is>
      </c>
      <c r="E4378" t="inlineStr">
        <is>
          <t>MOTALA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14645-2022</t>
        </is>
      </c>
      <c r="B4379" s="1" t="n">
        <v>44655</v>
      </c>
      <c r="C4379" s="1" t="n">
        <v>45710</v>
      </c>
      <c r="D4379" t="inlineStr">
        <is>
          <t>ÖSTERGÖTLANDS LÄN</t>
        </is>
      </c>
      <c r="E4379" t="inlineStr">
        <is>
          <t>YDRE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14774-2022</t>
        </is>
      </c>
      <c r="B4380" s="1" t="n">
        <v>44656</v>
      </c>
      <c r="C4380" s="1" t="n">
        <v>45710</v>
      </c>
      <c r="D4380" t="inlineStr">
        <is>
          <t>ÖSTERGÖTLANDS LÄN</t>
        </is>
      </c>
      <c r="E4380" t="inlineStr">
        <is>
          <t>ÅTVIDABERG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14820-2022</t>
        </is>
      </c>
      <c r="B4381" s="1" t="n">
        <v>44656</v>
      </c>
      <c r="C4381" s="1" t="n">
        <v>45710</v>
      </c>
      <c r="D4381" t="inlineStr">
        <is>
          <t>ÖSTERGÖTLANDS LÄN</t>
        </is>
      </c>
      <c r="E4381" t="inlineStr">
        <is>
          <t>FINSPÅNG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14518-2022</t>
        </is>
      </c>
      <c r="B4382" s="1" t="n">
        <v>44656</v>
      </c>
      <c r="C4382" s="1" t="n">
        <v>45710</v>
      </c>
      <c r="D4382" t="inlineStr">
        <is>
          <t>ÖSTERGÖTLANDS LÄN</t>
        </is>
      </c>
      <c r="E4382" t="inlineStr">
        <is>
          <t>VALDEMARSVIK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14770-2022</t>
        </is>
      </c>
      <c r="B4383" s="1" t="n">
        <v>44656</v>
      </c>
      <c r="C4383" s="1" t="n">
        <v>45710</v>
      </c>
      <c r="D4383" t="inlineStr">
        <is>
          <t>ÖSTERGÖTLANDS LÄN</t>
        </is>
      </c>
      <c r="E4383" t="inlineStr">
        <is>
          <t>ÅTVIDABERG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14866-2022</t>
        </is>
      </c>
      <c r="B4384" s="1" t="n">
        <v>44656</v>
      </c>
      <c r="C4384" s="1" t="n">
        <v>45710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14946-2022</t>
        </is>
      </c>
      <c r="B4385" s="1" t="n">
        <v>44657</v>
      </c>
      <c r="C4385" s="1" t="n">
        <v>45710</v>
      </c>
      <c r="D4385" t="inlineStr">
        <is>
          <t>ÖSTERGÖTLANDS LÄN</t>
        </is>
      </c>
      <c r="E4385" t="inlineStr">
        <is>
          <t>BOXHOLM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15110-2022</t>
        </is>
      </c>
      <c r="B4386" s="1" t="n">
        <v>44657</v>
      </c>
      <c r="C4386" s="1" t="n">
        <v>45710</v>
      </c>
      <c r="D4386" t="inlineStr">
        <is>
          <t>ÖSTERGÖTLANDS LÄN</t>
        </is>
      </c>
      <c r="E4386" t="inlineStr">
        <is>
          <t>KINDA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15113-2022</t>
        </is>
      </c>
      <c r="B4387" s="1" t="n">
        <v>44658</v>
      </c>
      <c r="C4387" s="1" t="n">
        <v>45710</v>
      </c>
      <c r="D4387" t="inlineStr">
        <is>
          <t>ÖSTERGÖTLANDS LÄN</t>
        </is>
      </c>
      <c r="E4387" t="inlineStr">
        <is>
          <t>VALDEMARSVIK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15121-2022</t>
        </is>
      </c>
      <c r="B4388" s="1" t="n">
        <v>44658</v>
      </c>
      <c r="C4388" s="1" t="n">
        <v>45710</v>
      </c>
      <c r="D4388" t="inlineStr">
        <is>
          <t>ÖSTERGÖTLANDS LÄN</t>
        </is>
      </c>
      <c r="E4388" t="inlineStr">
        <is>
          <t>LINKÖPING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15159-2022</t>
        </is>
      </c>
      <c r="B4389" s="1" t="n">
        <v>44658</v>
      </c>
      <c r="C4389" s="1" t="n">
        <v>45710</v>
      </c>
      <c r="D4389" t="inlineStr">
        <is>
          <t>ÖSTERGÖTLANDS LÄN</t>
        </is>
      </c>
      <c r="E4389" t="inlineStr">
        <is>
          <t>KINDA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15117-2022</t>
        </is>
      </c>
      <c r="B4390" s="1" t="n">
        <v>44658</v>
      </c>
      <c r="C4390" s="1" t="n">
        <v>45710</v>
      </c>
      <c r="D4390" t="inlineStr">
        <is>
          <t>ÖSTERGÖTLANDS LÄN</t>
        </is>
      </c>
      <c r="E4390" t="inlineStr">
        <is>
          <t>LINKÖPING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15115-2022</t>
        </is>
      </c>
      <c r="B4391" s="1" t="n">
        <v>44658</v>
      </c>
      <c r="C4391" s="1" t="n">
        <v>45710</v>
      </c>
      <c r="D4391" t="inlineStr">
        <is>
          <t>ÖSTERGÖTLANDS LÄN</t>
        </is>
      </c>
      <c r="E4391" t="inlineStr">
        <is>
          <t>VALDEMARSVIK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15198-2022</t>
        </is>
      </c>
      <c r="B4392" s="1" t="n">
        <v>44658</v>
      </c>
      <c r="C4392" s="1" t="n">
        <v>45710</v>
      </c>
      <c r="D4392" t="inlineStr">
        <is>
          <t>ÖSTERGÖTLANDS LÄN</t>
        </is>
      </c>
      <c r="E4392" t="inlineStr">
        <is>
          <t>ÖDESHÖG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15264-2022</t>
        </is>
      </c>
      <c r="B4393" s="1" t="n">
        <v>44659</v>
      </c>
      <c r="C4393" s="1" t="n">
        <v>45710</v>
      </c>
      <c r="D4393" t="inlineStr">
        <is>
          <t>ÖSTERGÖTLANDS LÄN</t>
        </is>
      </c>
      <c r="E4393" t="inlineStr">
        <is>
          <t>ÅTVIDABERG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15355-2022</t>
        </is>
      </c>
      <c r="B4394" s="1" t="n">
        <v>44659</v>
      </c>
      <c r="C4394" s="1" t="n">
        <v>45710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Sveaskog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15363-2022</t>
        </is>
      </c>
      <c r="B4395" s="1" t="n">
        <v>44659</v>
      </c>
      <c r="C4395" s="1" t="n">
        <v>45710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Sveaskog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15356-2022</t>
        </is>
      </c>
      <c r="B4396" s="1" t="n">
        <v>44659</v>
      </c>
      <c r="C4396" s="1" t="n">
        <v>45710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15276-2022</t>
        </is>
      </c>
      <c r="B4397" s="1" t="n">
        <v>44659</v>
      </c>
      <c r="C4397" s="1" t="n">
        <v>45710</v>
      </c>
      <c r="D4397" t="inlineStr">
        <is>
          <t>ÖSTERGÖTLANDS LÄN</t>
        </is>
      </c>
      <c r="E4397" t="inlineStr">
        <is>
          <t>MJÖLBY</t>
        </is>
      </c>
      <c r="F4397" t="inlineStr">
        <is>
          <t>Kyrkan</t>
        </is>
      </c>
      <c r="G4397" t="n">
        <v>7.6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15358-2022</t>
        </is>
      </c>
      <c r="B4398" s="1" t="n">
        <v>44659</v>
      </c>
      <c r="C4398" s="1" t="n">
        <v>45710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Sveaskog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15353-2022</t>
        </is>
      </c>
      <c r="B4399" s="1" t="n">
        <v>44659</v>
      </c>
      <c r="C4399" s="1" t="n">
        <v>45710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15284-2022</t>
        </is>
      </c>
      <c r="B4400" s="1" t="n">
        <v>44659</v>
      </c>
      <c r="C4400" s="1" t="n">
        <v>45710</v>
      </c>
      <c r="D4400" t="inlineStr">
        <is>
          <t>ÖSTERGÖTLANDS LÄN</t>
        </is>
      </c>
      <c r="E4400" t="inlineStr">
        <is>
          <t>MJÖLBY</t>
        </is>
      </c>
      <c r="F4400" t="inlineStr">
        <is>
          <t>Kyrkan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15473-2022</t>
        </is>
      </c>
      <c r="B4401" s="1" t="n">
        <v>44662</v>
      </c>
      <c r="C4401" s="1" t="n">
        <v>45710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15783-2022</t>
        </is>
      </c>
      <c r="B4402" s="1" t="n">
        <v>44663</v>
      </c>
      <c r="C4402" s="1" t="n">
        <v>45710</v>
      </c>
      <c r="D4402" t="inlineStr">
        <is>
          <t>ÖSTERGÖTLANDS LÄN</t>
        </is>
      </c>
      <c r="E4402" t="inlineStr">
        <is>
          <t>MJÖLBY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15792-2022</t>
        </is>
      </c>
      <c r="B4403" s="1" t="n">
        <v>44663</v>
      </c>
      <c r="C4403" s="1" t="n">
        <v>45710</v>
      </c>
      <c r="D4403" t="inlineStr">
        <is>
          <t>ÖSTERGÖTLANDS LÄN</t>
        </is>
      </c>
      <c r="E4403" t="inlineStr">
        <is>
          <t>LINKÖPING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15813-2022</t>
        </is>
      </c>
      <c r="B4404" s="1" t="n">
        <v>44664</v>
      </c>
      <c r="C4404" s="1" t="n">
        <v>45710</v>
      </c>
      <c r="D4404" t="inlineStr">
        <is>
          <t>ÖSTERGÖTLANDS LÄN</t>
        </is>
      </c>
      <c r="E4404" t="inlineStr">
        <is>
          <t>ÖDESHÖG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15824-2022</t>
        </is>
      </c>
      <c r="B4405" s="1" t="n">
        <v>44664</v>
      </c>
      <c r="C4405" s="1" t="n">
        <v>45710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16106-2022</t>
        </is>
      </c>
      <c r="B4406" s="1" t="n">
        <v>44665</v>
      </c>
      <c r="C4406" s="1" t="n">
        <v>45710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Övriga Aktiebolag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16111-2022</t>
        </is>
      </c>
      <c r="B4407" s="1" t="n">
        <v>44665</v>
      </c>
      <c r="C4407" s="1" t="n">
        <v>45710</v>
      </c>
      <c r="D4407" t="inlineStr">
        <is>
          <t>ÖSTERGÖTLANDS LÄN</t>
        </is>
      </c>
      <c r="E4407" t="inlineStr">
        <is>
          <t>LINKÖPING</t>
        </is>
      </c>
      <c r="F4407" t="inlineStr">
        <is>
          <t>Övriga Aktiebolag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16055-2022</t>
        </is>
      </c>
      <c r="B4408" s="1" t="n">
        <v>44665</v>
      </c>
      <c r="C4408" s="1" t="n">
        <v>45710</v>
      </c>
      <c r="D4408" t="inlineStr">
        <is>
          <t>ÖSTERGÖTLANDS LÄN</t>
        </is>
      </c>
      <c r="E4408" t="inlineStr">
        <is>
          <t>NORRKÖPING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16074-2022</t>
        </is>
      </c>
      <c r="B4409" s="1" t="n">
        <v>44665</v>
      </c>
      <c r="C4409" s="1" t="n">
        <v>45710</v>
      </c>
      <c r="D4409" t="inlineStr">
        <is>
          <t>ÖSTERGÖTLANDS LÄN</t>
        </is>
      </c>
      <c r="E4409" t="inlineStr">
        <is>
          <t>NORRKÖPING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16107-2022</t>
        </is>
      </c>
      <c r="B4410" s="1" t="n">
        <v>44665</v>
      </c>
      <c r="C4410" s="1" t="n">
        <v>45710</v>
      </c>
      <c r="D4410" t="inlineStr">
        <is>
          <t>ÖSTERGÖTLANDS LÄN</t>
        </is>
      </c>
      <c r="E4410" t="inlineStr">
        <is>
          <t>BOXHOLM</t>
        </is>
      </c>
      <c r="F4410" t="inlineStr">
        <is>
          <t>Övriga Aktiebolag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16110-2022</t>
        </is>
      </c>
      <c r="B4411" s="1" t="n">
        <v>44665</v>
      </c>
      <c r="C4411" s="1" t="n">
        <v>45710</v>
      </c>
      <c r="D4411" t="inlineStr">
        <is>
          <t>ÖSTERGÖTLANDS LÄN</t>
        </is>
      </c>
      <c r="E4411" t="inlineStr">
        <is>
          <t>ÅTVIDABERG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16152-2022</t>
        </is>
      </c>
      <c r="B4412" s="1" t="n">
        <v>44666</v>
      </c>
      <c r="C4412" s="1" t="n">
        <v>45710</v>
      </c>
      <c r="D4412" t="inlineStr">
        <is>
          <t>ÖSTERGÖTLANDS LÄN</t>
        </is>
      </c>
      <c r="E4412" t="inlineStr">
        <is>
          <t>ÖDESHÖG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16172-2022</t>
        </is>
      </c>
      <c r="B4413" s="1" t="n">
        <v>44668</v>
      </c>
      <c r="C4413" s="1" t="n">
        <v>45710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Sveaskog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16289-2022</t>
        </is>
      </c>
      <c r="B4414" s="1" t="n">
        <v>44670</v>
      </c>
      <c r="C4414" s="1" t="n">
        <v>45710</v>
      </c>
      <c r="D4414" t="inlineStr">
        <is>
          <t>ÖSTERGÖTLANDS LÄN</t>
        </is>
      </c>
      <c r="E4414" t="inlineStr">
        <is>
          <t>YDRE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16417-2022</t>
        </is>
      </c>
      <c r="B4415" s="1" t="n">
        <v>44671</v>
      </c>
      <c r="C4415" s="1" t="n">
        <v>45710</v>
      </c>
      <c r="D4415" t="inlineStr">
        <is>
          <t>ÖSTERGÖTLANDS LÄN</t>
        </is>
      </c>
      <c r="E4415" t="inlineStr">
        <is>
          <t>NORRKÖPING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16635-2022</t>
        </is>
      </c>
      <c r="B4416" s="1" t="n">
        <v>44672</v>
      </c>
      <c r="C4416" s="1" t="n">
        <v>45710</v>
      </c>
      <c r="D4416" t="inlineStr">
        <is>
          <t>ÖSTERGÖTLANDS LÄN</t>
        </is>
      </c>
      <c r="E4416" t="inlineStr">
        <is>
          <t>BOXHOLM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16679-2022</t>
        </is>
      </c>
      <c r="B4417" s="1" t="n">
        <v>44673</v>
      </c>
      <c r="C4417" s="1" t="n">
        <v>45710</v>
      </c>
      <c r="D4417" t="inlineStr">
        <is>
          <t>ÖSTERGÖTLANDS LÄN</t>
        </is>
      </c>
      <c r="E4417" t="inlineStr">
        <is>
          <t>FINSPÅNG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16555-2022</t>
        </is>
      </c>
      <c r="B4418" s="1" t="n">
        <v>44672</v>
      </c>
      <c r="C4418" s="1" t="n">
        <v>45710</v>
      </c>
      <c r="D4418" t="inlineStr">
        <is>
          <t>ÖSTERGÖTLANDS LÄN</t>
        </is>
      </c>
      <c r="E4418" t="inlineStr">
        <is>
          <t>SÖDERKÖPING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16680-2022</t>
        </is>
      </c>
      <c r="B4419" s="1" t="n">
        <v>44673</v>
      </c>
      <c r="C4419" s="1" t="n">
        <v>45710</v>
      </c>
      <c r="D4419" t="inlineStr">
        <is>
          <t>ÖSTERGÖTLANDS LÄN</t>
        </is>
      </c>
      <c r="E4419" t="inlineStr">
        <is>
          <t>FINSPÅNG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16753-2022</t>
        </is>
      </c>
      <c r="B4420" s="1" t="n">
        <v>44673</v>
      </c>
      <c r="C4420" s="1" t="n">
        <v>45710</v>
      </c>
      <c r="D4420" t="inlineStr">
        <is>
          <t>ÖSTERGÖTLANDS LÄN</t>
        </is>
      </c>
      <c r="E4420" t="inlineStr">
        <is>
          <t>BOXHOLM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16751-2022</t>
        </is>
      </c>
      <c r="B4421" s="1" t="n">
        <v>44673</v>
      </c>
      <c r="C4421" s="1" t="n">
        <v>45710</v>
      </c>
      <c r="D4421" t="inlineStr">
        <is>
          <t>ÖSTERGÖTLANDS LÄN</t>
        </is>
      </c>
      <c r="E4421" t="inlineStr">
        <is>
          <t>BOXHOLM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16755-2022</t>
        </is>
      </c>
      <c r="B4422" s="1" t="n">
        <v>44673</v>
      </c>
      <c r="C4422" s="1" t="n">
        <v>45710</v>
      </c>
      <c r="D4422" t="inlineStr">
        <is>
          <t>ÖSTERGÖTLANDS LÄN</t>
        </is>
      </c>
      <c r="E4422" t="inlineStr">
        <is>
          <t>BOXHOLM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16829-2022</t>
        </is>
      </c>
      <c r="B4423" s="1" t="n">
        <v>44673</v>
      </c>
      <c r="C4423" s="1" t="n">
        <v>45710</v>
      </c>
      <c r="D4423" t="inlineStr">
        <is>
          <t>ÖSTERGÖTLANDS LÄN</t>
        </is>
      </c>
      <c r="E4423" t="inlineStr">
        <is>
          <t>NORRKÖPING</t>
        </is>
      </c>
      <c r="F4423" t="inlineStr">
        <is>
          <t>Allmännings- och besparingsskogar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16868-2022</t>
        </is>
      </c>
      <c r="B4424" s="1" t="n">
        <v>44675</v>
      </c>
      <c r="C4424" s="1" t="n">
        <v>45710</v>
      </c>
      <c r="D4424" t="inlineStr">
        <is>
          <t>ÖSTERGÖTLANDS LÄN</t>
        </is>
      </c>
      <c r="E4424" t="inlineStr">
        <is>
          <t>FINSPÅNG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16869-2022</t>
        </is>
      </c>
      <c r="B4425" s="1" t="n">
        <v>44675</v>
      </c>
      <c r="C4425" s="1" t="n">
        <v>45710</v>
      </c>
      <c r="D4425" t="inlineStr">
        <is>
          <t>ÖSTERGÖTLANDS LÄN</t>
        </is>
      </c>
      <c r="E4425" t="inlineStr">
        <is>
          <t>FINSPÅNG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16872-2022</t>
        </is>
      </c>
      <c r="B4426" s="1" t="n">
        <v>44675</v>
      </c>
      <c r="C4426" s="1" t="n">
        <v>45710</v>
      </c>
      <c r="D4426" t="inlineStr">
        <is>
          <t>ÖSTERGÖTLANDS LÄN</t>
        </is>
      </c>
      <c r="E4426" t="inlineStr">
        <is>
          <t>FINSPÅNG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16901-2022</t>
        </is>
      </c>
      <c r="B4427" s="1" t="n">
        <v>44676</v>
      </c>
      <c r="C4427" s="1" t="n">
        <v>45710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16981-2022</t>
        </is>
      </c>
      <c r="B4428" s="1" t="n">
        <v>44676</v>
      </c>
      <c r="C4428" s="1" t="n">
        <v>45710</v>
      </c>
      <c r="D4428" t="inlineStr">
        <is>
          <t>ÖSTERGÖTLANDS LÄN</t>
        </is>
      </c>
      <c r="E4428" t="inlineStr">
        <is>
          <t>LINKÖPING</t>
        </is>
      </c>
      <c r="G4428" t="n">
        <v>8.800000000000001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17008-2022</t>
        </is>
      </c>
      <c r="B4429" s="1" t="n">
        <v>44676</v>
      </c>
      <c r="C4429" s="1" t="n">
        <v>45710</v>
      </c>
      <c r="D4429" t="inlineStr">
        <is>
          <t>ÖSTERGÖTLANDS LÄN</t>
        </is>
      </c>
      <c r="E4429" t="inlineStr">
        <is>
          <t>MOTALA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17071-2022</t>
        </is>
      </c>
      <c r="B4430" s="1" t="n">
        <v>44677</v>
      </c>
      <c r="C4430" s="1" t="n">
        <v>45710</v>
      </c>
      <c r="D4430" t="inlineStr">
        <is>
          <t>ÖSTERGÖTLANDS LÄN</t>
        </is>
      </c>
      <c r="E4430" t="inlineStr">
        <is>
          <t>MOTALA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17138-2022</t>
        </is>
      </c>
      <c r="B4431" s="1" t="n">
        <v>44677</v>
      </c>
      <c r="C4431" s="1" t="n">
        <v>45710</v>
      </c>
      <c r="D4431" t="inlineStr">
        <is>
          <t>ÖSTERGÖTLANDS LÄN</t>
        </is>
      </c>
      <c r="E4431" t="inlineStr">
        <is>
          <t>NORRKÖPING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17174-2022</t>
        </is>
      </c>
      <c r="B4432" s="1" t="n">
        <v>44677</v>
      </c>
      <c r="C4432" s="1" t="n">
        <v>45710</v>
      </c>
      <c r="D4432" t="inlineStr">
        <is>
          <t>ÖSTERGÖTLANDS LÄN</t>
        </is>
      </c>
      <c r="E4432" t="inlineStr">
        <is>
          <t>KINDA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17104-2022</t>
        </is>
      </c>
      <c r="B4433" s="1" t="n">
        <v>44677</v>
      </c>
      <c r="C4433" s="1" t="n">
        <v>45710</v>
      </c>
      <c r="D4433" t="inlineStr">
        <is>
          <t>ÖSTERGÖTLANDS LÄN</t>
        </is>
      </c>
      <c r="E4433" t="inlineStr">
        <is>
          <t>FINSPÅNG</t>
        </is>
      </c>
      <c r="G4433" t="n">
        <v>4.2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17172-2022</t>
        </is>
      </c>
      <c r="B4434" s="1" t="n">
        <v>44677</v>
      </c>
      <c r="C4434" s="1" t="n">
        <v>45710</v>
      </c>
      <c r="D4434" t="inlineStr">
        <is>
          <t>ÖSTERGÖTLANDS LÄN</t>
        </is>
      </c>
      <c r="E4434" t="inlineStr">
        <is>
          <t>KINDA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17321-2022</t>
        </is>
      </c>
      <c r="B4435" s="1" t="n">
        <v>44678</v>
      </c>
      <c r="C4435" s="1" t="n">
        <v>45710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Holmen skog AB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17275-2022</t>
        </is>
      </c>
      <c r="B4436" s="1" t="n">
        <v>44678</v>
      </c>
      <c r="C4436" s="1" t="n">
        <v>45710</v>
      </c>
      <c r="D4436" t="inlineStr">
        <is>
          <t>ÖSTERGÖTLANDS LÄN</t>
        </is>
      </c>
      <c r="E4436" t="inlineStr">
        <is>
          <t>SÖDERKÖPING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17413-2022</t>
        </is>
      </c>
      <c r="B4437" s="1" t="n">
        <v>44678</v>
      </c>
      <c r="C4437" s="1" t="n">
        <v>45710</v>
      </c>
      <c r="D4437" t="inlineStr">
        <is>
          <t>ÖSTERGÖTLANDS LÄN</t>
        </is>
      </c>
      <c r="E4437" t="inlineStr">
        <is>
          <t>FINSPÅNG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17412-2022</t>
        </is>
      </c>
      <c r="B4438" s="1" t="n">
        <v>44678</v>
      </c>
      <c r="C4438" s="1" t="n">
        <v>45710</v>
      </c>
      <c r="D4438" t="inlineStr">
        <is>
          <t>ÖSTERGÖTLANDS LÄN</t>
        </is>
      </c>
      <c r="E4438" t="inlineStr">
        <is>
          <t>FINSPÅNG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17500-2022</t>
        </is>
      </c>
      <c r="B4439" s="1" t="n">
        <v>44679</v>
      </c>
      <c r="C4439" s="1" t="n">
        <v>45710</v>
      </c>
      <c r="D4439" t="inlineStr">
        <is>
          <t>ÖSTERGÖTLANDS LÄN</t>
        </is>
      </c>
      <c r="E4439" t="inlineStr">
        <is>
          <t>LINKÖPING</t>
        </is>
      </c>
      <c r="F4439" t="inlineStr">
        <is>
          <t>Kommuner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17557-2022</t>
        </is>
      </c>
      <c r="B4440" s="1" t="n">
        <v>44679</v>
      </c>
      <c r="C4440" s="1" t="n">
        <v>45710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Övriga Aktiebolag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17503-2022</t>
        </is>
      </c>
      <c r="B4441" s="1" t="n">
        <v>44679</v>
      </c>
      <c r="C4441" s="1" t="n">
        <v>45710</v>
      </c>
      <c r="D4441" t="inlineStr">
        <is>
          <t>ÖSTERGÖTLANDS LÄN</t>
        </is>
      </c>
      <c r="E4441" t="inlineStr">
        <is>
          <t>NORRKÖPING</t>
        </is>
      </c>
      <c r="F4441" t="inlineStr">
        <is>
          <t>Allmännings- och besparingsskogar</t>
        </is>
      </c>
      <c r="G4441" t="n">
        <v>6.3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17543-2022</t>
        </is>
      </c>
      <c r="B4442" s="1" t="n">
        <v>44679</v>
      </c>
      <c r="C4442" s="1" t="n">
        <v>45710</v>
      </c>
      <c r="D4442" t="inlineStr">
        <is>
          <t>ÖSTERGÖTLANDS LÄN</t>
        </is>
      </c>
      <c r="E4442" t="inlineStr">
        <is>
          <t>MOTALA</t>
        </is>
      </c>
      <c r="G4442" t="n">
        <v>6.2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17497-2022</t>
        </is>
      </c>
      <c r="B4443" s="1" t="n">
        <v>44679</v>
      </c>
      <c r="C4443" s="1" t="n">
        <v>45710</v>
      </c>
      <c r="D4443" t="inlineStr">
        <is>
          <t>ÖSTERGÖTLANDS LÄN</t>
        </is>
      </c>
      <c r="E4443" t="inlineStr">
        <is>
          <t>LINKÖPING</t>
        </is>
      </c>
      <c r="F4443" t="inlineStr">
        <is>
          <t>Kommuner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17708-2022</t>
        </is>
      </c>
      <c r="B4444" s="1" t="n">
        <v>44680</v>
      </c>
      <c r="C4444" s="1" t="n">
        <v>45710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Kyrkan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17879-2022</t>
        </is>
      </c>
      <c r="B4445" s="1" t="n">
        <v>44683</v>
      </c>
      <c r="C4445" s="1" t="n">
        <v>45710</v>
      </c>
      <c r="D4445" t="inlineStr">
        <is>
          <t>ÖSTERGÖTLANDS LÄN</t>
        </is>
      </c>
      <c r="E4445" t="inlineStr">
        <is>
          <t>ÅTVIDABERG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18123-2022</t>
        </is>
      </c>
      <c r="B4446" s="1" t="n">
        <v>44684</v>
      </c>
      <c r="C4446" s="1" t="n">
        <v>45710</v>
      </c>
      <c r="D4446" t="inlineStr">
        <is>
          <t>ÖSTERGÖTLANDS LÄN</t>
        </is>
      </c>
      <c r="E4446" t="inlineStr">
        <is>
          <t>MOTALA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18251-2022</t>
        </is>
      </c>
      <c r="B4447" s="1" t="n">
        <v>44685</v>
      </c>
      <c r="C4447" s="1" t="n">
        <v>45710</v>
      </c>
      <c r="D4447" t="inlineStr">
        <is>
          <t>ÖSTERGÖTLANDS LÄN</t>
        </is>
      </c>
      <c r="E4447" t="inlineStr">
        <is>
          <t>SÖDERKÖPING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18328-2022</t>
        </is>
      </c>
      <c r="B4448" s="1" t="n">
        <v>44685</v>
      </c>
      <c r="C4448" s="1" t="n">
        <v>45710</v>
      </c>
      <c r="D4448" t="inlineStr">
        <is>
          <t>ÖSTERGÖTLANDS LÄN</t>
        </is>
      </c>
      <c r="E4448" t="inlineStr">
        <is>
          <t>ÅTVIDABERG</t>
        </is>
      </c>
      <c r="F4448" t="inlineStr">
        <is>
          <t>Övriga Aktiebolag</t>
        </is>
      </c>
      <c r="G4448" t="n">
        <v>15.1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18454-2022</t>
        </is>
      </c>
      <c r="B4449" s="1" t="n">
        <v>44686</v>
      </c>
      <c r="C4449" s="1" t="n">
        <v>45710</v>
      </c>
      <c r="D4449" t="inlineStr">
        <is>
          <t>ÖSTERGÖTLANDS LÄN</t>
        </is>
      </c>
      <c r="E4449" t="inlineStr">
        <is>
          <t>NORRKÖPING</t>
        </is>
      </c>
      <c r="G4449" t="n">
        <v>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18608-2022</t>
        </is>
      </c>
      <c r="B4450" s="1" t="n">
        <v>44687</v>
      </c>
      <c r="C4450" s="1" t="n">
        <v>45710</v>
      </c>
      <c r="D4450" t="inlineStr">
        <is>
          <t>ÖSTERGÖTLANDS LÄN</t>
        </is>
      </c>
      <c r="E4450" t="inlineStr">
        <is>
          <t>YDRE</t>
        </is>
      </c>
      <c r="F4450" t="inlineStr">
        <is>
          <t>Övriga Aktiebolag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18684-2022</t>
        </is>
      </c>
      <c r="B4451" s="1" t="n">
        <v>44687</v>
      </c>
      <c r="C4451" s="1" t="n">
        <v>45710</v>
      </c>
      <c r="D4451" t="inlineStr">
        <is>
          <t>ÖSTERGÖTLANDS LÄN</t>
        </is>
      </c>
      <c r="E4451" t="inlineStr">
        <is>
          <t>VALDEMARSVIK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18611-2022</t>
        </is>
      </c>
      <c r="B4452" s="1" t="n">
        <v>44687</v>
      </c>
      <c r="C4452" s="1" t="n">
        <v>45710</v>
      </c>
      <c r="D4452" t="inlineStr">
        <is>
          <t>ÖSTERGÖTLANDS LÄN</t>
        </is>
      </c>
      <c r="E4452" t="inlineStr">
        <is>
          <t>YDRE</t>
        </is>
      </c>
      <c r="F4452" t="inlineStr">
        <is>
          <t>Övriga Aktiebolag</t>
        </is>
      </c>
      <c r="G4452" t="n">
        <v>4.4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18597-2022</t>
        </is>
      </c>
      <c r="B4453" s="1" t="n">
        <v>44687</v>
      </c>
      <c r="C4453" s="1" t="n">
        <v>45710</v>
      </c>
      <c r="D4453" t="inlineStr">
        <is>
          <t>ÖSTERGÖTLANDS LÄN</t>
        </is>
      </c>
      <c r="E4453" t="inlineStr">
        <is>
          <t>KINDA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18891-2022</t>
        </is>
      </c>
      <c r="B4454" s="1" t="n">
        <v>44690</v>
      </c>
      <c r="C4454" s="1" t="n">
        <v>45710</v>
      </c>
      <c r="D4454" t="inlineStr">
        <is>
          <t>ÖSTERGÖTLANDS LÄN</t>
        </is>
      </c>
      <c r="E4454" t="inlineStr">
        <is>
          <t>LINKÖPING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18961-2022</t>
        </is>
      </c>
      <c r="B4455" s="1" t="n">
        <v>44690</v>
      </c>
      <c r="C4455" s="1" t="n">
        <v>45710</v>
      </c>
      <c r="D4455" t="inlineStr">
        <is>
          <t>ÖSTERGÖTLANDS LÄN</t>
        </is>
      </c>
      <c r="E4455" t="inlineStr">
        <is>
          <t>VALDEMARSVIK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18935-2022</t>
        </is>
      </c>
      <c r="B4456" s="1" t="n">
        <v>44690</v>
      </c>
      <c r="C4456" s="1" t="n">
        <v>45710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Holmen skog AB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19229-2022</t>
        </is>
      </c>
      <c r="B4457" s="1" t="n">
        <v>44692</v>
      </c>
      <c r="C4457" s="1" t="n">
        <v>45710</v>
      </c>
      <c r="D4457" t="inlineStr">
        <is>
          <t>ÖSTERGÖTLANDS LÄN</t>
        </is>
      </c>
      <c r="E4457" t="inlineStr">
        <is>
          <t>MOTALA</t>
        </is>
      </c>
      <c r="F4457" t="inlineStr">
        <is>
          <t>Övriga statliga verk och myndigheter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19318-2022</t>
        </is>
      </c>
      <c r="B4458" s="1" t="n">
        <v>44692</v>
      </c>
      <c r="C4458" s="1" t="n">
        <v>45710</v>
      </c>
      <c r="D4458" t="inlineStr">
        <is>
          <t>ÖSTERGÖTLANDS LÄN</t>
        </is>
      </c>
      <c r="E4458" t="inlineStr">
        <is>
          <t>LINKÖPING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19338-2022</t>
        </is>
      </c>
      <c r="B4459" s="1" t="n">
        <v>44692</v>
      </c>
      <c r="C4459" s="1" t="n">
        <v>45710</v>
      </c>
      <c r="D4459" t="inlineStr">
        <is>
          <t>ÖSTERGÖTLANDS LÄN</t>
        </is>
      </c>
      <c r="E4459" t="inlineStr">
        <is>
          <t>SÖDERKÖPING</t>
        </is>
      </c>
      <c r="F4459" t="inlineStr">
        <is>
          <t>Kommuner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19352-2022</t>
        </is>
      </c>
      <c r="B4460" s="1" t="n">
        <v>44692</v>
      </c>
      <c r="C4460" s="1" t="n">
        <v>45710</v>
      </c>
      <c r="D4460" t="inlineStr">
        <is>
          <t>ÖSTERGÖTLANDS LÄN</t>
        </is>
      </c>
      <c r="E4460" t="inlineStr">
        <is>
          <t>MJÖLBY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19356-2022</t>
        </is>
      </c>
      <c r="B4461" s="1" t="n">
        <v>44692</v>
      </c>
      <c r="C4461" s="1" t="n">
        <v>45710</v>
      </c>
      <c r="D4461" t="inlineStr">
        <is>
          <t>ÖSTERGÖTLANDS LÄN</t>
        </is>
      </c>
      <c r="E4461" t="inlineStr">
        <is>
          <t>BOXHOLM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19566-2022</t>
        </is>
      </c>
      <c r="B4462" s="1" t="n">
        <v>44693</v>
      </c>
      <c r="C4462" s="1" t="n">
        <v>45710</v>
      </c>
      <c r="D4462" t="inlineStr">
        <is>
          <t>ÖSTERGÖTLANDS LÄN</t>
        </is>
      </c>
      <c r="E4462" t="inlineStr">
        <is>
          <t>BOXHOLM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19427-2022</t>
        </is>
      </c>
      <c r="B4463" s="1" t="n">
        <v>44693</v>
      </c>
      <c r="C4463" s="1" t="n">
        <v>45710</v>
      </c>
      <c r="D4463" t="inlineStr">
        <is>
          <t>ÖSTERGÖTLANDS LÄN</t>
        </is>
      </c>
      <c r="E4463" t="inlineStr">
        <is>
          <t>ÅTVIDABERG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19610-2022</t>
        </is>
      </c>
      <c r="B4464" s="1" t="n">
        <v>44693</v>
      </c>
      <c r="C4464" s="1" t="n">
        <v>45710</v>
      </c>
      <c r="D4464" t="inlineStr">
        <is>
          <t>ÖSTERGÖTLANDS LÄN</t>
        </is>
      </c>
      <c r="E4464" t="inlineStr">
        <is>
          <t>YDRE</t>
        </is>
      </c>
      <c r="G4464" t="n">
        <v>2.4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19838-2022</t>
        </is>
      </c>
      <c r="B4465" s="1" t="n">
        <v>44696</v>
      </c>
      <c r="C4465" s="1" t="n">
        <v>45710</v>
      </c>
      <c r="D4465" t="inlineStr">
        <is>
          <t>ÖSTERGÖTLANDS LÄN</t>
        </is>
      </c>
      <c r="E4465" t="inlineStr">
        <is>
          <t>NORRKÖPING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19839-2022</t>
        </is>
      </c>
      <c r="B4466" s="1" t="n">
        <v>44696</v>
      </c>
      <c r="C4466" s="1" t="n">
        <v>45710</v>
      </c>
      <c r="D4466" t="inlineStr">
        <is>
          <t>ÖSTERGÖTLANDS LÄN</t>
        </is>
      </c>
      <c r="E4466" t="inlineStr">
        <is>
          <t>NORRKÖPING</t>
        </is>
      </c>
      <c r="G4466" t="n">
        <v>3.7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19837-2022</t>
        </is>
      </c>
      <c r="B4467" s="1" t="n">
        <v>44696</v>
      </c>
      <c r="C4467" s="1" t="n">
        <v>45710</v>
      </c>
      <c r="D4467" t="inlineStr">
        <is>
          <t>ÖSTERGÖTLANDS LÄN</t>
        </is>
      </c>
      <c r="E4467" t="inlineStr">
        <is>
          <t>NORRKÖPING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20027-2022</t>
        </is>
      </c>
      <c r="B4468" s="1" t="n">
        <v>44697</v>
      </c>
      <c r="C4468" s="1" t="n">
        <v>45710</v>
      </c>
      <c r="D4468" t="inlineStr">
        <is>
          <t>ÖSTERGÖTLANDS LÄN</t>
        </is>
      </c>
      <c r="E4468" t="inlineStr">
        <is>
          <t>LINKÖPING</t>
        </is>
      </c>
      <c r="G4468" t="n">
        <v>12.3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19922-2022</t>
        </is>
      </c>
      <c r="B4469" s="1" t="n">
        <v>44697</v>
      </c>
      <c r="C4469" s="1" t="n">
        <v>45710</v>
      </c>
      <c r="D4469" t="inlineStr">
        <is>
          <t>ÖSTERGÖTLANDS LÄN</t>
        </is>
      </c>
      <c r="E4469" t="inlineStr">
        <is>
          <t>FINSPÅNG</t>
        </is>
      </c>
      <c r="F4469" t="inlineStr">
        <is>
          <t>Sveaskog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19897-2022</t>
        </is>
      </c>
      <c r="B4470" s="1" t="n">
        <v>44697</v>
      </c>
      <c r="C4470" s="1" t="n">
        <v>45710</v>
      </c>
      <c r="D4470" t="inlineStr">
        <is>
          <t>ÖSTERGÖTLANDS LÄN</t>
        </is>
      </c>
      <c r="E4470" t="inlineStr">
        <is>
          <t>KINDA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19890-2022</t>
        </is>
      </c>
      <c r="B4471" s="1" t="n">
        <v>44697</v>
      </c>
      <c r="C4471" s="1" t="n">
        <v>45710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20158-2022</t>
        </is>
      </c>
      <c r="B4472" s="1" t="n">
        <v>44698</v>
      </c>
      <c r="C4472" s="1" t="n">
        <v>45710</v>
      </c>
      <c r="D4472" t="inlineStr">
        <is>
          <t>ÖSTERGÖTLANDS LÄN</t>
        </is>
      </c>
      <c r="E4472" t="inlineStr">
        <is>
          <t>YDRE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20244-2022</t>
        </is>
      </c>
      <c r="B4473" s="1" t="n">
        <v>44698</v>
      </c>
      <c r="C4473" s="1" t="n">
        <v>45710</v>
      </c>
      <c r="D4473" t="inlineStr">
        <is>
          <t>ÖSTERGÖTLANDS LÄN</t>
        </is>
      </c>
      <c r="E4473" t="inlineStr">
        <is>
          <t>ÖDESHÖG</t>
        </is>
      </c>
      <c r="F4473" t="inlineStr">
        <is>
          <t>Allmännings- och besparingsskogar</t>
        </is>
      </c>
      <c r="G4473" t="n">
        <v>9.5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20232-2022</t>
        </is>
      </c>
      <c r="B4474" s="1" t="n">
        <v>44698</v>
      </c>
      <c r="C4474" s="1" t="n">
        <v>45710</v>
      </c>
      <c r="D4474" t="inlineStr">
        <is>
          <t>ÖSTERGÖTLANDS LÄN</t>
        </is>
      </c>
      <c r="E4474" t="inlineStr">
        <is>
          <t>ÖDESHÖG</t>
        </is>
      </c>
      <c r="F4474" t="inlineStr">
        <is>
          <t>Allmännings- och besparingsskogar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20385-2022</t>
        </is>
      </c>
      <c r="B4475" s="1" t="n">
        <v>44699</v>
      </c>
      <c r="C4475" s="1" t="n">
        <v>45710</v>
      </c>
      <c r="D4475" t="inlineStr">
        <is>
          <t>ÖSTERGÖTLANDS LÄN</t>
        </is>
      </c>
      <c r="E4475" t="inlineStr">
        <is>
          <t>NORRKÖPING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20447-2022</t>
        </is>
      </c>
      <c r="B4476" s="1" t="n">
        <v>44699</v>
      </c>
      <c r="C4476" s="1" t="n">
        <v>45710</v>
      </c>
      <c r="D4476" t="inlineStr">
        <is>
          <t>ÖSTERGÖTLANDS LÄN</t>
        </is>
      </c>
      <c r="E4476" t="inlineStr">
        <is>
          <t>KINDA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20451-2022</t>
        </is>
      </c>
      <c r="B4477" s="1" t="n">
        <v>44699</v>
      </c>
      <c r="C4477" s="1" t="n">
        <v>45710</v>
      </c>
      <c r="D4477" t="inlineStr">
        <is>
          <t>ÖSTERGÖTLANDS LÄN</t>
        </is>
      </c>
      <c r="E4477" t="inlineStr">
        <is>
          <t>KINDA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20450-2022</t>
        </is>
      </c>
      <c r="B4478" s="1" t="n">
        <v>44699</v>
      </c>
      <c r="C4478" s="1" t="n">
        <v>45710</v>
      </c>
      <c r="D4478" t="inlineStr">
        <is>
          <t>ÖSTERGÖTLANDS LÄN</t>
        </is>
      </c>
      <c r="E4478" t="inlineStr">
        <is>
          <t>KINDA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20685-2022</t>
        </is>
      </c>
      <c r="B4479" s="1" t="n">
        <v>44700</v>
      </c>
      <c r="C4479" s="1" t="n">
        <v>45710</v>
      </c>
      <c r="D4479" t="inlineStr">
        <is>
          <t>ÖSTERGÖTLANDS LÄN</t>
        </is>
      </c>
      <c r="E4479" t="inlineStr">
        <is>
          <t>VALDEMARSVIK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20612-2022</t>
        </is>
      </c>
      <c r="B4480" s="1" t="n">
        <v>44700</v>
      </c>
      <c r="C4480" s="1" t="n">
        <v>45710</v>
      </c>
      <c r="D4480" t="inlineStr">
        <is>
          <t>ÖSTERGÖTLANDS LÄN</t>
        </is>
      </c>
      <c r="E4480" t="inlineStr">
        <is>
          <t>ÖDESHÖG</t>
        </is>
      </c>
      <c r="F4480" t="inlineStr">
        <is>
          <t>Allmännings- och besparingsskogar</t>
        </is>
      </c>
      <c r="G4480" t="n">
        <v>8.9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20829-2022</t>
        </is>
      </c>
      <c r="B4481" s="1" t="n">
        <v>44701</v>
      </c>
      <c r="C4481" s="1" t="n">
        <v>45710</v>
      </c>
      <c r="D4481" t="inlineStr">
        <is>
          <t>ÖSTERGÖTLANDS LÄN</t>
        </is>
      </c>
      <c r="E4481" t="inlineStr">
        <is>
          <t>KINDA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20920-2022</t>
        </is>
      </c>
      <c r="B4482" s="1" t="n">
        <v>44701</v>
      </c>
      <c r="C4482" s="1" t="n">
        <v>45710</v>
      </c>
      <c r="D4482" t="inlineStr">
        <is>
          <t>ÖSTERGÖTLANDS LÄN</t>
        </is>
      </c>
      <c r="E4482" t="inlineStr">
        <is>
          <t>MOTALA</t>
        </is>
      </c>
      <c r="F4482" t="inlineStr">
        <is>
          <t>Sveaskog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21148-2022</t>
        </is>
      </c>
      <c r="B4483" s="1" t="n">
        <v>44704</v>
      </c>
      <c r="C4483" s="1" t="n">
        <v>45710</v>
      </c>
      <c r="D4483" t="inlineStr">
        <is>
          <t>ÖSTERGÖTLANDS LÄN</t>
        </is>
      </c>
      <c r="E4483" t="inlineStr">
        <is>
          <t>KINDA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21190-2022</t>
        </is>
      </c>
      <c r="B4484" s="1" t="n">
        <v>44705</v>
      </c>
      <c r="C4484" s="1" t="n">
        <v>45710</v>
      </c>
      <c r="D4484" t="inlineStr">
        <is>
          <t>ÖSTERGÖTLANDS LÄN</t>
        </is>
      </c>
      <c r="E4484" t="inlineStr">
        <is>
          <t>FINSPÅNG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21611-2022</t>
        </is>
      </c>
      <c r="B4485" s="1" t="n">
        <v>44706</v>
      </c>
      <c r="C4485" s="1" t="n">
        <v>45710</v>
      </c>
      <c r="D4485" t="inlineStr">
        <is>
          <t>ÖSTERGÖTLANDS LÄN</t>
        </is>
      </c>
      <c r="E4485" t="inlineStr">
        <is>
          <t>ÅTVIDABERG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21919-2022</t>
        </is>
      </c>
      <c r="B4486" s="1" t="n">
        <v>44711</v>
      </c>
      <c r="C4486" s="1" t="n">
        <v>45710</v>
      </c>
      <c r="D4486" t="inlineStr">
        <is>
          <t>ÖSTERGÖTLANDS LÄN</t>
        </is>
      </c>
      <c r="E4486" t="inlineStr">
        <is>
          <t>SÖDERKÖPING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21901-2022</t>
        </is>
      </c>
      <c r="B4487" s="1" t="n">
        <v>44711</v>
      </c>
      <c r="C4487" s="1" t="n">
        <v>45710</v>
      </c>
      <c r="D4487" t="inlineStr">
        <is>
          <t>ÖSTERGÖTLANDS LÄN</t>
        </is>
      </c>
      <c r="E4487" t="inlineStr">
        <is>
          <t>SÖDERKÖPING</t>
        </is>
      </c>
      <c r="G4487" t="n">
        <v>3.9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21982-2022</t>
        </is>
      </c>
      <c r="B4488" s="1" t="n">
        <v>44711</v>
      </c>
      <c r="C4488" s="1" t="n">
        <v>45710</v>
      </c>
      <c r="D4488" t="inlineStr">
        <is>
          <t>ÖSTERGÖTLANDS LÄN</t>
        </is>
      </c>
      <c r="E4488" t="inlineStr">
        <is>
          <t>YDRE</t>
        </is>
      </c>
      <c r="F4488" t="inlineStr">
        <is>
          <t>Övriga Aktiebolag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22046-2022</t>
        </is>
      </c>
      <c r="B4489" s="1" t="n">
        <v>44711</v>
      </c>
      <c r="C4489" s="1" t="n">
        <v>45710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22043-2022</t>
        </is>
      </c>
      <c r="B4490" s="1" t="n">
        <v>44711</v>
      </c>
      <c r="C4490" s="1" t="n">
        <v>45710</v>
      </c>
      <c r="D4490" t="inlineStr">
        <is>
          <t>ÖSTERGÖTLANDS LÄN</t>
        </is>
      </c>
      <c r="E4490" t="inlineStr">
        <is>
          <t>BOXHOLM</t>
        </is>
      </c>
      <c r="F4490" t="inlineStr">
        <is>
          <t>Övriga Aktiebolag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22294-2022</t>
        </is>
      </c>
      <c r="B4491" s="1" t="n">
        <v>44712</v>
      </c>
      <c r="C4491" s="1" t="n">
        <v>45710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22311-2022</t>
        </is>
      </c>
      <c r="B4492" s="1" t="n">
        <v>44712</v>
      </c>
      <c r="C4492" s="1" t="n">
        <v>45710</v>
      </c>
      <c r="D4492" t="inlineStr">
        <is>
          <t>ÖSTERGÖTLANDS LÄN</t>
        </is>
      </c>
      <c r="E4492" t="inlineStr">
        <is>
          <t>VALDEMARSVIK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22412-2022</t>
        </is>
      </c>
      <c r="B4493" s="1" t="n">
        <v>44713</v>
      </c>
      <c r="C4493" s="1" t="n">
        <v>45710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22409-2022</t>
        </is>
      </c>
      <c r="B4494" s="1" t="n">
        <v>44713</v>
      </c>
      <c r="C4494" s="1" t="n">
        <v>45710</v>
      </c>
      <c r="D4494" t="inlineStr">
        <is>
          <t>ÖSTERGÖTLANDS LÄN</t>
        </is>
      </c>
      <c r="E4494" t="inlineStr">
        <is>
          <t>YDRE</t>
        </is>
      </c>
      <c r="F4494" t="inlineStr">
        <is>
          <t>Kyrkan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22463-2022</t>
        </is>
      </c>
      <c r="B4495" s="1" t="n">
        <v>44713</v>
      </c>
      <c r="C4495" s="1" t="n">
        <v>45710</v>
      </c>
      <c r="D4495" t="inlineStr">
        <is>
          <t>ÖSTERGÖTLANDS LÄN</t>
        </is>
      </c>
      <c r="E4495" t="inlineStr">
        <is>
          <t>NORRKÖPING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22470-2022</t>
        </is>
      </c>
      <c r="B4496" s="1" t="n">
        <v>44713</v>
      </c>
      <c r="C4496" s="1" t="n">
        <v>45710</v>
      </c>
      <c r="D4496" t="inlineStr">
        <is>
          <t>ÖSTERGÖTLANDS LÄN</t>
        </is>
      </c>
      <c r="E4496" t="inlineStr">
        <is>
          <t>NORRKÖPING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22714-2022</t>
        </is>
      </c>
      <c r="B4497" s="1" t="n">
        <v>44714</v>
      </c>
      <c r="C4497" s="1" t="n">
        <v>45710</v>
      </c>
      <c r="D4497" t="inlineStr">
        <is>
          <t>ÖSTERGÖTLANDS LÄN</t>
        </is>
      </c>
      <c r="E4497" t="inlineStr">
        <is>
          <t>FINSPÅNG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22687-2022</t>
        </is>
      </c>
      <c r="B4498" s="1" t="n">
        <v>44714</v>
      </c>
      <c r="C4498" s="1" t="n">
        <v>45710</v>
      </c>
      <c r="D4498" t="inlineStr">
        <is>
          <t>ÖSTERGÖTLANDS LÄN</t>
        </is>
      </c>
      <c r="E4498" t="inlineStr">
        <is>
          <t>KINDA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23051-2022</t>
        </is>
      </c>
      <c r="B4499" s="1" t="n">
        <v>44719</v>
      </c>
      <c r="C4499" s="1" t="n">
        <v>45710</v>
      </c>
      <c r="D4499" t="inlineStr">
        <is>
          <t>ÖSTERGÖTLANDS LÄN</t>
        </is>
      </c>
      <c r="E4499" t="inlineStr">
        <is>
          <t>NORRKÖPING</t>
        </is>
      </c>
      <c r="G4499" t="n">
        <v>5.2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23048-2022</t>
        </is>
      </c>
      <c r="B4500" s="1" t="n">
        <v>44719</v>
      </c>
      <c r="C4500" s="1" t="n">
        <v>45710</v>
      </c>
      <c r="D4500" t="inlineStr">
        <is>
          <t>ÖSTERGÖTLANDS LÄN</t>
        </is>
      </c>
      <c r="E4500" t="inlineStr">
        <is>
          <t>NORRKÖPING</t>
        </is>
      </c>
      <c r="G4500" t="n">
        <v>5.8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23175-2022</t>
        </is>
      </c>
      <c r="B4501" s="1" t="n">
        <v>44719</v>
      </c>
      <c r="C4501" s="1" t="n">
        <v>45710</v>
      </c>
      <c r="D4501" t="inlineStr">
        <is>
          <t>ÖSTERGÖTLANDS LÄN</t>
        </is>
      </c>
      <c r="E4501" t="inlineStr">
        <is>
          <t>NORRKÖPING</t>
        </is>
      </c>
      <c r="F4501" t="inlineStr">
        <is>
          <t>Allmännings- och besparingsskogar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23248-2022</t>
        </is>
      </c>
      <c r="B4502" s="1" t="n">
        <v>44720</v>
      </c>
      <c r="C4502" s="1" t="n">
        <v>45710</v>
      </c>
      <c r="D4502" t="inlineStr">
        <is>
          <t>ÖSTERGÖTLANDS LÄN</t>
        </is>
      </c>
      <c r="E4502" t="inlineStr">
        <is>
          <t>KINDA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23290-2022</t>
        </is>
      </c>
      <c r="B4503" s="1" t="n">
        <v>44720</v>
      </c>
      <c r="C4503" s="1" t="n">
        <v>45710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23419-2022</t>
        </is>
      </c>
      <c r="B4504" s="1" t="n">
        <v>44720</v>
      </c>
      <c r="C4504" s="1" t="n">
        <v>45710</v>
      </c>
      <c r="D4504" t="inlineStr">
        <is>
          <t>ÖSTERGÖTLANDS LÄN</t>
        </is>
      </c>
      <c r="E4504" t="inlineStr">
        <is>
          <t>SÖDERKÖPING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23420-2022</t>
        </is>
      </c>
      <c r="B4505" s="1" t="n">
        <v>44720</v>
      </c>
      <c r="C4505" s="1" t="n">
        <v>45710</v>
      </c>
      <c r="D4505" t="inlineStr">
        <is>
          <t>ÖSTERGÖTLANDS LÄN</t>
        </is>
      </c>
      <c r="E4505" t="inlineStr">
        <is>
          <t>SÖDERKÖPING</t>
        </is>
      </c>
      <c r="G4505" t="n">
        <v>7.6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23418-2022</t>
        </is>
      </c>
      <c r="B4506" s="1" t="n">
        <v>44720</v>
      </c>
      <c r="C4506" s="1" t="n">
        <v>45710</v>
      </c>
      <c r="D4506" t="inlineStr">
        <is>
          <t>ÖSTERGÖTLANDS LÄN</t>
        </is>
      </c>
      <c r="E4506" t="inlineStr">
        <is>
          <t>SÖDERKÖPING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23416-2022</t>
        </is>
      </c>
      <c r="B4507" s="1" t="n">
        <v>44720</v>
      </c>
      <c r="C4507" s="1" t="n">
        <v>45710</v>
      </c>
      <c r="D4507" t="inlineStr">
        <is>
          <t>ÖSTERGÖTLANDS LÄN</t>
        </is>
      </c>
      <c r="E4507" t="inlineStr">
        <is>
          <t>LINKÖPING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23525-2022</t>
        </is>
      </c>
      <c r="B4508" s="1" t="n">
        <v>44721</v>
      </c>
      <c r="C4508" s="1" t="n">
        <v>45710</v>
      </c>
      <c r="D4508" t="inlineStr">
        <is>
          <t>ÖSTERGÖTLANDS LÄN</t>
        </is>
      </c>
      <c r="E4508" t="inlineStr">
        <is>
          <t>ÅTVIDABERG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23517-2022</t>
        </is>
      </c>
      <c r="B4509" s="1" t="n">
        <v>44721</v>
      </c>
      <c r="C4509" s="1" t="n">
        <v>45710</v>
      </c>
      <c r="D4509" t="inlineStr">
        <is>
          <t>ÖSTERGÖTLANDS LÄN</t>
        </is>
      </c>
      <c r="E4509" t="inlineStr">
        <is>
          <t>ÅTVIDABERG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23523-2022</t>
        </is>
      </c>
      <c r="B4510" s="1" t="n">
        <v>44721</v>
      </c>
      <c r="C4510" s="1" t="n">
        <v>45710</v>
      </c>
      <c r="D4510" t="inlineStr">
        <is>
          <t>ÖSTERGÖTLANDS LÄN</t>
        </is>
      </c>
      <c r="E4510" t="inlineStr">
        <is>
          <t>ÅTVIDABERG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23520-2022</t>
        </is>
      </c>
      <c r="B4511" s="1" t="n">
        <v>44721</v>
      </c>
      <c r="C4511" s="1" t="n">
        <v>45710</v>
      </c>
      <c r="D4511" t="inlineStr">
        <is>
          <t>ÖSTERGÖTLANDS LÄN</t>
        </is>
      </c>
      <c r="E4511" t="inlineStr">
        <is>
          <t>ÅTVIDABERG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23530-2022</t>
        </is>
      </c>
      <c r="B4512" s="1" t="n">
        <v>44721</v>
      </c>
      <c r="C4512" s="1" t="n">
        <v>45710</v>
      </c>
      <c r="D4512" t="inlineStr">
        <is>
          <t>ÖSTERGÖTLANDS LÄN</t>
        </is>
      </c>
      <c r="E4512" t="inlineStr">
        <is>
          <t>ÅTVIDABERG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23614-2022</t>
        </is>
      </c>
      <c r="B4513" s="1" t="n">
        <v>44721</v>
      </c>
      <c r="C4513" s="1" t="n">
        <v>45710</v>
      </c>
      <c r="D4513" t="inlineStr">
        <is>
          <t>ÖSTERGÖTLANDS LÄN</t>
        </is>
      </c>
      <c r="E4513" t="inlineStr">
        <is>
          <t>KINDA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23783-2022</t>
        </is>
      </c>
      <c r="B4514" s="1" t="n">
        <v>44721</v>
      </c>
      <c r="C4514" s="1" t="n">
        <v>45710</v>
      </c>
      <c r="D4514" t="inlineStr">
        <is>
          <t>ÖSTERGÖTLANDS LÄN</t>
        </is>
      </c>
      <c r="E4514" t="inlineStr">
        <is>
          <t>NORRKÖPING</t>
        </is>
      </c>
      <c r="G4514" t="n">
        <v>11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23767-2022</t>
        </is>
      </c>
      <c r="B4515" s="1" t="n">
        <v>44721</v>
      </c>
      <c r="C4515" s="1" t="n">
        <v>45710</v>
      </c>
      <c r="D4515" t="inlineStr">
        <is>
          <t>ÖSTERGÖTLANDS LÄN</t>
        </is>
      </c>
      <c r="E4515" t="inlineStr">
        <is>
          <t>SÖDERKÖPING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23769-2022</t>
        </is>
      </c>
      <c r="B4516" s="1" t="n">
        <v>44722</v>
      </c>
      <c r="C4516" s="1" t="n">
        <v>45710</v>
      </c>
      <c r="D4516" t="inlineStr">
        <is>
          <t>ÖSTERGÖTLANDS LÄN</t>
        </is>
      </c>
      <c r="E4516" t="inlineStr">
        <is>
          <t>YDRE</t>
        </is>
      </c>
      <c r="F4516" t="inlineStr">
        <is>
          <t>Övriga Aktiebolag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23774-2022</t>
        </is>
      </c>
      <c r="B4517" s="1" t="n">
        <v>44722</v>
      </c>
      <c r="C4517" s="1" t="n">
        <v>45710</v>
      </c>
      <c r="D4517" t="inlineStr">
        <is>
          <t>ÖSTERGÖTLANDS LÄN</t>
        </is>
      </c>
      <c r="E4517" t="inlineStr">
        <is>
          <t>SÖDERKÖPING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23827-2022</t>
        </is>
      </c>
      <c r="B4518" s="1" t="n">
        <v>44722</v>
      </c>
      <c r="C4518" s="1" t="n">
        <v>45710</v>
      </c>
      <c r="D4518" t="inlineStr">
        <is>
          <t>ÖSTERGÖTLANDS LÄN</t>
        </is>
      </c>
      <c r="E4518" t="inlineStr">
        <is>
          <t>VALDEMARSVIK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23759-2022</t>
        </is>
      </c>
      <c r="B4519" s="1" t="n">
        <v>44722</v>
      </c>
      <c r="C4519" s="1" t="n">
        <v>45710</v>
      </c>
      <c r="D4519" t="inlineStr">
        <is>
          <t>ÖSTERGÖTLANDS LÄN</t>
        </is>
      </c>
      <c r="E4519" t="inlineStr">
        <is>
          <t>NORRKÖPING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23782-2022</t>
        </is>
      </c>
      <c r="B4520" s="1" t="n">
        <v>44722</v>
      </c>
      <c r="C4520" s="1" t="n">
        <v>45710</v>
      </c>
      <c r="D4520" t="inlineStr">
        <is>
          <t>ÖSTERGÖTLANDS LÄN</t>
        </is>
      </c>
      <c r="E4520" t="inlineStr">
        <is>
          <t>SÖDERKÖPING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23844-2022</t>
        </is>
      </c>
      <c r="B4521" s="1" t="n">
        <v>44722</v>
      </c>
      <c r="C4521" s="1" t="n">
        <v>45710</v>
      </c>
      <c r="D4521" t="inlineStr">
        <is>
          <t>ÖSTERGÖTLANDS LÄN</t>
        </is>
      </c>
      <c r="E4521" t="inlineStr">
        <is>
          <t>ÅTVIDABERG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23886-2022</t>
        </is>
      </c>
      <c r="B4522" s="1" t="n">
        <v>44722</v>
      </c>
      <c r="C4522" s="1" t="n">
        <v>45710</v>
      </c>
      <c r="D4522" t="inlineStr">
        <is>
          <t>ÖSTERGÖTLANDS LÄN</t>
        </is>
      </c>
      <c r="E4522" t="inlineStr">
        <is>
          <t>MOTALA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24085-2022</t>
        </is>
      </c>
      <c r="B4523" s="1" t="n">
        <v>44724</v>
      </c>
      <c r="C4523" s="1" t="n">
        <v>45710</v>
      </c>
      <c r="D4523" t="inlineStr">
        <is>
          <t>ÖSTERGÖTLANDS LÄN</t>
        </is>
      </c>
      <c r="E4523" t="inlineStr">
        <is>
          <t>ÅTVIDABERG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24192-2022</t>
        </is>
      </c>
      <c r="B4524" s="1" t="n">
        <v>44725</v>
      </c>
      <c r="C4524" s="1" t="n">
        <v>45710</v>
      </c>
      <c r="D4524" t="inlineStr">
        <is>
          <t>ÖSTERGÖTLANDS LÄN</t>
        </is>
      </c>
      <c r="E4524" t="inlineStr">
        <is>
          <t>FINSPÅNG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24067-2022</t>
        </is>
      </c>
      <c r="B4525" s="1" t="n">
        <v>44725</v>
      </c>
      <c r="C4525" s="1" t="n">
        <v>45710</v>
      </c>
      <c r="D4525" t="inlineStr">
        <is>
          <t>ÖSTERGÖTLANDS LÄN</t>
        </is>
      </c>
      <c r="E4525" t="inlineStr">
        <is>
          <t>KINDA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24252-2022</t>
        </is>
      </c>
      <c r="B4526" s="1" t="n">
        <v>44725</v>
      </c>
      <c r="C4526" s="1" t="n">
        <v>45710</v>
      </c>
      <c r="D4526" t="inlineStr">
        <is>
          <t>ÖSTERGÖTLANDS LÄN</t>
        </is>
      </c>
      <c r="E4526" t="inlineStr">
        <is>
          <t>MOTALA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24247-2022</t>
        </is>
      </c>
      <c r="B4527" s="1" t="n">
        <v>44725</v>
      </c>
      <c r="C4527" s="1" t="n">
        <v>45710</v>
      </c>
      <c r="D4527" t="inlineStr">
        <is>
          <t>ÖSTERGÖTLANDS LÄN</t>
        </is>
      </c>
      <c r="E4527" t="inlineStr">
        <is>
          <t>MOTALA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24251-2022</t>
        </is>
      </c>
      <c r="B4528" s="1" t="n">
        <v>44725</v>
      </c>
      <c r="C4528" s="1" t="n">
        <v>45710</v>
      </c>
      <c r="D4528" t="inlineStr">
        <is>
          <t>ÖSTERGÖTLANDS LÄN</t>
        </is>
      </c>
      <c r="E4528" t="inlineStr">
        <is>
          <t>MOTALA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24255-2022</t>
        </is>
      </c>
      <c r="B4529" s="1" t="n">
        <v>44725</v>
      </c>
      <c r="C4529" s="1" t="n">
        <v>45710</v>
      </c>
      <c r="D4529" t="inlineStr">
        <is>
          <t>ÖSTERGÖTLANDS LÄN</t>
        </is>
      </c>
      <c r="E4529" t="inlineStr">
        <is>
          <t>MOTALA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24234-2022</t>
        </is>
      </c>
      <c r="B4530" s="1" t="n">
        <v>44725</v>
      </c>
      <c r="C4530" s="1" t="n">
        <v>45710</v>
      </c>
      <c r="D4530" t="inlineStr">
        <is>
          <t>ÖSTERGÖTLANDS LÄN</t>
        </is>
      </c>
      <c r="E4530" t="inlineStr">
        <is>
          <t>VALDEMARSVIK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24254-2022</t>
        </is>
      </c>
      <c r="B4531" s="1" t="n">
        <v>44725</v>
      </c>
      <c r="C4531" s="1" t="n">
        <v>45710</v>
      </c>
      <c r="D4531" t="inlineStr">
        <is>
          <t>ÖSTERGÖTLANDS LÄN</t>
        </is>
      </c>
      <c r="E4531" t="inlineStr">
        <is>
          <t>MOTALA</t>
        </is>
      </c>
      <c r="G4531" t="n">
        <v>3.5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24350-2022</t>
        </is>
      </c>
      <c r="B4532" s="1" t="n">
        <v>44726</v>
      </c>
      <c r="C4532" s="1" t="n">
        <v>45710</v>
      </c>
      <c r="D4532" t="inlineStr">
        <is>
          <t>ÖSTERGÖTLANDS LÄN</t>
        </is>
      </c>
      <c r="E4532" t="inlineStr">
        <is>
          <t>VALDEMARSVIK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24498-2022</t>
        </is>
      </c>
      <c r="B4533" s="1" t="n">
        <v>44726</v>
      </c>
      <c r="C4533" s="1" t="n">
        <v>45710</v>
      </c>
      <c r="D4533" t="inlineStr">
        <is>
          <t>ÖSTERGÖTLANDS LÄN</t>
        </is>
      </c>
      <c r="E4533" t="inlineStr">
        <is>
          <t>NORRKÖPING</t>
        </is>
      </c>
      <c r="F4533" t="inlineStr">
        <is>
          <t>Allmännings- och besparingsskogar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24804-2022</t>
        </is>
      </c>
      <c r="B4534" s="1" t="n">
        <v>44728</v>
      </c>
      <c r="C4534" s="1" t="n">
        <v>45710</v>
      </c>
      <c r="D4534" t="inlineStr">
        <is>
          <t>ÖSTERGÖTLANDS LÄN</t>
        </is>
      </c>
      <c r="E4534" t="inlineStr">
        <is>
          <t>YDRE</t>
        </is>
      </c>
      <c r="F4534" t="inlineStr">
        <is>
          <t>Övriga Aktiebolag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24847-2022</t>
        </is>
      </c>
      <c r="B4535" s="1" t="n">
        <v>44728</v>
      </c>
      <c r="C4535" s="1" t="n">
        <v>45710</v>
      </c>
      <c r="D4535" t="inlineStr">
        <is>
          <t>ÖSTERGÖTLANDS LÄN</t>
        </is>
      </c>
      <c r="E4535" t="inlineStr">
        <is>
          <t>BOXHOLM</t>
        </is>
      </c>
      <c r="F4535" t="inlineStr">
        <is>
          <t>Övriga Aktiebolag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24865-2022</t>
        </is>
      </c>
      <c r="B4536" s="1" t="n">
        <v>44728</v>
      </c>
      <c r="C4536" s="1" t="n">
        <v>45710</v>
      </c>
      <c r="D4536" t="inlineStr">
        <is>
          <t>ÖSTERGÖTLANDS LÄN</t>
        </is>
      </c>
      <c r="E4536" t="inlineStr">
        <is>
          <t>ÅTVIDABERG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24861-2022</t>
        </is>
      </c>
      <c r="B4537" s="1" t="n">
        <v>44728</v>
      </c>
      <c r="C4537" s="1" t="n">
        <v>45710</v>
      </c>
      <c r="D4537" t="inlineStr">
        <is>
          <t>ÖSTERGÖTLANDS LÄN</t>
        </is>
      </c>
      <c r="E4537" t="inlineStr">
        <is>
          <t>KINDA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24903-2022</t>
        </is>
      </c>
      <c r="B4538" s="1" t="n">
        <v>44728</v>
      </c>
      <c r="C4538" s="1" t="n">
        <v>45710</v>
      </c>
      <c r="D4538" t="inlineStr">
        <is>
          <t>ÖSTERGÖTLANDS LÄN</t>
        </is>
      </c>
      <c r="E4538" t="inlineStr">
        <is>
          <t>KINDA</t>
        </is>
      </c>
      <c r="G4538" t="n">
        <v>6.3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24950-2022</t>
        </is>
      </c>
      <c r="B4539" s="1" t="n">
        <v>44728</v>
      </c>
      <c r="C4539" s="1" t="n">
        <v>45710</v>
      </c>
      <c r="D4539" t="inlineStr">
        <is>
          <t>ÖSTERGÖTLANDS LÄN</t>
        </is>
      </c>
      <c r="E4539" t="inlineStr">
        <is>
          <t>SÖDERKÖPING</t>
        </is>
      </c>
      <c r="G4539" t="n">
        <v>8.5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24982-2022</t>
        </is>
      </c>
      <c r="B4540" s="1" t="n">
        <v>44728</v>
      </c>
      <c r="C4540" s="1" t="n">
        <v>45710</v>
      </c>
      <c r="D4540" t="inlineStr">
        <is>
          <t>ÖSTERGÖTLANDS LÄN</t>
        </is>
      </c>
      <c r="E4540" t="inlineStr">
        <is>
          <t>NORRKÖPING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24971-2022</t>
        </is>
      </c>
      <c r="B4541" s="1" t="n">
        <v>44728</v>
      </c>
      <c r="C4541" s="1" t="n">
        <v>45710</v>
      </c>
      <c r="D4541" t="inlineStr">
        <is>
          <t>ÖSTERGÖTLANDS LÄN</t>
        </is>
      </c>
      <c r="E4541" t="inlineStr">
        <is>
          <t>VALDEMARSVIK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24938-2022</t>
        </is>
      </c>
      <c r="B4542" s="1" t="n">
        <v>44728</v>
      </c>
      <c r="C4542" s="1" t="n">
        <v>45710</v>
      </c>
      <c r="D4542" t="inlineStr">
        <is>
          <t>ÖSTERGÖTLANDS LÄN</t>
        </is>
      </c>
      <c r="E4542" t="inlineStr">
        <is>
          <t>YDRE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24972-2022</t>
        </is>
      </c>
      <c r="B4543" s="1" t="n">
        <v>44728</v>
      </c>
      <c r="C4543" s="1" t="n">
        <v>45710</v>
      </c>
      <c r="D4543" t="inlineStr">
        <is>
          <t>ÖSTERGÖTLANDS LÄN</t>
        </is>
      </c>
      <c r="E4543" t="inlineStr">
        <is>
          <t>VALDEMARSVIK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25168-2022</t>
        </is>
      </c>
      <c r="B4544" s="1" t="n">
        <v>44729</v>
      </c>
      <c r="C4544" s="1" t="n">
        <v>45710</v>
      </c>
      <c r="D4544" t="inlineStr">
        <is>
          <t>ÖSTERGÖTLANDS LÄN</t>
        </is>
      </c>
      <c r="E4544" t="inlineStr">
        <is>
          <t>ÅTVIDABERG</t>
        </is>
      </c>
      <c r="F4544" t="inlineStr">
        <is>
          <t>Sveaskog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25214-2022</t>
        </is>
      </c>
      <c r="B4545" s="1" t="n">
        <v>44729</v>
      </c>
      <c r="C4545" s="1" t="n">
        <v>45710</v>
      </c>
      <c r="D4545" t="inlineStr">
        <is>
          <t>ÖSTERGÖTLANDS LÄN</t>
        </is>
      </c>
      <c r="E4545" t="inlineStr">
        <is>
          <t>FINSPÅNG</t>
        </is>
      </c>
      <c r="G4545" t="n">
        <v>5.4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25188-2022</t>
        </is>
      </c>
      <c r="B4546" s="1" t="n">
        <v>44729</v>
      </c>
      <c r="C4546" s="1" t="n">
        <v>45710</v>
      </c>
      <c r="D4546" t="inlineStr">
        <is>
          <t>ÖSTERGÖTLANDS LÄN</t>
        </is>
      </c>
      <c r="E4546" t="inlineStr">
        <is>
          <t>KINDA</t>
        </is>
      </c>
      <c r="G4546" t="n">
        <v>0.1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25212-2022</t>
        </is>
      </c>
      <c r="B4547" s="1" t="n">
        <v>44729</v>
      </c>
      <c r="C4547" s="1" t="n">
        <v>45710</v>
      </c>
      <c r="D4547" t="inlineStr">
        <is>
          <t>ÖSTERGÖTLANDS LÄN</t>
        </is>
      </c>
      <c r="E4547" t="inlineStr">
        <is>
          <t>FINSPÅNG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25195-2022</t>
        </is>
      </c>
      <c r="B4548" s="1" t="n">
        <v>44729</v>
      </c>
      <c r="C4548" s="1" t="n">
        <v>45710</v>
      </c>
      <c r="D4548" t="inlineStr">
        <is>
          <t>ÖSTERGÖTLANDS LÄN</t>
        </is>
      </c>
      <c r="E4548" t="inlineStr">
        <is>
          <t>FINSPÅNG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25171-2022</t>
        </is>
      </c>
      <c r="B4549" s="1" t="n">
        <v>44729</v>
      </c>
      <c r="C4549" s="1" t="n">
        <v>45710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Sveaskog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25288-2022</t>
        </is>
      </c>
      <c r="B4550" s="1" t="n">
        <v>44730</v>
      </c>
      <c r="C4550" s="1" t="n">
        <v>45710</v>
      </c>
      <c r="D4550" t="inlineStr">
        <is>
          <t>ÖSTERGÖTLANDS LÄN</t>
        </is>
      </c>
      <c r="E4550" t="inlineStr">
        <is>
          <t>NORRKÖPING</t>
        </is>
      </c>
      <c r="F4550" t="inlineStr">
        <is>
          <t>Allmännings- och besparingsskogar</t>
        </is>
      </c>
      <c r="G4550" t="n">
        <v>4.1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25280-2022</t>
        </is>
      </c>
      <c r="B4551" s="1" t="n">
        <v>44730</v>
      </c>
      <c r="C4551" s="1" t="n">
        <v>45710</v>
      </c>
      <c r="D4551" t="inlineStr">
        <is>
          <t>ÖSTERGÖTLANDS LÄN</t>
        </is>
      </c>
      <c r="E4551" t="inlineStr">
        <is>
          <t>NORRKÖPING</t>
        </is>
      </c>
      <c r="F4551" t="inlineStr">
        <is>
          <t>Allmännings- och besparingsskogar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25420-2022</t>
        </is>
      </c>
      <c r="B4552" s="1" t="n">
        <v>44732</v>
      </c>
      <c r="C4552" s="1" t="n">
        <v>45710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Holmen skog AB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25356-2022</t>
        </is>
      </c>
      <c r="B4553" s="1" t="n">
        <v>44732</v>
      </c>
      <c r="C4553" s="1" t="n">
        <v>45710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25551-2022</t>
        </is>
      </c>
      <c r="B4554" s="1" t="n">
        <v>44732</v>
      </c>
      <c r="C4554" s="1" t="n">
        <v>45710</v>
      </c>
      <c r="D4554" t="inlineStr">
        <is>
          <t>ÖSTERGÖTLANDS LÄN</t>
        </is>
      </c>
      <c r="E4554" t="inlineStr">
        <is>
          <t>ÅTVIDABERG</t>
        </is>
      </c>
      <c r="F4554" t="inlineStr">
        <is>
          <t>Övriga Aktiebolag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25626-2022</t>
        </is>
      </c>
      <c r="B4555" s="1" t="n">
        <v>44732</v>
      </c>
      <c r="C4555" s="1" t="n">
        <v>45710</v>
      </c>
      <c r="D4555" t="inlineStr">
        <is>
          <t>ÖSTERGÖTLANDS LÄN</t>
        </is>
      </c>
      <c r="E4555" t="inlineStr">
        <is>
          <t>KINDA</t>
        </is>
      </c>
      <c r="G4555" t="n">
        <v>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25666-2022</t>
        </is>
      </c>
      <c r="B4556" s="1" t="n">
        <v>44733</v>
      </c>
      <c r="C4556" s="1" t="n">
        <v>45710</v>
      </c>
      <c r="D4556" t="inlineStr">
        <is>
          <t>ÖSTERGÖTLANDS LÄN</t>
        </is>
      </c>
      <c r="E4556" t="inlineStr">
        <is>
          <t>ÖDESHÖG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25670-2022</t>
        </is>
      </c>
      <c r="B4557" s="1" t="n">
        <v>44733</v>
      </c>
      <c r="C4557" s="1" t="n">
        <v>45710</v>
      </c>
      <c r="D4557" t="inlineStr">
        <is>
          <t>ÖSTERGÖTLANDS LÄN</t>
        </is>
      </c>
      <c r="E4557" t="inlineStr">
        <is>
          <t>KINDA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25671-2022</t>
        </is>
      </c>
      <c r="B4558" s="1" t="n">
        <v>44733</v>
      </c>
      <c r="C4558" s="1" t="n">
        <v>45710</v>
      </c>
      <c r="D4558" t="inlineStr">
        <is>
          <t>ÖSTERGÖTLANDS LÄN</t>
        </is>
      </c>
      <c r="E4558" t="inlineStr">
        <is>
          <t>KINDA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25965-2022</t>
        </is>
      </c>
      <c r="B4559" s="1" t="n">
        <v>44734</v>
      </c>
      <c r="C4559" s="1" t="n">
        <v>45710</v>
      </c>
      <c r="D4559" t="inlineStr">
        <is>
          <t>ÖSTERGÖTLANDS LÄN</t>
        </is>
      </c>
      <c r="E4559" t="inlineStr">
        <is>
          <t>KINDA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25977-2022</t>
        </is>
      </c>
      <c r="B4560" s="1" t="n">
        <v>44734</v>
      </c>
      <c r="C4560" s="1" t="n">
        <v>45710</v>
      </c>
      <c r="D4560" t="inlineStr">
        <is>
          <t>ÖSTERGÖTLANDS LÄN</t>
        </is>
      </c>
      <c r="E4560" t="inlineStr">
        <is>
          <t>MOTALA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26006-2022</t>
        </is>
      </c>
      <c r="B4561" s="1" t="n">
        <v>44734</v>
      </c>
      <c r="C4561" s="1" t="n">
        <v>45710</v>
      </c>
      <c r="D4561" t="inlineStr">
        <is>
          <t>ÖSTERGÖTLANDS LÄN</t>
        </is>
      </c>
      <c r="E4561" t="inlineStr">
        <is>
          <t>FINSPÅNG</t>
        </is>
      </c>
      <c r="G4561" t="n">
        <v>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26021-2022</t>
        </is>
      </c>
      <c r="B4562" s="1" t="n">
        <v>44734</v>
      </c>
      <c r="C4562" s="1" t="n">
        <v>45710</v>
      </c>
      <c r="D4562" t="inlineStr">
        <is>
          <t>ÖSTERGÖTLANDS LÄN</t>
        </is>
      </c>
      <c r="E4562" t="inlineStr">
        <is>
          <t>KINDA</t>
        </is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26087-2022</t>
        </is>
      </c>
      <c r="B4563" s="1" t="n">
        <v>44734</v>
      </c>
      <c r="C4563" s="1" t="n">
        <v>45710</v>
      </c>
      <c r="D4563" t="inlineStr">
        <is>
          <t>ÖSTERGÖTLANDS LÄN</t>
        </is>
      </c>
      <c r="E4563" t="inlineStr">
        <is>
          <t>FINSPÅNG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26243-2022</t>
        </is>
      </c>
      <c r="B4564" s="1" t="n">
        <v>44735</v>
      </c>
      <c r="C4564" s="1" t="n">
        <v>45710</v>
      </c>
      <c r="D4564" t="inlineStr">
        <is>
          <t>ÖSTERGÖTLANDS LÄN</t>
        </is>
      </c>
      <c r="E4564" t="inlineStr">
        <is>
          <t>FINSPÅNG</t>
        </is>
      </c>
      <c r="G4564" t="n">
        <v>11.9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26247-2022</t>
        </is>
      </c>
      <c r="B4565" s="1" t="n">
        <v>44735</v>
      </c>
      <c r="C4565" s="1" t="n">
        <v>45710</v>
      </c>
      <c r="D4565" t="inlineStr">
        <is>
          <t>ÖSTERGÖTLANDS LÄN</t>
        </is>
      </c>
      <c r="E4565" t="inlineStr">
        <is>
          <t>FINSPÅNG</t>
        </is>
      </c>
      <c r="G4565" t="n">
        <v>10.1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26348-2022</t>
        </is>
      </c>
      <c r="B4566" s="1" t="n">
        <v>44735</v>
      </c>
      <c r="C4566" s="1" t="n">
        <v>45710</v>
      </c>
      <c r="D4566" t="inlineStr">
        <is>
          <t>ÖSTERGÖTLANDS LÄN</t>
        </is>
      </c>
      <c r="E4566" t="inlineStr">
        <is>
          <t>ÅTVIDABERG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26373-2022</t>
        </is>
      </c>
      <c r="B4567" s="1" t="n">
        <v>44735</v>
      </c>
      <c r="C4567" s="1" t="n">
        <v>45710</v>
      </c>
      <c r="D4567" t="inlineStr">
        <is>
          <t>ÖSTERGÖTLANDS LÄN</t>
        </is>
      </c>
      <c r="E4567" t="inlineStr">
        <is>
          <t>ÅTVIDABERG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26432-2022</t>
        </is>
      </c>
      <c r="B4568" s="1" t="n">
        <v>44736</v>
      </c>
      <c r="C4568" s="1" t="n">
        <v>45710</v>
      </c>
      <c r="D4568" t="inlineStr">
        <is>
          <t>ÖSTERGÖTLANDS LÄN</t>
        </is>
      </c>
      <c r="E4568" t="inlineStr">
        <is>
          <t>SÖDERKÖPING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26481-2022</t>
        </is>
      </c>
      <c r="B4569" s="1" t="n">
        <v>44739</v>
      </c>
      <c r="C4569" s="1" t="n">
        <v>45710</v>
      </c>
      <c r="D4569" t="inlineStr">
        <is>
          <t>ÖSTERGÖTLANDS LÄN</t>
        </is>
      </c>
      <c r="E4569" t="inlineStr">
        <is>
          <t>NORRKÖPING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26488-2022</t>
        </is>
      </c>
      <c r="B4570" s="1" t="n">
        <v>44739</v>
      </c>
      <c r="C4570" s="1" t="n">
        <v>45710</v>
      </c>
      <c r="D4570" t="inlineStr">
        <is>
          <t>ÖSTERGÖTLANDS LÄN</t>
        </is>
      </c>
      <c r="E4570" t="inlineStr">
        <is>
          <t>NORRKÖPING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26502-2022</t>
        </is>
      </c>
      <c r="B4571" s="1" t="n">
        <v>44739</v>
      </c>
      <c r="C4571" s="1" t="n">
        <v>45710</v>
      </c>
      <c r="D4571" t="inlineStr">
        <is>
          <t>ÖSTERGÖTLANDS LÄN</t>
        </is>
      </c>
      <c r="E4571" t="inlineStr">
        <is>
          <t>NORRKÖPING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26580-2022</t>
        </is>
      </c>
      <c r="B4572" s="1" t="n">
        <v>44739</v>
      </c>
      <c r="C4572" s="1" t="n">
        <v>45710</v>
      </c>
      <c r="D4572" t="inlineStr">
        <is>
          <t>ÖSTERGÖTLANDS LÄN</t>
        </is>
      </c>
      <c r="E4572" t="inlineStr">
        <is>
          <t>NORRKÖPING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26614-2022</t>
        </is>
      </c>
      <c r="B4573" s="1" t="n">
        <v>44739</v>
      </c>
      <c r="C4573" s="1" t="n">
        <v>45710</v>
      </c>
      <c r="D4573" t="inlineStr">
        <is>
          <t>ÖSTERGÖTLANDS LÄN</t>
        </is>
      </c>
      <c r="E4573" t="inlineStr">
        <is>
          <t>KINDA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26583-2022</t>
        </is>
      </c>
      <c r="B4574" s="1" t="n">
        <v>44739</v>
      </c>
      <c r="C4574" s="1" t="n">
        <v>45710</v>
      </c>
      <c r="D4574" t="inlineStr">
        <is>
          <t>ÖSTERGÖTLANDS LÄN</t>
        </is>
      </c>
      <c r="E4574" t="inlineStr">
        <is>
          <t>NORRKÖPING</t>
        </is>
      </c>
      <c r="G4574" t="n">
        <v>4.2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26585-2022</t>
        </is>
      </c>
      <c r="B4575" s="1" t="n">
        <v>44739</v>
      </c>
      <c r="C4575" s="1" t="n">
        <v>45710</v>
      </c>
      <c r="D4575" t="inlineStr">
        <is>
          <t>ÖSTERGÖTLANDS LÄN</t>
        </is>
      </c>
      <c r="E4575" t="inlineStr">
        <is>
          <t>NORRKÖPING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26604-2022</t>
        </is>
      </c>
      <c r="B4576" s="1" t="n">
        <v>44739</v>
      </c>
      <c r="C4576" s="1" t="n">
        <v>45710</v>
      </c>
      <c r="D4576" t="inlineStr">
        <is>
          <t>ÖSTERGÖTLANDS LÄN</t>
        </is>
      </c>
      <c r="E4576" t="inlineStr">
        <is>
          <t>KINDA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26625-2022</t>
        </is>
      </c>
      <c r="B4577" s="1" t="n">
        <v>44739</v>
      </c>
      <c r="C4577" s="1" t="n">
        <v>45710</v>
      </c>
      <c r="D4577" t="inlineStr">
        <is>
          <t>ÖSTERGÖTLANDS LÄN</t>
        </is>
      </c>
      <c r="E4577" t="inlineStr">
        <is>
          <t>KINDA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26492-2022</t>
        </is>
      </c>
      <c r="B4578" s="1" t="n">
        <v>44739</v>
      </c>
      <c r="C4578" s="1" t="n">
        <v>45710</v>
      </c>
      <c r="D4578" t="inlineStr">
        <is>
          <t>ÖSTERGÖTLANDS LÄN</t>
        </is>
      </c>
      <c r="E4578" t="inlineStr">
        <is>
          <t>NORRKÖPING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26907-2022</t>
        </is>
      </c>
      <c r="B4579" s="1" t="n">
        <v>44740</v>
      </c>
      <c r="C4579" s="1" t="n">
        <v>45710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4.7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26755-2022</t>
        </is>
      </c>
      <c r="B4580" s="1" t="n">
        <v>44740</v>
      </c>
      <c r="C4580" s="1" t="n">
        <v>45710</v>
      </c>
      <c r="D4580" t="inlineStr">
        <is>
          <t>ÖSTERGÖTLANDS LÄN</t>
        </is>
      </c>
      <c r="E4580" t="inlineStr">
        <is>
          <t>MOTALA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26788-2022</t>
        </is>
      </c>
      <c r="B4581" s="1" t="n">
        <v>44740</v>
      </c>
      <c r="C4581" s="1" t="n">
        <v>45710</v>
      </c>
      <c r="D4581" t="inlineStr">
        <is>
          <t>ÖSTERGÖTLANDS LÄN</t>
        </is>
      </c>
      <c r="E4581" t="inlineStr">
        <is>
          <t>LINKÖPING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26793-2022</t>
        </is>
      </c>
      <c r="B4582" s="1" t="n">
        <v>44740</v>
      </c>
      <c r="C4582" s="1" t="n">
        <v>45710</v>
      </c>
      <c r="D4582" t="inlineStr">
        <is>
          <t>ÖSTERGÖTLANDS LÄN</t>
        </is>
      </c>
      <c r="E4582" t="inlineStr">
        <is>
          <t>BOXHOLM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26929-2022</t>
        </is>
      </c>
      <c r="B4583" s="1" t="n">
        <v>44740</v>
      </c>
      <c r="C4583" s="1" t="n">
        <v>45710</v>
      </c>
      <c r="D4583" t="inlineStr">
        <is>
          <t>ÖSTERGÖTLANDS LÄN</t>
        </is>
      </c>
      <c r="E4583" t="inlineStr">
        <is>
          <t>NORRKÖPING</t>
        </is>
      </c>
      <c r="G4583" t="n">
        <v>4.5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27214-2022</t>
        </is>
      </c>
      <c r="B4584" s="1" t="n">
        <v>44741</v>
      </c>
      <c r="C4584" s="1" t="n">
        <v>45710</v>
      </c>
      <c r="D4584" t="inlineStr">
        <is>
          <t>ÖSTERGÖTLANDS LÄN</t>
        </is>
      </c>
      <c r="E4584" t="inlineStr">
        <is>
          <t>MOTALA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27155-2022</t>
        </is>
      </c>
      <c r="B4585" s="1" t="n">
        <v>44741</v>
      </c>
      <c r="C4585" s="1" t="n">
        <v>45710</v>
      </c>
      <c r="D4585" t="inlineStr">
        <is>
          <t>ÖSTERGÖTLANDS LÄN</t>
        </is>
      </c>
      <c r="E4585" t="inlineStr">
        <is>
          <t>FINSPÅNG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27162-2022</t>
        </is>
      </c>
      <c r="B4586" s="1" t="n">
        <v>44741</v>
      </c>
      <c r="C4586" s="1" t="n">
        <v>45710</v>
      </c>
      <c r="D4586" t="inlineStr">
        <is>
          <t>ÖSTERGÖTLANDS LÄN</t>
        </is>
      </c>
      <c r="E4586" t="inlineStr">
        <is>
          <t>FINSPÅNG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27040-2022</t>
        </is>
      </c>
      <c r="B4587" s="1" t="n">
        <v>44741</v>
      </c>
      <c r="C4587" s="1" t="n">
        <v>45710</v>
      </c>
      <c r="D4587" t="inlineStr">
        <is>
          <t>ÖSTERGÖTLANDS LÄN</t>
        </is>
      </c>
      <c r="E4587" t="inlineStr">
        <is>
          <t>NORRKÖPING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27170-2022</t>
        </is>
      </c>
      <c r="B4588" s="1" t="n">
        <v>44741</v>
      </c>
      <c r="C4588" s="1" t="n">
        <v>45710</v>
      </c>
      <c r="D4588" t="inlineStr">
        <is>
          <t>ÖSTERGÖTLANDS LÄN</t>
        </is>
      </c>
      <c r="E4588" t="inlineStr">
        <is>
          <t>ÅTVIDABERG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27179-2022</t>
        </is>
      </c>
      <c r="B4589" s="1" t="n">
        <v>44741</v>
      </c>
      <c r="C4589" s="1" t="n">
        <v>45710</v>
      </c>
      <c r="D4589" t="inlineStr">
        <is>
          <t>ÖSTERGÖTLANDS LÄN</t>
        </is>
      </c>
      <c r="E4589" t="inlineStr">
        <is>
          <t>NORRKÖPING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27264-2022</t>
        </is>
      </c>
      <c r="B4590" s="1" t="n">
        <v>44741</v>
      </c>
      <c r="C4590" s="1" t="n">
        <v>45710</v>
      </c>
      <c r="D4590" t="inlineStr">
        <is>
          <t>ÖSTERGÖTLANDS LÄN</t>
        </is>
      </c>
      <c r="E4590" t="inlineStr">
        <is>
          <t>FINSPÅNG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27417-2022</t>
        </is>
      </c>
      <c r="B4591" s="1" t="n">
        <v>44742</v>
      </c>
      <c r="C4591" s="1" t="n">
        <v>45710</v>
      </c>
      <c r="D4591" t="inlineStr">
        <is>
          <t>ÖSTERGÖTLANDS LÄN</t>
        </is>
      </c>
      <c r="E4591" t="inlineStr">
        <is>
          <t>ÅTVIDABERG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27416-2022</t>
        </is>
      </c>
      <c r="B4592" s="1" t="n">
        <v>44742</v>
      </c>
      <c r="C4592" s="1" t="n">
        <v>45710</v>
      </c>
      <c r="D4592" t="inlineStr">
        <is>
          <t>ÖSTERGÖTLANDS LÄN</t>
        </is>
      </c>
      <c r="E4592" t="inlineStr">
        <is>
          <t>MOTALA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27469-2022</t>
        </is>
      </c>
      <c r="B4593" s="1" t="n">
        <v>44742</v>
      </c>
      <c r="C4593" s="1" t="n">
        <v>45710</v>
      </c>
      <c r="D4593" t="inlineStr">
        <is>
          <t>ÖSTERGÖTLANDS LÄN</t>
        </is>
      </c>
      <c r="E4593" t="inlineStr">
        <is>
          <t>FINSPÅNG</t>
        </is>
      </c>
      <c r="F4593" t="inlineStr">
        <is>
          <t>Holmen skog AB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27376-2022</t>
        </is>
      </c>
      <c r="B4594" s="1" t="n">
        <v>44742</v>
      </c>
      <c r="C4594" s="1" t="n">
        <v>45710</v>
      </c>
      <c r="D4594" t="inlineStr">
        <is>
          <t>ÖSTERGÖTLANDS LÄN</t>
        </is>
      </c>
      <c r="E4594" t="inlineStr">
        <is>
          <t>KINDA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27415-2022</t>
        </is>
      </c>
      <c r="B4595" s="1" t="n">
        <v>44742</v>
      </c>
      <c r="C4595" s="1" t="n">
        <v>45710</v>
      </c>
      <c r="D4595" t="inlineStr">
        <is>
          <t>ÖSTERGÖTLANDS LÄN</t>
        </is>
      </c>
      <c r="E4595" t="inlineStr">
        <is>
          <t>ÅTVIDABERG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27418-2022</t>
        </is>
      </c>
      <c r="B4596" s="1" t="n">
        <v>44742</v>
      </c>
      <c r="C4596" s="1" t="n">
        <v>45710</v>
      </c>
      <c r="D4596" t="inlineStr">
        <is>
          <t>ÖSTERGÖTLANDS LÄN</t>
        </is>
      </c>
      <c r="E4596" t="inlineStr">
        <is>
          <t>MOTALA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27493-2022</t>
        </is>
      </c>
      <c r="B4597" s="1" t="n">
        <v>44742</v>
      </c>
      <c r="C4597" s="1" t="n">
        <v>45710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27503-2022</t>
        </is>
      </c>
      <c r="B4598" s="1" t="n">
        <v>44742</v>
      </c>
      <c r="C4598" s="1" t="n">
        <v>45710</v>
      </c>
      <c r="D4598" t="inlineStr">
        <is>
          <t>ÖSTERGÖTLANDS LÄN</t>
        </is>
      </c>
      <c r="E4598" t="inlineStr">
        <is>
          <t>NORRKÖPING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27751-2022</t>
        </is>
      </c>
      <c r="B4599" s="1" t="n">
        <v>44743</v>
      </c>
      <c r="C4599" s="1" t="n">
        <v>45710</v>
      </c>
      <c r="D4599" t="inlineStr">
        <is>
          <t>ÖSTERGÖTLANDS LÄN</t>
        </is>
      </c>
      <c r="E4599" t="inlineStr">
        <is>
          <t>MJÖLBY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27769-2022</t>
        </is>
      </c>
      <c r="B4600" s="1" t="n">
        <v>44743</v>
      </c>
      <c r="C4600" s="1" t="n">
        <v>45710</v>
      </c>
      <c r="D4600" t="inlineStr">
        <is>
          <t>ÖSTERGÖTLANDS LÄN</t>
        </is>
      </c>
      <c r="E4600" t="inlineStr">
        <is>
          <t>LINKÖPING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27657-2022</t>
        </is>
      </c>
      <c r="B4601" s="1" t="n">
        <v>44743</v>
      </c>
      <c r="C4601" s="1" t="n">
        <v>45710</v>
      </c>
      <c r="D4601" t="inlineStr">
        <is>
          <t>ÖSTERGÖTLANDS LÄN</t>
        </is>
      </c>
      <c r="E4601" t="inlineStr">
        <is>
          <t>FINSPÅNG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27666-2022</t>
        </is>
      </c>
      <c r="B4602" s="1" t="n">
        <v>44743</v>
      </c>
      <c r="C4602" s="1" t="n">
        <v>45710</v>
      </c>
      <c r="D4602" t="inlineStr">
        <is>
          <t>ÖSTERGÖTLANDS LÄN</t>
        </is>
      </c>
      <c r="E4602" t="inlineStr">
        <is>
          <t>LINKÖPING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27735-2022</t>
        </is>
      </c>
      <c r="B4603" s="1" t="n">
        <v>44743</v>
      </c>
      <c r="C4603" s="1" t="n">
        <v>45710</v>
      </c>
      <c r="D4603" t="inlineStr">
        <is>
          <t>ÖSTERGÖTLANDS LÄN</t>
        </is>
      </c>
      <c r="E4603" t="inlineStr">
        <is>
          <t>LINKÖPING</t>
        </is>
      </c>
      <c r="G4603" t="n">
        <v>3.5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27774-2022</t>
        </is>
      </c>
      <c r="B4604" s="1" t="n">
        <v>44743</v>
      </c>
      <c r="C4604" s="1" t="n">
        <v>45710</v>
      </c>
      <c r="D4604" t="inlineStr">
        <is>
          <t>ÖSTERGÖTLANDS LÄN</t>
        </is>
      </c>
      <c r="E4604" t="inlineStr">
        <is>
          <t>KINDA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27648-2022</t>
        </is>
      </c>
      <c r="B4605" s="1" t="n">
        <v>44743</v>
      </c>
      <c r="C4605" s="1" t="n">
        <v>45710</v>
      </c>
      <c r="D4605" t="inlineStr">
        <is>
          <t>ÖSTERGÖTLANDS LÄN</t>
        </is>
      </c>
      <c r="E4605" t="inlineStr">
        <is>
          <t>ÖDESHÖG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27737-2022</t>
        </is>
      </c>
      <c r="B4606" s="1" t="n">
        <v>44743</v>
      </c>
      <c r="C4606" s="1" t="n">
        <v>45710</v>
      </c>
      <c r="D4606" t="inlineStr">
        <is>
          <t>ÖSTERGÖTLANDS LÄN</t>
        </is>
      </c>
      <c r="E4606" t="inlineStr">
        <is>
          <t>YDRE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27744-2022</t>
        </is>
      </c>
      <c r="B4607" s="1" t="n">
        <v>44743</v>
      </c>
      <c r="C4607" s="1" t="n">
        <v>45710</v>
      </c>
      <c r="D4607" t="inlineStr">
        <is>
          <t>ÖSTERGÖTLANDS LÄN</t>
        </is>
      </c>
      <c r="E4607" t="inlineStr">
        <is>
          <t>YDRE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27766-2022</t>
        </is>
      </c>
      <c r="B4608" s="1" t="n">
        <v>44743</v>
      </c>
      <c r="C4608" s="1" t="n">
        <v>45710</v>
      </c>
      <c r="D4608" t="inlineStr">
        <is>
          <t>ÖSTERGÖTLANDS LÄN</t>
        </is>
      </c>
      <c r="E4608" t="inlineStr">
        <is>
          <t>LINKÖPING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27770-2022</t>
        </is>
      </c>
      <c r="B4609" s="1" t="n">
        <v>44743</v>
      </c>
      <c r="C4609" s="1" t="n">
        <v>45710</v>
      </c>
      <c r="D4609" t="inlineStr">
        <is>
          <t>ÖSTERGÖTLANDS LÄN</t>
        </is>
      </c>
      <c r="E4609" t="inlineStr">
        <is>
          <t>KINDA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27745-2022</t>
        </is>
      </c>
      <c r="B4610" s="1" t="n">
        <v>44743</v>
      </c>
      <c r="C4610" s="1" t="n">
        <v>45710</v>
      </c>
      <c r="D4610" t="inlineStr">
        <is>
          <t>ÖSTERGÖTLANDS LÄN</t>
        </is>
      </c>
      <c r="E4610" t="inlineStr">
        <is>
          <t>MJÖLBY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27977-2022</t>
        </is>
      </c>
      <c r="B4611" s="1" t="n">
        <v>44745</v>
      </c>
      <c r="C4611" s="1" t="n">
        <v>45710</v>
      </c>
      <c r="D4611" t="inlineStr">
        <is>
          <t>ÖSTERGÖTLANDS LÄN</t>
        </is>
      </c>
      <c r="E4611" t="inlineStr">
        <is>
          <t>ÅTVIDABERG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27978-2022</t>
        </is>
      </c>
      <c r="B4612" s="1" t="n">
        <v>44745</v>
      </c>
      <c r="C4612" s="1" t="n">
        <v>45710</v>
      </c>
      <c r="D4612" t="inlineStr">
        <is>
          <t>ÖSTERGÖTLANDS LÄN</t>
        </is>
      </c>
      <c r="E4612" t="inlineStr">
        <is>
          <t>ÅTVIDABERG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28076-2022</t>
        </is>
      </c>
      <c r="B4613" s="1" t="n">
        <v>44746</v>
      </c>
      <c r="C4613" s="1" t="n">
        <v>45710</v>
      </c>
      <c r="D4613" t="inlineStr">
        <is>
          <t>ÖSTERGÖTLANDS LÄN</t>
        </is>
      </c>
      <c r="E4613" t="inlineStr">
        <is>
          <t>NORRKÖPING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28062-2022</t>
        </is>
      </c>
      <c r="B4614" s="1" t="n">
        <v>44746</v>
      </c>
      <c r="C4614" s="1" t="n">
        <v>45710</v>
      </c>
      <c r="D4614" t="inlineStr">
        <is>
          <t>ÖSTERGÖTLANDS LÄN</t>
        </is>
      </c>
      <c r="E4614" t="inlineStr">
        <is>
          <t>NORRKÖPING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28072-2022</t>
        </is>
      </c>
      <c r="B4615" s="1" t="n">
        <v>44746</v>
      </c>
      <c r="C4615" s="1" t="n">
        <v>45710</v>
      </c>
      <c r="D4615" t="inlineStr">
        <is>
          <t>ÖSTERGÖTLANDS LÄN</t>
        </is>
      </c>
      <c r="E4615" t="inlineStr">
        <is>
          <t>NORRKÖPING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28309-2022</t>
        </is>
      </c>
      <c r="B4616" s="1" t="n">
        <v>44747</v>
      </c>
      <c r="C4616" s="1" t="n">
        <v>45710</v>
      </c>
      <c r="D4616" t="inlineStr">
        <is>
          <t>ÖSTERGÖTLANDS LÄN</t>
        </is>
      </c>
      <c r="E4616" t="inlineStr">
        <is>
          <t>BOXHOLM</t>
        </is>
      </c>
      <c r="F4616" t="inlineStr">
        <is>
          <t>Övriga Aktiebolag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28395-2022</t>
        </is>
      </c>
      <c r="B4617" s="1" t="n">
        <v>44747</v>
      </c>
      <c r="C4617" s="1" t="n">
        <v>45710</v>
      </c>
      <c r="D4617" t="inlineStr">
        <is>
          <t>ÖSTERGÖTLANDS LÄN</t>
        </is>
      </c>
      <c r="E4617" t="inlineStr">
        <is>
          <t>MOTALA</t>
        </is>
      </c>
      <c r="G4617" t="n">
        <v>8.300000000000001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28315-2022</t>
        </is>
      </c>
      <c r="B4618" s="1" t="n">
        <v>44747</v>
      </c>
      <c r="C4618" s="1" t="n">
        <v>45710</v>
      </c>
      <c r="D4618" t="inlineStr">
        <is>
          <t>ÖSTERGÖTLANDS LÄN</t>
        </is>
      </c>
      <c r="E4618" t="inlineStr">
        <is>
          <t>BOXHOLM</t>
        </is>
      </c>
      <c r="F4618" t="inlineStr">
        <is>
          <t>Övriga Aktiebolag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28634-2022</t>
        </is>
      </c>
      <c r="B4619" s="1" t="n">
        <v>44748</v>
      </c>
      <c r="C4619" s="1" t="n">
        <v>45710</v>
      </c>
      <c r="D4619" t="inlineStr">
        <is>
          <t>ÖSTERGÖTLANDS LÄN</t>
        </is>
      </c>
      <c r="E4619" t="inlineStr">
        <is>
          <t>LINKÖPING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28686-2022</t>
        </is>
      </c>
      <c r="B4620" s="1" t="n">
        <v>44748</v>
      </c>
      <c r="C4620" s="1" t="n">
        <v>45710</v>
      </c>
      <c r="D4620" t="inlineStr">
        <is>
          <t>ÖSTERGÖTLANDS LÄN</t>
        </is>
      </c>
      <c r="E4620" t="inlineStr">
        <is>
          <t>MOTALA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28681-2022</t>
        </is>
      </c>
      <c r="B4621" s="1" t="n">
        <v>44748</v>
      </c>
      <c r="C4621" s="1" t="n">
        <v>45710</v>
      </c>
      <c r="D4621" t="inlineStr">
        <is>
          <t>ÖSTERGÖTLANDS LÄN</t>
        </is>
      </c>
      <c r="E4621" t="inlineStr">
        <is>
          <t>MOTALA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29011-2022</t>
        </is>
      </c>
      <c r="B4622" s="1" t="n">
        <v>44749</v>
      </c>
      <c r="C4622" s="1" t="n">
        <v>45710</v>
      </c>
      <c r="D4622" t="inlineStr">
        <is>
          <t>ÖSTERGÖTLANDS LÄN</t>
        </is>
      </c>
      <c r="E4622" t="inlineStr">
        <is>
          <t>VALDEMARSVIK</t>
        </is>
      </c>
      <c r="G4622" t="n">
        <v>7.2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28902-2022</t>
        </is>
      </c>
      <c r="B4623" s="1" t="n">
        <v>44749</v>
      </c>
      <c r="C4623" s="1" t="n">
        <v>45710</v>
      </c>
      <c r="D4623" t="inlineStr">
        <is>
          <t>ÖSTERGÖTLANDS LÄN</t>
        </is>
      </c>
      <c r="E4623" t="inlineStr">
        <is>
          <t>MOTALA</t>
        </is>
      </c>
      <c r="G4623" t="n">
        <v>3.4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28997-2022</t>
        </is>
      </c>
      <c r="B4624" s="1" t="n">
        <v>44749</v>
      </c>
      <c r="C4624" s="1" t="n">
        <v>45710</v>
      </c>
      <c r="D4624" t="inlineStr">
        <is>
          <t>ÖSTERGÖTLANDS LÄN</t>
        </is>
      </c>
      <c r="E4624" t="inlineStr">
        <is>
          <t>VALDEMARSVIK</t>
        </is>
      </c>
      <c r="G4624" t="n">
        <v>6.6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29008-2022</t>
        </is>
      </c>
      <c r="B4625" s="1" t="n">
        <v>44749</v>
      </c>
      <c r="C4625" s="1" t="n">
        <v>45710</v>
      </c>
      <c r="D4625" t="inlineStr">
        <is>
          <t>ÖSTERGÖTLANDS LÄN</t>
        </is>
      </c>
      <c r="E4625" t="inlineStr">
        <is>
          <t>VALDEMARSVIK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29078-2022</t>
        </is>
      </c>
      <c r="B4626" s="1" t="n">
        <v>44749</v>
      </c>
      <c r="C4626" s="1" t="n">
        <v>45710</v>
      </c>
      <c r="D4626" t="inlineStr">
        <is>
          <t>ÖSTERGÖTLANDS LÄN</t>
        </is>
      </c>
      <c r="E4626" t="inlineStr">
        <is>
          <t>FINSPÅNG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28991-2022</t>
        </is>
      </c>
      <c r="B4627" s="1" t="n">
        <v>44749</v>
      </c>
      <c r="C4627" s="1" t="n">
        <v>45710</v>
      </c>
      <c r="D4627" t="inlineStr">
        <is>
          <t>ÖSTERGÖTLANDS LÄN</t>
        </is>
      </c>
      <c r="E4627" t="inlineStr">
        <is>
          <t>YDRE</t>
        </is>
      </c>
      <c r="G4627" t="n">
        <v>5.6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29254-2022</t>
        </is>
      </c>
      <c r="B4628" s="1" t="n">
        <v>44750</v>
      </c>
      <c r="C4628" s="1" t="n">
        <v>45710</v>
      </c>
      <c r="D4628" t="inlineStr">
        <is>
          <t>ÖSTERGÖTLANDS LÄN</t>
        </is>
      </c>
      <c r="E4628" t="inlineStr">
        <is>
          <t>LINKÖPING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29269-2022</t>
        </is>
      </c>
      <c r="B4629" s="1" t="n">
        <v>44750</v>
      </c>
      <c r="C4629" s="1" t="n">
        <v>45710</v>
      </c>
      <c r="D4629" t="inlineStr">
        <is>
          <t>ÖSTERGÖTLANDS LÄN</t>
        </is>
      </c>
      <c r="E4629" t="inlineStr">
        <is>
          <t>ÖDESHÖG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29077-2022</t>
        </is>
      </c>
      <c r="B4630" s="1" t="n">
        <v>44750</v>
      </c>
      <c r="C4630" s="1" t="n">
        <v>45710</v>
      </c>
      <c r="D4630" t="inlineStr">
        <is>
          <t>ÖSTERGÖTLANDS LÄN</t>
        </is>
      </c>
      <c r="E4630" t="inlineStr">
        <is>
          <t>MOTALA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29179-2022</t>
        </is>
      </c>
      <c r="B4631" s="1" t="n">
        <v>44750</v>
      </c>
      <c r="C4631" s="1" t="n">
        <v>45710</v>
      </c>
      <c r="D4631" t="inlineStr">
        <is>
          <t>ÖSTERGÖTLANDS LÄN</t>
        </is>
      </c>
      <c r="E4631" t="inlineStr">
        <is>
          <t>BOXHOLM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29424-2022</t>
        </is>
      </c>
      <c r="B4632" s="1" t="n">
        <v>44753</v>
      </c>
      <c r="C4632" s="1" t="n">
        <v>45710</v>
      </c>
      <c r="D4632" t="inlineStr">
        <is>
          <t>ÖSTERGÖTLANDS LÄN</t>
        </is>
      </c>
      <c r="E4632" t="inlineStr">
        <is>
          <t>VALDEMARSVIK</t>
        </is>
      </c>
      <c r="G4632" t="n">
        <v>5.4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29472-2022</t>
        </is>
      </c>
      <c r="B4633" s="1" t="n">
        <v>44753</v>
      </c>
      <c r="C4633" s="1" t="n">
        <v>45710</v>
      </c>
      <c r="D4633" t="inlineStr">
        <is>
          <t>ÖSTERGÖTLANDS LÄN</t>
        </is>
      </c>
      <c r="E4633" t="inlineStr">
        <is>
          <t>FINSPÅNG</t>
        </is>
      </c>
      <c r="G4633" t="n">
        <v>8.300000000000001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29470-2022</t>
        </is>
      </c>
      <c r="B4634" s="1" t="n">
        <v>44753</v>
      </c>
      <c r="C4634" s="1" t="n">
        <v>45710</v>
      </c>
      <c r="D4634" t="inlineStr">
        <is>
          <t>ÖSTERGÖTLANDS LÄN</t>
        </is>
      </c>
      <c r="E4634" t="inlineStr">
        <is>
          <t>LINKÖPING</t>
        </is>
      </c>
      <c r="F4634" t="inlineStr">
        <is>
          <t>Sveaskog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29374-2022</t>
        </is>
      </c>
      <c r="B4635" s="1" t="n">
        <v>44753</v>
      </c>
      <c r="C4635" s="1" t="n">
        <v>45710</v>
      </c>
      <c r="D4635" t="inlineStr">
        <is>
          <t>ÖSTERGÖTLANDS LÄN</t>
        </is>
      </c>
      <c r="E4635" t="inlineStr">
        <is>
          <t>SÖDERKÖPING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29633-2022</t>
        </is>
      </c>
      <c r="B4636" s="1" t="n">
        <v>44754</v>
      </c>
      <c r="C4636" s="1" t="n">
        <v>45710</v>
      </c>
      <c r="D4636" t="inlineStr">
        <is>
          <t>ÖSTERGÖTLANDS LÄN</t>
        </is>
      </c>
      <c r="E4636" t="inlineStr">
        <is>
          <t>FINSPÅNG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29656-2022</t>
        </is>
      </c>
      <c r="B4637" s="1" t="n">
        <v>44754</v>
      </c>
      <c r="C4637" s="1" t="n">
        <v>45710</v>
      </c>
      <c r="D4637" t="inlineStr">
        <is>
          <t>ÖSTERGÖTLANDS LÄN</t>
        </is>
      </c>
      <c r="E4637" t="inlineStr">
        <is>
          <t>FINSPÅNG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29622-2022</t>
        </is>
      </c>
      <c r="B4638" s="1" t="n">
        <v>44754</v>
      </c>
      <c r="C4638" s="1" t="n">
        <v>45710</v>
      </c>
      <c r="D4638" t="inlineStr">
        <is>
          <t>ÖSTERGÖTLANDS LÄN</t>
        </is>
      </c>
      <c r="E4638" t="inlineStr">
        <is>
          <t>NORRKÖPING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29630-2022</t>
        </is>
      </c>
      <c r="B4639" s="1" t="n">
        <v>44754</v>
      </c>
      <c r="C4639" s="1" t="n">
        <v>45710</v>
      </c>
      <c r="D4639" t="inlineStr">
        <is>
          <t>ÖSTERGÖTLANDS LÄN</t>
        </is>
      </c>
      <c r="E4639" t="inlineStr">
        <is>
          <t>FINSPÅNG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29660-2022</t>
        </is>
      </c>
      <c r="B4640" s="1" t="n">
        <v>44754</v>
      </c>
      <c r="C4640" s="1" t="n">
        <v>45710</v>
      </c>
      <c r="D4640" t="inlineStr">
        <is>
          <t>ÖSTERGÖTLANDS LÄN</t>
        </is>
      </c>
      <c r="E4640" t="inlineStr">
        <is>
          <t>SÖDERKÖPING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29726-2022</t>
        </is>
      </c>
      <c r="B4641" s="1" t="n">
        <v>44755</v>
      </c>
      <c r="C4641" s="1" t="n">
        <v>45710</v>
      </c>
      <c r="D4641" t="inlineStr">
        <is>
          <t>ÖSTERGÖTLANDS LÄN</t>
        </is>
      </c>
      <c r="E4641" t="inlineStr">
        <is>
          <t>KINDA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29743-2022</t>
        </is>
      </c>
      <c r="B4642" s="1" t="n">
        <v>44755</v>
      </c>
      <c r="C4642" s="1" t="n">
        <v>45710</v>
      </c>
      <c r="D4642" t="inlineStr">
        <is>
          <t>ÖSTERGÖTLANDS LÄN</t>
        </is>
      </c>
      <c r="E4642" t="inlineStr">
        <is>
          <t>MOTALA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29798-2022</t>
        </is>
      </c>
      <c r="B4643" s="1" t="n">
        <v>44755</v>
      </c>
      <c r="C4643" s="1" t="n">
        <v>45710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29967-2022</t>
        </is>
      </c>
      <c r="B4644" s="1" t="n">
        <v>44756</v>
      </c>
      <c r="C4644" s="1" t="n">
        <v>45710</v>
      </c>
      <c r="D4644" t="inlineStr">
        <is>
          <t>ÖSTERGÖTLANDS LÄN</t>
        </is>
      </c>
      <c r="E4644" t="inlineStr">
        <is>
          <t>ÖDESHÖG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30056-2022</t>
        </is>
      </c>
      <c r="B4645" s="1" t="n">
        <v>44756</v>
      </c>
      <c r="C4645" s="1" t="n">
        <v>45710</v>
      </c>
      <c r="D4645" t="inlineStr">
        <is>
          <t>ÖSTERGÖTLANDS LÄN</t>
        </is>
      </c>
      <c r="E4645" t="inlineStr">
        <is>
          <t>NORRKÖPING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30271-2022</t>
        </is>
      </c>
      <c r="B4646" s="1" t="n">
        <v>44759</v>
      </c>
      <c r="C4646" s="1" t="n">
        <v>45710</v>
      </c>
      <c r="D4646" t="inlineStr">
        <is>
          <t>ÖSTERGÖTLANDS LÄN</t>
        </is>
      </c>
      <c r="E4646" t="inlineStr">
        <is>
          <t>FINSPÅNG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30321-2022</t>
        </is>
      </c>
      <c r="B4647" s="1" t="n">
        <v>44760</v>
      </c>
      <c r="C4647" s="1" t="n">
        <v>45710</v>
      </c>
      <c r="D4647" t="inlineStr">
        <is>
          <t>ÖSTERGÖTLANDS LÄN</t>
        </is>
      </c>
      <c r="E4647" t="inlineStr">
        <is>
          <t>ÅTVIDABERG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30438-2022</t>
        </is>
      </c>
      <c r="B4648" s="1" t="n">
        <v>44761</v>
      </c>
      <c r="C4648" s="1" t="n">
        <v>45710</v>
      </c>
      <c r="D4648" t="inlineStr">
        <is>
          <t>ÖSTERGÖTLANDS LÄN</t>
        </is>
      </c>
      <c r="E4648" t="inlineStr">
        <is>
          <t>SÖDERKÖPING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30733-2022</t>
        </is>
      </c>
      <c r="B4649" s="1" t="n">
        <v>44764</v>
      </c>
      <c r="C4649" s="1" t="n">
        <v>45710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30801-2022</t>
        </is>
      </c>
      <c r="B4650" s="1" t="n">
        <v>44764</v>
      </c>
      <c r="C4650" s="1" t="n">
        <v>45710</v>
      </c>
      <c r="D4650" t="inlineStr">
        <is>
          <t>ÖSTERGÖTLANDS LÄN</t>
        </is>
      </c>
      <c r="E4650" t="inlineStr">
        <is>
          <t>LINKÖPING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30800-2022</t>
        </is>
      </c>
      <c r="B4651" s="1" t="n">
        <v>44764</v>
      </c>
      <c r="C4651" s="1" t="n">
        <v>45710</v>
      </c>
      <c r="D4651" t="inlineStr">
        <is>
          <t>ÖSTERGÖTLANDS LÄN</t>
        </is>
      </c>
      <c r="E4651" t="inlineStr">
        <is>
          <t>LINKÖPING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30834-2022</t>
        </is>
      </c>
      <c r="B4652" s="1" t="n">
        <v>44767</v>
      </c>
      <c r="C4652" s="1" t="n">
        <v>45710</v>
      </c>
      <c r="D4652" t="inlineStr">
        <is>
          <t>ÖSTERGÖTLANDS LÄN</t>
        </is>
      </c>
      <c r="E4652" t="inlineStr">
        <is>
          <t>NORRKÖPING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30856-2022</t>
        </is>
      </c>
      <c r="B4653" s="1" t="n">
        <v>44767</v>
      </c>
      <c r="C4653" s="1" t="n">
        <v>45710</v>
      </c>
      <c r="D4653" t="inlineStr">
        <is>
          <t>ÖSTERGÖTLANDS LÄN</t>
        </is>
      </c>
      <c r="E4653" t="inlineStr">
        <is>
          <t>LINKÖPING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30860-2022</t>
        </is>
      </c>
      <c r="B4654" s="1" t="n">
        <v>44767</v>
      </c>
      <c r="C4654" s="1" t="n">
        <v>45710</v>
      </c>
      <c r="D4654" t="inlineStr">
        <is>
          <t>ÖSTERGÖTLANDS LÄN</t>
        </is>
      </c>
      <c r="E4654" t="inlineStr">
        <is>
          <t>LINKÖPING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30858-2022</t>
        </is>
      </c>
      <c r="B4655" s="1" t="n">
        <v>44767</v>
      </c>
      <c r="C4655" s="1" t="n">
        <v>45710</v>
      </c>
      <c r="D4655" t="inlineStr">
        <is>
          <t>ÖSTERGÖTLANDS LÄN</t>
        </is>
      </c>
      <c r="E4655" t="inlineStr">
        <is>
          <t>LINKÖPING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30921-2022</t>
        </is>
      </c>
      <c r="B4656" s="1" t="n">
        <v>44767</v>
      </c>
      <c r="C4656" s="1" t="n">
        <v>45710</v>
      </c>
      <c r="D4656" t="inlineStr">
        <is>
          <t>ÖSTERGÖTLANDS LÄN</t>
        </is>
      </c>
      <c r="E4656" t="inlineStr">
        <is>
          <t>FINSPÅNG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30855-2022</t>
        </is>
      </c>
      <c r="B4657" s="1" t="n">
        <v>44767</v>
      </c>
      <c r="C4657" s="1" t="n">
        <v>45710</v>
      </c>
      <c r="D4657" t="inlineStr">
        <is>
          <t>ÖSTERGÖTLANDS LÄN</t>
        </is>
      </c>
      <c r="E4657" t="inlineStr">
        <is>
          <t>LINKÖPING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30891-2022</t>
        </is>
      </c>
      <c r="B4658" s="1" t="n">
        <v>44767</v>
      </c>
      <c r="C4658" s="1" t="n">
        <v>45710</v>
      </c>
      <c r="D4658" t="inlineStr">
        <is>
          <t>ÖSTERGÖTLANDS LÄN</t>
        </is>
      </c>
      <c r="E4658" t="inlineStr">
        <is>
          <t>ÅTVIDABERG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30920-2022</t>
        </is>
      </c>
      <c r="B4659" s="1" t="n">
        <v>44767</v>
      </c>
      <c r="C4659" s="1" t="n">
        <v>45710</v>
      </c>
      <c r="D4659" t="inlineStr">
        <is>
          <t>ÖSTERGÖTLANDS LÄN</t>
        </is>
      </c>
      <c r="E4659" t="inlineStr">
        <is>
          <t>FINSPÅNG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30899-2022</t>
        </is>
      </c>
      <c r="B4660" s="1" t="n">
        <v>44767</v>
      </c>
      <c r="C4660" s="1" t="n">
        <v>45710</v>
      </c>
      <c r="D4660" t="inlineStr">
        <is>
          <t>ÖSTERGÖTLANDS LÄN</t>
        </is>
      </c>
      <c r="E4660" t="inlineStr">
        <is>
          <t>ÅTVIDABERG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30895-2022</t>
        </is>
      </c>
      <c r="B4661" s="1" t="n">
        <v>44767</v>
      </c>
      <c r="C4661" s="1" t="n">
        <v>45710</v>
      </c>
      <c r="D4661" t="inlineStr">
        <is>
          <t>ÖSTERGÖTLANDS LÄN</t>
        </is>
      </c>
      <c r="E4661" t="inlineStr">
        <is>
          <t>ÅTVIDABERG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30922-2022</t>
        </is>
      </c>
      <c r="B4662" s="1" t="n">
        <v>44767</v>
      </c>
      <c r="C4662" s="1" t="n">
        <v>45710</v>
      </c>
      <c r="D4662" t="inlineStr">
        <is>
          <t>ÖSTERGÖTLANDS LÄN</t>
        </is>
      </c>
      <c r="E4662" t="inlineStr">
        <is>
          <t>FINSPÅNG</t>
        </is>
      </c>
      <c r="G4662" t="n">
        <v>10.6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30970-2022</t>
        </is>
      </c>
      <c r="B4663" s="1" t="n">
        <v>44768</v>
      </c>
      <c r="C4663" s="1" t="n">
        <v>45710</v>
      </c>
      <c r="D4663" t="inlineStr">
        <is>
          <t>ÖSTERGÖTLANDS LÄN</t>
        </is>
      </c>
      <c r="E4663" t="inlineStr">
        <is>
          <t>ÅTVIDABERG</t>
        </is>
      </c>
      <c r="F4663" t="inlineStr">
        <is>
          <t>Övriga statliga verk och myndigheter</t>
        </is>
      </c>
      <c r="G4663" t="n">
        <v>7.2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30980-2022</t>
        </is>
      </c>
      <c r="B4664" s="1" t="n">
        <v>44768</v>
      </c>
      <c r="C4664" s="1" t="n">
        <v>45710</v>
      </c>
      <c r="D4664" t="inlineStr">
        <is>
          <t>ÖSTERGÖTLANDS LÄN</t>
        </is>
      </c>
      <c r="E4664" t="inlineStr">
        <is>
          <t>LINKÖPING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30976-2022</t>
        </is>
      </c>
      <c r="B4665" s="1" t="n">
        <v>44768</v>
      </c>
      <c r="C4665" s="1" t="n">
        <v>45710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30985-2022</t>
        </is>
      </c>
      <c r="B4666" s="1" t="n">
        <v>44768</v>
      </c>
      <c r="C4666" s="1" t="n">
        <v>45710</v>
      </c>
      <c r="D4666" t="inlineStr">
        <is>
          <t>ÖSTERGÖTLANDS LÄN</t>
        </is>
      </c>
      <c r="E4666" t="inlineStr">
        <is>
          <t>LINKÖPING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31010-2022</t>
        </is>
      </c>
      <c r="B4667" s="1" t="n">
        <v>44768</v>
      </c>
      <c r="C4667" s="1" t="n">
        <v>45710</v>
      </c>
      <c r="D4667" t="inlineStr">
        <is>
          <t>ÖSTERGÖTLANDS LÄN</t>
        </is>
      </c>
      <c r="E4667" t="inlineStr">
        <is>
          <t>MJÖLBY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31127-2022</t>
        </is>
      </c>
      <c r="B4668" s="1" t="n">
        <v>44770</v>
      </c>
      <c r="C4668" s="1" t="n">
        <v>45710</v>
      </c>
      <c r="D4668" t="inlineStr">
        <is>
          <t>ÖSTERGÖTLANDS LÄN</t>
        </is>
      </c>
      <c r="E4668" t="inlineStr">
        <is>
          <t>ÅTVIDABERG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31176-2022</t>
        </is>
      </c>
      <c r="B4669" s="1" t="n">
        <v>44770</v>
      </c>
      <c r="C4669" s="1" t="n">
        <v>45710</v>
      </c>
      <c r="D4669" t="inlineStr">
        <is>
          <t>ÖSTERGÖTLANDS LÄN</t>
        </is>
      </c>
      <c r="E4669" t="inlineStr">
        <is>
          <t>FINSPÅNG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31330-2022</t>
        </is>
      </c>
      <c r="B4670" s="1" t="n">
        <v>44774</v>
      </c>
      <c r="C4670" s="1" t="n">
        <v>45710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31393-2022</t>
        </is>
      </c>
      <c r="B4671" s="1" t="n">
        <v>44774</v>
      </c>
      <c r="C4671" s="1" t="n">
        <v>45710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31323-2022</t>
        </is>
      </c>
      <c r="B4672" s="1" t="n">
        <v>44774</v>
      </c>
      <c r="C4672" s="1" t="n">
        <v>45710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2.5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31425-2022</t>
        </is>
      </c>
      <c r="B4673" s="1" t="n">
        <v>44774</v>
      </c>
      <c r="C4673" s="1" t="n">
        <v>45710</v>
      </c>
      <c r="D4673" t="inlineStr">
        <is>
          <t>ÖSTERGÖTLANDS LÄN</t>
        </is>
      </c>
      <c r="E4673" t="inlineStr">
        <is>
          <t>ÅTVIDABERG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31548-2022</t>
        </is>
      </c>
      <c r="B4674" s="1" t="n">
        <v>44775</v>
      </c>
      <c r="C4674" s="1" t="n">
        <v>45710</v>
      </c>
      <c r="D4674" t="inlineStr">
        <is>
          <t>ÖSTERGÖTLANDS LÄN</t>
        </is>
      </c>
      <c r="E4674" t="inlineStr">
        <is>
          <t>LINKÖPING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31628-2022</t>
        </is>
      </c>
      <c r="B4675" s="1" t="n">
        <v>44775</v>
      </c>
      <c r="C4675" s="1" t="n">
        <v>45710</v>
      </c>
      <c r="D4675" t="inlineStr">
        <is>
          <t>ÖSTERGÖTLANDS LÄN</t>
        </is>
      </c>
      <c r="E4675" t="inlineStr">
        <is>
          <t>SÖDERKÖPING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31705-2022</t>
        </is>
      </c>
      <c r="B4676" s="1" t="n">
        <v>44776</v>
      </c>
      <c r="C4676" s="1" t="n">
        <v>45710</v>
      </c>
      <c r="D4676" t="inlineStr">
        <is>
          <t>ÖSTERGÖTLANDS LÄN</t>
        </is>
      </c>
      <c r="E4676" t="inlineStr">
        <is>
          <t>LINKÖPING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31725-2022</t>
        </is>
      </c>
      <c r="B4677" s="1" t="n">
        <v>44776</v>
      </c>
      <c r="C4677" s="1" t="n">
        <v>45710</v>
      </c>
      <c r="D4677" t="inlineStr">
        <is>
          <t>ÖSTERGÖTLANDS LÄN</t>
        </is>
      </c>
      <c r="E4677" t="inlineStr">
        <is>
          <t>LINKÖPING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31692-2022</t>
        </is>
      </c>
      <c r="B4678" s="1" t="n">
        <v>44776</v>
      </c>
      <c r="C4678" s="1" t="n">
        <v>45710</v>
      </c>
      <c r="D4678" t="inlineStr">
        <is>
          <t>ÖSTERGÖTLANDS LÄN</t>
        </is>
      </c>
      <c r="E4678" t="inlineStr">
        <is>
          <t>LINKÖPING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31703-2022</t>
        </is>
      </c>
      <c r="B4679" s="1" t="n">
        <v>44776</v>
      </c>
      <c r="C4679" s="1" t="n">
        <v>45710</v>
      </c>
      <c r="D4679" t="inlineStr">
        <is>
          <t>ÖSTERGÖTLANDS LÄN</t>
        </is>
      </c>
      <c r="E4679" t="inlineStr">
        <is>
          <t>LINKÖPING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31683-2022</t>
        </is>
      </c>
      <c r="B4680" s="1" t="n">
        <v>44776</v>
      </c>
      <c r="C4680" s="1" t="n">
        <v>45710</v>
      </c>
      <c r="D4680" t="inlineStr">
        <is>
          <t>ÖSTERGÖTLANDS LÄN</t>
        </is>
      </c>
      <c r="E4680" t="inlineStr">
        <is>
          <t>MOTALA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31732-2022</t>
        </is>
      </c>
      <c r="B4681" s="1" t="n">
        <v>44776</v>
      </c>
      <c r="C4681" s="1" t="n">
        <v>45710</v>
      </c>
      <c r="D4681" t="inlineStr">
        <is>
          <t>ÖSTERGÖTLANDS LÄN</t>
        </is>
      </c>
      <c r="E4681" t="inlineStr">
        <is>
          <t>LINKÖPING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31804-2022</t>
        </is>
      </c>
      <c r="B4682" s="1" t="n">
        <v>44776</v>
      </c>
      <c r="C4682" s="1" t="n">
        <v>45710</v>
      </c>
      <c r="D4682" t="inlineStr">
        <is>
          <t>ÖSTERGÖTLANDS LÄN</t>
        </is>
      </c>
      <c r="E4682" t="inlineStr">
        <is>
          <t>NORRKÖPING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31744-2022</t>
        </is>
      </c>
      <c r="B4683" s="1" t="n">
        <v>44776</v>
      </c>
      <c r="C4683" s="1" t="n">
        <v>45710</v>
      </c>
      <c r="D4683" t="inlineStr">
        <is>
          <t>ÖSTERGÖTLANDS LÄN</t>
        </is>
      </c>
      <c r="E4683" t="inlineStr">
        <is>
          <t>MOTALA</t>
        </is>
      </c>
      <c r="G4683" t="n">
        <v>6.3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31753-2022</t>
        </is>
      </c>
      <c r="B4684" s="1" t="n">
        <v>44776</v>
      </c>
      <c r="C4684" s="1" t="n">
        <v>45710</v>
      </c>
      <c r="D4684" t="inlineStr">
        <is>
          <t>ÖSTERGÖTLANDS LÄN</t>
        </is>
      </c>
      <c r="E4684" t="inlineStr">
        <is>
          <t>MOTALA</t>
        </is>
      </c>
      <c r="G4684" t="n">
        <v>6.4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31811-2022</t>
        </is>
      </c>
      <c r="B4685" s="1" t="n">
        <v>44776</v>
      </c>
      <c r="C4685" s="1" t="n">
        <v>45710</v>
      </c>
      <c r="D4685" t="inlineStr">
        <is>
          <t>ÖSTERGÖTLANDS LÄN</t>
        </is>
      </c>
      <c r="E4685" t="inlineStr">
        <is>
          <t>FINSPÅNG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31817-2022</t>
        </is>
      </c>
      <c r="B4686" s="1" t="n">
        <v>44776</v>
      </c>
      <c r="C4686" s="1" t="n">
        <v>45710</v>
      </c>
      <c r="D4686" t="inlineStr">
        <is>
          <t>ÖSTERGÖTLANDS LÄN</t>
        </is>
      </c>
      <c r="E4686" t="inlineStr">
        <is>
          <t>KINDA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31929-2022</t>
        </is>
      </c>
      <c r="B4687" s="1" t="n">
        <v>44777</v>
      </c>
      <c r="C4687" s="1" t="n">
        <v>45710</v>
      </c>
      <c r="D4687" t="inlineStr">
        <is>
          <t>ÖSTERGÖTLANDS LÄN</t>
        </is>
      </c>
      <c r="E4687" t="inlineStr">
        <is>
          <t>ÅTVIDABERG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31928-2022</t>
        </is>
      </c>
      <c r="B4688" s="1" t="n">
        <v>44777</v>
      </c>
      <c r="C4688" s="1" t="n">
        <v>45710</v>
      </c>
      <c r="D4688" t="inlineStr">
        <is>
          <t>ÖSTERGÖTLANDS LÄN</t>
        </is>
      </c>
      <c r="E4688" t="inlineStr">
        <is>
          <t>ÅTVIDABERG</t>
        </is>
      </c>
      <c r="G4688" t="n">
        <v>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31953-2022</t>
        </is>
      </c>
      <c r="B4689" s="1" t="n">
        <v>44777</v>
      </c>
      <c r="C4689" s="1" t="n">
        <v>45710</v>
      </c>
      <c r="D4689" t="inlineStr">
        <is>
          <t>ÖSTERGÖTLANDS LÄN</t>
        </is>
      </c>
      <c r="E4689" t="inlineStr">
        <is>
          <t>ÅTVIDABERG</t>
        </is>
      </c>
      <c r="G4689" t="n">
        <v>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32000-2022</t>
        </is>
      </c>
      <c r="B4690" s="1" t="n">
        <v>44777</v>
      </c>
      <c r="C4690" s="1" t="n">
        <v>45710</v>
      </c>
      <c r="D4690" t="inlineStr">
        <is>
          <t>ÖSTERGÖTLANDS LÄN</t>
        </is>
      </c>
      <c r="E4690" t="inlineStr">
        <is>
          <t>LINKÖPING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32069-2022</t>
        </is>
      </c>
      <c r="B4691" s="1" t="n">
        <v>44778</v>
      </c>
      <c r="C4691" s="1" t="n">
        <v>45710</v>
      </c>
      <c r="D4691" t="inlineStr">
        <is>
          <t>ÖSTERGÖTLANDS LÄN</t>
        </is>
      </c>
      <c r="E4691" t="inlineStr">
        <is>
          <t>ÅTVIDABERG</t>
        </is>
      </c>
      <c r="G4691" t="n">
        <v>0.1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32066-2022</t>
        </is>
      </c>
      <c r="B4692" s="1" t="n">
        <v>44778</v>
      </c>
      <c r="C4692" s="1" t="n">
        <v>45710</v>
      </c>
      <c r="D4692" t="inlineStr">
        <is>
          <t>ÖSTERGÖTLANDS LÄN</t>
        </is>
      </c>
      <c r="E4692" t="inlineStr">
        <is>
          <t>ÅTVIDABERG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32057-2022</t>
        </is>
      </c>
      <c r="B4693" s="1" t="n">
        <v>44778</v>
      </c>
      <c r="C4693" s="1" t="n">
        <v>45710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  <c r="U4693">
        <f>HYPERLINK("https://klasma.github.io/Logging_0561/knärot/A 32057-2022 karta knärot.png", "A 32057-2022")</f>
        <v/>
      </c>
      <c r="V4693">
        <f>HYPERLINK("https://klasma.github.io/Logging_0561/klagomål/A 32057-2022 FSC-klagomål.docx", "A 32057-2022")</f>
        <v/>
      </c>
      <c r="W4693">
        <f>HYPERLINK("https://klasma.github.io/Logging_0561/klagomålsmail/A 32057-2022 FSC-klagomål mail.docx", "A 32057-2022")</f>
        <v/>
      </c>
      <c r="X4693">
        <f>HYPERLINK("https://klasma.github.io/Logging_0561/tillsyn/A 32057-2022 tillsynsbegäran.docx", "A 32057-2022")</f>
        <v/>
      </c>
      <c r="Y4693">
        <f>HYPERLINK("https://klasma.github.io/Logging_0561/tillsynsmail/A 32057-2022 tillsynsbegäran mail.docx", "A 32057-2022")</f>
        <v/>
      </c>
    </row>
    <row r="4694" ht="15" customHeight="1">
      <c r="A4694" t="inlineStr">
        <is>
          <t>A 32063-2022</t>
        </is>
      </c>
      <c r="B4694" s="1" t="n">
        <v>44778</v>
      </c>
      <c r="C4694" s="1" t="n">
        <v>45710</v>
      </c>
      <c r="D4694" t="inlineStr">
        <is>
          <t>ÖSTERGÖTLANDS LÄN</t>
        </is>
      </c>
      <c r="E4694" t="inlineStr">
        <is>
          <t>ÅTVIDABERG</t>
        </is>
      </c>
      <c r="G4694" t="n">
        <v>0.1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32067-2022</t>
        </is>
      </c>
      <c r="B4695" s="1" t="n">
        <v>44778</v>
      </c>
      <c r="C4695" s="1" t="n">
        <v>45710</v>
      </c>
      <c r="D4695" t="inlineStr">
        <is>
          <t>ÖSTERGÖTLANDS LÄN</t>
        </is>
      </c>
      <c r="E4695" t="inlineStr">
        <is>
          <t>ÅTVIDABERG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32014-2022</t>
        </is>
      </c>
      <c r="B4696" s="1" t="n">
        <v>44778</v>
      </c>
      <c r="C4696" s="1" t="n">
        <v>45710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Holmen skog AB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32044-2022</t>
        </is>
      </c>
      <c r="B4697" s="1" t="n">
        <v>44778</v>
      </c>
      <c r="C4697" s="1" t="n">
        <v>45710</v>
      </c>
      <c r="D4697" t="inlineStr">
        <is>
          <t>ÖSTERGÖTLANDS LÄN</t>
        </is>
      </c>
      <c r="E4697" t="inlineStr">
        <is>
          <t>FINSPÅNG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32060-2022</t>
        </is>
      </c>
      <c r="B4698" s="1" t="n">
        <v>44778</v>
      </c>
      <c r="C4698" s="1" t="n">
        <v>45710</v>
      </c>
      <c r="D4698" t="inlineStr">
        <is>
          <t>ÖSTERGÖTLANDS LÄN</t>
        </is>
      </c>
      <c r="E4698" t="inlineStr">
        <is>
          <t>ÅTVIDABERG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  <c r="U4698">
        <f>HYPERLINK("https://klasma.github.io/Logging_0561/knärot/A 32060-2022 karta knärot.png", "A 32060-2022")</f>
        <v/>
      </c>
      <c r="V4698">
        <f>HYPERLINK("https://klasma.github.io/Logging_0561/klagomål/A 32060-2022 FSC-klagomål.docx", "A 32060-2022")</f>
        <v/>
      </c>
      <c r="W4698">
        <f>HYPERLINK("https://klasma.github.io/Logging_0561/klagomålsmail/A 32060-2022 FSC-klagomål mail.docx", "A 32060-2022")</f>
        <v/>
      </c>
      <c r="X4698">
        <f>HYPERLINK("https://klasma.github.io/Logging_0561/tillsyn/A 32060-2022 tillsynsbegäran.docx", "A 32060-2022")</f>
        <v/>
      </c>
      <c r="Y4698">
        <f>HYPERLINK("https://klasma.github.io/Logging_0561/tillsynsmail/A 32060-2022 tillsynsbegäran mail.docx", "A 32060-2022")</f>
        <v/>
      </c>
    </row>
    <row r="4699" ht="15" customHeight="1">
      <c r="A4699" t="inlineStr">
        <is>
          <t>A 32324-2022</t>
        </is>
      </c>
      <c r="B4699" s="1" t="n">
        <v>44781</v>
      </c>
      <c r="C4699" s="1" t="n">
        <v>45710</v>
      </c>
      <c r="D4699" t="inlineStr">
        <is>
          <t>ÖSTERGÖTLANDS LÄN</t>
        </is>
      </c>
      <c r="E4699" t="inlineStr">
        <is>
          <t>FINSPÅNG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32323-2022</t>
        </is>
      </c>
      <c r="B4700" s="1" t="n">
        <v>44781</v>
      </c>
      <c r="C4700" s="1" t="n">
        <v>45710</v>
      </c>
      <c r="D4700" t="inlineStr">
        <is>
          <t>ÖSTERGÖTLANDS LÄN</t>
        </is>
      </c>
      <c r="E4700" t="inlineStr">
        <is>
          <t>FINSPÅNG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32367-2022</t>
        </is>
      </c>
      <c r="B4701" s="1" t="n">
        <v>44782</v>
      </c>
      <c r="C4701" s="1" t="n">
        <v>45710</v>
      </c>
      <c r="D4701" t="inlineStr">
        <is>
          <t>ÖSTERGÖTLANDS LÄN</t>
        </is>
      </c>
      <c r="E4701" t="inlineStr">
        <is>
          <t>KINDA</t>
        </is>
      </c>
      <c r="G4701" t="n">
        <v>3.1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32470-2022</t>
        </is>
      </c>
      <c r="B4702" s="1" t="n">
        <v>44782</v>
      </c>
      <c r="C4702" s="1" t="n">
        <v>45710</v>
      </c>
      <c r="D4702" t="inlineStr">
        <is>
          <t>ÖSTERGÖTLANDS LÄN</t>
        </is>
      </c>
      <c r="E4702" t="inlineStr">
        <is>
          <t>MOTALA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32416-2022</t>
        </is>
      </c>
      <c r="B4703" s="1" t="n">
        <v>44782</v>
      </c>
      <c r="C4703" s="1" t="n">
        <v>45710</v>
      </c>
      <c r="D4703" t="inlineStr">
        <is>
          <t>ÖSTERGÖTLANDS LÄN</t>
        </is>
      </c>
      <c r="E4703" t="inlineStr">
        <is>
          <t>ÅTVIDABERG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32472-2022</t>
        </is>
      </c>
      <c r="B4704" s="1" t="n">
        <v>44782</v>
      </c>
      <c r="C4704" s="1" t="n">
        <v>45710</v>
      </c>
      <c r="D4704" t="inlineStr">
        <is>
          <t>ÖSTERGÖTLANDS LÄN</t>
        </is>
      </c>
      <c r="E4704" t="inlineStr">
        <is>
          <t>FINSPÅNG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32433-2022</t>
        </is>
      </c>
      <c r="B4705" s="1" t="n">
        <v>44782</v>
      </c>
      <c r="C4705" s="1" t="n">
        <v>45710</v>
      </c>
      <c r="D4705" t="inlineStr">
        <is>
          <t>ÖSTERGÖTLANDS LÄN</t>
        </is>
      </c>
      <c r="E4705" t="inlineStr">
        <is>
          <t>LINKÖPING</t>
        </is>
      </c>
      <c r="G4705" t="n">
        <v>11.3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32497-2022</t>
        </is>
      </c>
      <c r="B4706" s="1" t="n">
        <v>44782</v>
      </c>
      <c r="C4706" s="1" t="n">
        <v>45710</v>
      </c>
      <c r="D4706" t="inlineStr">
        <is>
          <t>ÖSTERGÖTLANDS LÄN</t>
        </is>
      </c>
      <c r="E4706" t="inlineStr">
        <is>
          <t>KINDA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32505-2022</t>
        </is>
      </c>
      <c r="B4707" s="1" t="n">
        <v>44782</v>
      </c>
      <c r="C4707" s="1" t="n">
        <v>45710</v>
      </c>
      <c r="D4707" t="inlineStr">
        <is>
          <t>ÖSTERGÖTLANDS LÄN</t>
        </is>
      </c>
      <c r="E4707" t="inlineStr">
        <is>
          <t>LINKÖPING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32504-2022</t>
        </is>
      </c>
      <c r="B4708" s="1" t="n">
        <v>44782</v>
      </c>
      <c r="C4708" s="1" t="n">
        <v>45710</v>
      </c>
      <c r="D4708" t="inlineStr">
        <is>
          <t>ÖSTERGÖTLANDS LÄN</t>
        </is>
      </c>
      <c r="E4708" t="inlineStr">
        <is>
          <t>LINKÖPING</t>
        </is>
      </c>
      <c r="G4708" t="n">
        <v>4.5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33027-2022</t>
        </is>
      </c>
      <c r="B4709" s="1" t="n">
        <v>44782</v>
      </c>
      <c r="C4709" s="1" t="n">
        <v>45710</v>
      </c>
      <c r="D4709" t="inlineStr">
        <is>
          <t>ÖSTERGÖTLANDS LÄN</t>
        </is>
      </c>
      <c r="E4709" t="inlineStr">
        <is>
          <t>FINSPÅNG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32574-2022</t>
        </is>
      </c>
      <c r="B4710" s="1" t="n">
        <v>44783</v>
      </c>
      <c r="C4710" s="1" t="n">
        <v>45710</v>
      </c>
      <c r="D4710" t="inlineStr">
        <is>
          <t>ÖSTERGÖTLANDS LÄN</t>
        </is>
      </c>
      <c r="E4710" t="inlineStr">
        <is>
          <t>NORRKÖPING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32602-2022</t>
        </is>
      </c>
      <c r="B4711" s="1" t="n">
        <v>44783</v>
      </c>
      <c r="C4711" s="1" t="n">
        <v>45710</v>
      </c>
      <c r="D4711" t="inlineStr">
        <is>
          <t>ÖSTERGÖTLANDS LÄN</t>
        </is>
      </c>
      <c r="E4711" t="inlineStr">
        <is>
          <t>LINKÖPING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32630-2022</t>
        </is>
      </c>
      <c r="B4712" s="1" t="n">
        <v>44783</v>
      </c>
      <c r="C4712" s="1" t="n">
        <v>45710</v>
      </c>
      <c r="D4712" t="inlineStr">
        <is>
          <t>ÖSTERGÖTLANDS LÄN</t>
        </is>
      </c>
      <c r="E4712" t="inlineStr">
        <is>
          <t>NORRKÖPING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32556-2022</t>
        </is>
      </c>
      <c r="B4713" s="1" t="n">
        <v>44783</v>
      </c>
      <c r="C4713" s="1" t="n">
        <v>45710</v>
      </c>
      <c r="D4713" t="inlineStr">
        <is>
          <t>ÖSTERGÖTLANDS LÄN</t>
        </is>
      </c>
      <c r="E4713" t="inlineStr">
        <is>
          <t>LINKÖPING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32575-2022</t>
        </is>
      </c>
      <c r="B4714" s="1" t="n">
        <v>44783</v>
      </c>
      <c r="C4714" s="1" t="n">
        <v>45710</v>
      </c>
      <c r="D4714" t="inlineStr">
        <is>
          <t>ÖSTERGÖTLANDS LÄN</t>
        </is>
      </c>
      <c r="E4714" t="inlineStr">
        <is>
          <t>ÅTVIDABERG</t>
        </is>
      </c>
      <c r="G4714" t="n">
        <v>5.6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32626-2022</t>
        </is>
      </c>
      <c r="B4715" s="1" t="n">
        <v>44783</v>
      </c>
      <c r="C4715" s="1" t="n">
        <v>45710</v>
      </c>
      <c r="D4715" t="inlineStr">
        <is>
          <t>ÖSTERGÖTLANDS LÄN</t>
        </is>
      </c>
      <c r="E4715" t="inlineStr">
        <is>
          <t>NORRKÖPING</t>
        </is>
      </c>
      <c r="G4715" t="n">
        <v>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32953-2022</t>
        </is>
      </c>
      <c r="B4716" s="1" t="n">
        <v>44784</v>
      </c>
      <c r="C4716" s="1" t="n">
        <v>45710</v>
      </c>
      <c r="D4716" t="inlineStr">
        <is>
          <t>ÖSTERGÖTLANDS LÄN</t>
        </is>
      </c>
      <c r="E4716" t="inlineStr">
        <is>
          <t>ÅTVIDABERG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32922-2022</t>
        </is>
      </c>
      <c r="B4717" s="1" t="n">
        <v>44784</v>
      </c>
      <c r="C4717" s="1" t="n">
        <v>45710</v>
      </c>
      <c r="D4717" t="inlineStr">
        <is>
          <t>ÖSTERGÖTLANDS LÄN</t>
        </is>
      </c>
      <c r="E4717" t="inlineStr">
        <is>
          <t>ÅTVIDABERG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32951-2022</t>
        </is>
      </c>
      <c r="B4718" s="1" t="n">
        <v>44784</v>
      </c>
      <c r="C4718" s="1" t="n">
        <v>45710</v>
      </c>
      <c r="D4718" t="inlineStr">
        <is>
          <t>ÖSTERGÖTLANDS LÄN</t>
        </is>
      </c>
      <c r="E4718" t="inlineStr">
        <is>
          <t>ÅTVIDABERG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33134-2022</t>
        </is>
      </c>
      <c r="B4719" s="1" t="n">
        <v>44785</v>
      </c>
      <c r="C4719" s="1" t="n">
        <v>45710</v>
      </c>
      <c r="D4719" t="inlineStr">
        <is>
          <t>ÖSTERGÖTLANDS LÄN</t>
        </is>
      </c>
      <c r="E4719" t="inlineStr">
        <is>
          <t>LINKÖPING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33139-2022</t>
        </is>
      </c>
      <c r="B4720" s="1" t="n">
        <v>44785</v>
      </c>
      <c r="C4720" s="1" t="n">
        <v>45710</v>
      </c>
      <c r="D4720" t="inlineStr">
        <is>
          <t>ÖSTERGÖTLANDS LÄN</t>
        </is>
      </c>
      <c r="E4720" t="inlineStr">
        <is>
          <t>LINKÖPING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33270-2022</t>
        </is>
      </c>
      <c r="B4721" s="1" t="n">
        <v>44788</v>
      </c>
      <c r="C4721" s="1" t="n">
        <v>45710</v>
      </c>
      <c r="D4721" t="inlineStr">
        <is>
          <t>ÖSTERGÖTLANDS LÄN</t>
        </is>
      </c>
      <c r="E4721" t="inlineStr">
        <is>
          <t>VALDEMARSVIK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33285-2022</t>
        </is>
      </c>
      <c r="B4722" s="1" t="n">
        <v>44788</v>
      </c>
      <c r="C4722" s="1" t="n">
        <v>45710</v>
      </c>
      <c r="D4722" t="inlineStr">
        <is>
          <t>ÖSTERGÖTLANDS LÄN</t>
        </is>
      </c>
      <c r="E4722" t="inlineStr">
        <is>
          <t>VALDEMARSVIK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33562-2022</t>
        </is>
      </c>
      <c r="B4723" s="1" t="n">
        <v>44789</v>
      </c>
      <c r="C4723" s="1" t="n">
        <v>45710</v>
      </c>
      <c r="D4723" t="inlineStr">
        <is>
          <t>ÖSTERGÖTLANDS LÄN</t>
        </is>
      </c>
      <c r="E4723" t="inlineStr">
        <is>
          <t>KINDA</t>
        </is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33604-2022</t>
        </is>
      </c>
      <c r="B4724" s="1" t="n">
        <v>44789</v>
      </c>
      <c r="C4724" s="1" t="n">
        <v>45710</v>
      </c>
      <c r="D4724" t="inlineStr">
        <is>
          <t>ÖSTERGÖTLANDS LÄN</t>
        </is>
      </c>
      <c r="E4724" t="inlineStr">
        <is>
          <t>ÅTVIDABERG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33660-2022</t>
        </is>
      </c>
      <c r="B4725" s="1" t="n">
        <v>44789</v>
      </c>
      <c r="C4725" s="1" t="n">
        <v>45710</v>
      </c>
      <c r="D4725" t="inlineStr">
        <is>
          <t>ÖSTERGÖTLANDS LÄN</t>
        </is>
      </c>
      <c r="E4725" t="inlineStr">
        <is>
          <t>YDRE</t>
        </is>
      </c>
      <c r="F4725" t="inlineStr">
        <is>
          <t>Sveaskog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33680-2022</t>
        </is>
      </c>
      <c r="B4726" s="1" t="n">
        <v>44789</v>
      </c>
      <c r="C4726" s="1" t="n">
        <v>45710</v>
      </c>
      <c r="D4726" t="inlineStr">
        <is>
          <t>ÖSTERGÖTLANDS LÄN</t>
        </is>
      </c>
      <c r="E4726" t="inlineStr">
        <is>
          <t>YDRE</t>
        </is>
      </c>
      <c r="F4726" t="inlineStr">
        <is>
          <t>Sveaskog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33711-2022</t>
        </is>
      </c>
      <c r="B4727" s="1" t="n">
        <v>44789</v>
      </c>
      <c r="C4727" s="1" t="n">
        <v>45710</v>
      </c>
      <c r="D4727" t="inlineStr">
        <is>
          <t>ÖSTERGÖTLANDS LÄN</t>
        </is>
      </c>
      <c r="E4727" t="inlineStr">
        <is>
          <t>ÅTVIDABERG</t>
        </is>
      </c>
      <c r="G4727" t="n">
        <v>0.2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33718-2022</t>
        </is>
      </c>
      <c r="B4728" s="1" t="n">
        <v>44789</v>
      </c>
      <c r="C4728" s="1" t="n">
        <v>45710</v>
      </c>
      <c r="D4728" t="inlineStr">
        <is>
          <t>ÖSTERGÖTLANDS LÄN</t>
        </is>
      </c>
      <c r="E4728" t="inlineStr">
        <is>
          <t>ÅTVIDABERG</t>
        </is>
      </c>
      <c r="G4728" t="n">
        <v>0.3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33714-2022</t>
        </is>
      </c>
      <c r="B4729" s="1" t="n">
        <v>44789</v>
      </c>
      <c r="C4729" s="1" t="n">
        <v>45710</v>
      </c>
      <c r="D4729" t="inlineStr">
        <is>
          <t>ÖSTERGÖTLANDS LÄN</t>
        </is>
      </c>
      <c r="E4729" t="inlineStr">
        <is>
          <t>ÅTVIDABERG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33676-2022</t>
        </is>
      </c>
      <c r="B4730" s="1" t="n">
        <v>44789</v>
      </c>
      <c r="C4730" s="1" t="n">
        <v>45710</v>
      </c>
      <c r="D4730" t="inlineStr">
        <is>
          <t>ÖSTERGÖTLANDS LÄN</t>
        </is>
      </c>
      <c r="E4730" t="inlineStr">
        <is>
          <t>YDRE</t>
        </is>
      </c>
      <c r="F4730" t="inlineStr">
        <is>
          <t>Sveaskog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33687-2022</t>
        </is>
      </c>
      <c r="B4731" s="1" t="n">
        <v>44789</v>
      </c>
      <c r="C4731" s="1" t="n">
        <v>45710</v>
      </c>
      <c r="D4731" t="inlineStr">
        <is>
          <t>ÖSTERGÖTLANDS LÄN</t>
        </is>
      </c>
      <c r="E4731" t="inlineStr">
        <is>
          <t>YDRE</t>
        </is>
      </c>
      <c r="F4731" t="inlineStr">
        <is>
          <t>Sveaskog</t>
        </is>
      </c>
      <c r="G4731" t="n">
        <v>2.6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33710-2022</t>
        </is>
      </c>
      <c r="B4732" s="1" t="n">
        <v>44789</v>
      </c>
      <c r="C4732" s="1" t="n">
        <v>45710</v>
      </c>
      <c r="D4732" t="inlineStr">
        <is>
          <t>ÖSTERGÖTLANDS LÄN</t>
        </is>
      </c>
      <c r="E4732" t="inlineStr">
        <is>
          <t>ÅTVIDABERG</t>
        </is>
      </c>
      <c r="G4732" t="n">
        <v>0.1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34162-2022</t>
        </is>
      </c>
      <c r="B4733" s="1" t="n">
        <v>44791</v>
      </c>
      <c r="C4733" s="1" t="n">
        <v>45710</v>
      </c>
      <c r="D4733" t="inlineStr">
        <is>
          <t>ÖSTERGÖTLANDS LÄN</t>
        </is>
      </c>
      <c r="E4733" t="inlineStr">
        <is>
          <t>LINKÖPING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34063-2022</t>
        </is>
      </c>
      <c r="B4734" s="1" t="n">
        <v>44791</v>
      </c>
      <c r="C4734" s="1" t="n">
        <v>45710</v>
      </c>
      <c r="D4734" t="inlineStr">
        <is>
          <t>ÖSTERGÖTLANDS LÄN</t>
        </is>
      </c>
      <c r="E4734" t="inlineStr">
        <is>
          <t>ÅTVIDABERG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34109-2022</t>
        </is>
      </c>
      <c r="B4735" s="1" t="n">
        <v>44791</v>
      </c>
      <c r="C4735" s="1" t="n">
        <v>45710</v>
      </c>
      <c r="D4735" t="inlineStr">
        <is>
          <t>ÖSTERGÖTLANDS LÄN</t>
        </is>
      </c>
      <c r="E4735" t="inlineStr">
        <is>
          <t>ÖDESHÖG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34426-2022</t>
        </is>
      </c>
      <c r="B4736" s="1" t="n">
        <v>44792</v>
      </c>
      <c r="C4736" s="1" t="n">
        <v>45710</v>
      </c>
      <c r="D4736" t="inlineStr">
        <is>
          <t>ÖSTERGÖTLANDS LÄN</t>
        </is>
      </c>
      <c r="E4736" t="inlineStr">
        <is>
          <t>ÖDESHÖG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34431-2022</t>
        </is>
      </c>
      <c r="B4737" s="1" t="n">
        <v>44792</v>
      </c>
      <c r="C4737" s="1" t="n">
        <v>45710</v>
      </c>
      <c r="D4737" t="inlineStr">
        <is>
          <t>ÖSTERGÖTLANDS LÄN</t>
        </is>
      </c>
      <c r="E4737" t="inlineStr">
        <is>
          <t>MJÖLBY</t>
        </is>
      </c>
      <c r="F4737" t="inlineStr">
        <is>
          <t>Kommuner</t>
        </is>
      </c>
      <c r="G4737" t="n">
        <v>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34558-2022</t>
        </is>
      </c>
      <c r="B4738" s="1" t="n">
        <v>44794</v>
      </c>
      <c r="C4738" s="1" t="n">
        <v>45710</v>
      </c>
      <c r="D4738" t="inlineStr">
        <is>
          <t>ÖSTERGÖTLANDS LÄN</t>
        </is>
      </c>
      <c r="E4738" t="inlineStr">
        <is>
          <t>LINKÖPING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34557-2022</t>
        </is>
      </c>
      <c r="B4739" s="1" t="n">
        <v>44794</v>
      </c>
      <c r="C4739" s="1" t="n">
        <v>45710</v>
      </c>
      <c r="D4739" t="inlineStr">
        <is>
          <t>ÖSTERGÖTLANDS LÄN</t>
        </is>
      </c>
      <c r="E4739" t="inlineStr">
        <is>
          <t>LINKÖPING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34605-2022</t>
        </is>
      </c>
      <c r="B4740" s="1" t="n">
        <v>44795</v>
      </c>
      <c r="C4740" s="1" t="n">
        <v>45710</v>
      </c>
      <c r="D4740" t="inlineStr">
        <is>
          <t>ÖSTERGÖTLANDS LÄN</t>
        </is>
      </c>
      <c r="E4740" t="inlineStr">
        <is>
          <t>ÅTVIDABERG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  <c r="U4740">
        <f>HYPERLINK("https://klasma.github.io/Logging_0561/knärot/A 34605-2022 karta knärot.png", "A 34605-2022")</f>
        <v/>
      </c>
      <c r="V4740">
        <f>HYPERLINK("https://klasma.github.io/Logging_0561/klagomål/A 34605-2022 FSC-klagomål.docx", "A 34605-2022")</f>
        <v/>
      </c>
      <c r="W4740">
        <f>HYPERLINK("https://klasma.github.io/Logging_0561/klagomålsmail/A 34605-2022 FSC-klagomål mail.docx", "A 34605-2022")</f>
        <v/>
      </c>
      <c r="X4740">
        <f>HYPERLINK("https://klasma.github.io/Logging_0561/tillsyn/A 34605-2022 tillsynsbegäran.docx", "A 34605-2022")</f>
        <v/>
      </c>
      <c r="Y4740">
        <f>HYPERLINK("https://klasma.github.io/Logging_0561/tillsynsmail/A 34605-2022 tillsynsbegäran mail.docx", "A 34605-2022")</f>
        <v/>
      </c>
    </row>
    <row r="4741" ht="15" customHeight="1">
      <c r="A4741" t="inlineStr">
        <is>
          <t>A 34641-2022</t>
        </is>
      </c>
      <c r="B4741" s="1" t="n">
        <v>44795</v>
      </c>
      <c r="C4741" s="1" t="n">
        <v>45710</v>
      </c>
      <c r="D4741" t="inlineStr">
        <is>
          <t>ÖSTERGÖTLANDS LÄN</t>
        </is>
      </c>
      <c r="E4741" t="inlineStr">
        <is>
          <t>LINKÖPING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34700-2022</t>
        </is>
      </c>
      <c r="B4742" s="1" t="n">
        <v>44795</v>
      </c>
      <c r="C4742" s="1" t="n">
        <v>45710</v>
      </c>
      <c r="D4742" t="inlineStr">
        <is>
          <t>ÖSTERGÖTLANDS LÄN</t>
        </is>
      </c>
      <c r="E4742" t="inlineStr">
        <is>
          <t>ÅTVIDABERG</t>
        </is>
      </c>
      <c r="F4742" t="inlineStr">
        <is>
          <t>Övriga Aktiebolag</t>
        </is>
      </c>
      <c r="G4742" t="n">
        <v>16.1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34776-2022</t>
        </is>
      </c>
      <c r="B4743" s="1" t="n">
        <v>44795</v>
      </c>
      <c r="C4743" s="1" t="n">
        <v>45710</v>
      </c>
      <c r="D4743" t="inlineStr">
        <is>
          <t>ÖSTERGÖTLANDS LÄN</t>
        </is>
      </c>
      <c r="E4743" t="inlineStr">
        <is>
          <t>FINSPÅNG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34730-2022</t>
        </is>
      </c>
      <c r="B4744" s="1" t="n">
        <v>44795</v>
      </c>
      <c r="C4744" s="1" t="n">
        <v>45710</v>
      </c>
      <c r="D4744" t="inlineStr">
        <is>
          <t>ÖSTERGÖTLANDS LÄN</t>
        </is>
      </c>
      <c r="E4744" t="inlineStr">
        <is>
          <t>KINDA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34758-2022</t>
        </is>
      </c>
      <c r="B4745" s="1" t="n">
        <v>44795</v>
      </c>
      <c r="C4745" s="1" t="n">
        <v>45710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Övriga Aktiebolag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34917-2022</t>
        </is>
      </c>
      <c r="B4746" s="1" t="n">
        <v>44796</v>
      </c>
      <c r="C4746" s="1" t="n">
        <v>45710</v>
      </c>
      <c r="D4746" t="inlineStr">
        <is>
          <t>ÖSTERGÖTLANDS LÄN</t>
        </is>
      </c>
      <c r="E4746" t="inlineStr">
        <is>
          <t>SÖDERKÖPING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34815-2022</t>
        </is>
      </c>
      <c r="B4747" s="1" t="n">
        <v>44796</v>
      </c>
      <c r="C4747" s="1" t="n">
        <v>45710</v>
      </c>
      <c r="D4747" t="inlineStr">
        <is>
          <t>ÖSTERGÖTLANDS LÄN</t>
        </is>
      </c>
      <c r="E4747" t="inlineStr">
        <is>
          <t>KINDA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34877-2022</t>
        </is>
      </c>
      <c r="B4748" s="1" t="n">
        <v>44796</v>
      </c>
      <c r="C4748" s="1" t="n">
        <v>45710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21.3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34880-2022</t>
        </is>
      </c>
      <c r="B4749" s="1" t="n">
        <v>44796</v>
      </c>
      <c r="C4749" s="1" t="n">
        <v>45710</v>
      </c>
      <c r="D4749" t="inlineStr">
        <is>
          <t>ÖSTERGÖTLANDS LÄN</t>
        </is>
      </c>
      <c r="E4749" t="inlineStr">
        <is>
          <t>LINKÖPING</t>
        </is>
      </c>
      <c r="F4749" t="inlineStr">
        <is>
          <t>Övriga statliga verk och myndigheter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34932-2022</t>
        </is>
      </c>
      <c r="B4750" s="1" t="n">
        <v>44796</v>
      </c>
      <c r="C4750" s="1" t="n">
        <v>45710</v>
      </c>
      <c r="D4750" t="inlineStr">
        <is>
          <t>ÖSTERGÖTLANDS LÄN</t>
        </is>
      </c>
      <c r="E4750" t="inlineStr">
        <is>
          <t>YDRE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34961-2022</t>
        </is>
      </c>
      <c r="B4751" s="1" t="n">
        <v>44796</v>
      </c>
      <c r="C4751" s="1" t="n">
        <v>45710</v>
      </c>
      <c r="D4751" t="inlineStr">
        <is>
          <t>ÖSTERGÖTLANDS LÄN</t>
        </is>
      </c>
      <c r="E4751" t="inlineStr">
        <is>
          <t>ÖDESHÖG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34979-2022</t>
        </is>
      </c>
      <c r="B4752" s="1" t="n">
        <v>44796</v>
      </c>
      <c r="C4752" s="1" t="n">
        <v>45710</v>
      </c>
      <c r="D4752" t="inlineStr">
        <is>
          <t>ÖSTERGÖTLANDS LÄN</t>
        </is>
      </c>
      <c r="E4752" t="inlineStr">
        <is>
          <t>ÖDESHÖG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34996-2022</t>
        </is>
      </c>
      <c r="B4753" s="1" t="n">
        <v>44796</v>
      </c>
      <c r="C4753" s="1" t="n">
        <v>45710</v>
      </c>
      <c r="D4753" t="inlineStr">
        <is>
          <t>ÖSTERGÖTLANDS LÄN</t>
        </is>
      </c>
      <c r="E4753" t="inlineStr">
        <is>
          <t>FINSPÅNG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35205-2022</t>
        </is>
      </c>
      <c r="B4754" s="1" t="n">
        <v>44797</v>
      </c>
      <c r="C4754" s="1" t="n">
        <v>45710</v>
      </c>
      <c r="D4754" t="inlineStr">
        <is>
          <t>ÖSTERGÖTLANDS LÄN</t>
        </is>
      </c>
      <c r="E4754" t="inlineStr">
        <is>
          <t>ÅTVIDABERG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35339-2022</t>
        </is>
      </c>
      <c r="B4755" s="1" t="n">
        <v>44798</v>
      </c>
      <c r="C4755" s="1" t="n">
        <v>45710</v>
      </c>
      <c r="D4755" t="inlineStr">
        <is>
          <t>ÖSTERGÖTLANDS LÄN</t>
        </is>
      </c>
      <c r="E4755" t="inlineStr">
        <is>
          <t>YDRE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35326-2022</t>
        </is>
      </c>
      <c r="B4756" s="1" t="n">
        <v>44798</v>
      </c>
      <c r="C4756" s="1" t="n">
        <v>45710</v>
      </c>
      <c r="D4756" t="inlineStr">
        <is>
          <t>ÖSTERGÖTLANDS LÄN</t>
        </is>
      </c>
      <c r="E4756" t="inlineStr">
        <is>
          <t>SÖDERKÖPING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35366-2022</t>
        </is>
      </c>
      <c r="B4757" s="1" t="n">
        <v>44798</v>
      </c>
      <c r="C4757" s="1" t="n">
        <v>45710</v>
      </c>
      <c r="D4757" t="inlineStr">
        <is>
          <t>ÖSTERGÖTLANDS LÄN</t>
        </is>
      </c>
      <c r="E4757" t="inlineStr">
        <is>
          <t>ÖDESHÖG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35443-2022</t>
        </is>
      </c>
      <c r="B4758" s="1" t="n">
        <v>44798</v>
      </c>
      <c r="C4758" s="1" t="n">
        <v>45710</v>
      </c>
      <c r="D4758" t="inlineStr">
        <is>
          <t>ÖSTERGÖTLANDS LÄN</t>
        </is>
      </c>
      <c r="E4758" t="inlineStr">
        <is>
          <t>ÖDESHÖG</t>
        </is>
      </c>
      <c r="G4758" t="n">
        <v>4.7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35423-2022</t>
        </is>
      </c>
      <c r="B4759" s="1" t="n">
        <v>44798</v>
      </c>
      <c r="C4759" s="1" t="n">
        <v>45710</v>
      </c>
      <c r="D4759" t="inlineStr">
        <is>
          <t>ÖSTERGÖTLANDS LÄN</t>
        </is>
      </c>
      <c r="E4759" t="inlineStr">
        <is>
          <t>SÖDERKÖPING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35659-2022</t>
        </is>
      </c>
      <c r="B4760" s="1" t="n">
        <v>44799</v>
      </c>
      <c r="C4760" s="1" t="n">
        <v>45710</v>
      </c>
      <c r="D4760" t="inlineStr">
        <is>
          <t>ÖSTERGÖTLANDS LÄN</t>
        </is>
      </c>
      <c r="E4760" t="inlineStr">
        <is>
          <t>VALDEMARSVIK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35653-2022</t>
        </is>
      </c>
      <c r="B4761" s="1" t="n">
        <v>44799</v>
      </c>
      <c r="C4761" s="1" t="n">
        <v>45710</v>
      </c>
      <c r="D4761" t="inlineStr">
        <is>
          <t>ÖSTERGÖTLANDS LÄN</t>
        </is>
      </c>
      <c r="E4761" t="inlineStr">
        <is>
          <t>KINDA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35662-2022</t>
        </is>
      </c>
      <c r="B4762" s="1" t="n">
        <v>44799</v>
      </c>
      <c r="C4762" s="1" t="n">
        <v>45710</v>
      </c>
      <c r="D4762" t="inlineStr">
        <is>
          <t>ÖSTERGÖTLANDS LÄN</t>
        </is>
      </c>
      <c r="E4762" t="inlineStr">
        <is>
          <t>KINDA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35650-2022</t>
        </is>
      </c>
      <c r="B4763" s="1" t="n">
        <v>44799</v>
      </c>
      <c r="C4763" s="1" t="n">
        <v>45710</v>
      </c>
      <c r="D4763" t="inlineStr">
        <is>
          <t>ÖSTERGÖTLANDS LÄN</t>
        </is>
      </c>
      <c r="E4763" t="inlineStr">
        <is>
          <t>KINDA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35654-2022</t>
        </is>
      </c>
      <c r="B4764" s="1" t="n">
        <v>44799</v>
      </c>
      <c r="C4764" s="1" t="n">
        <v>45710</v>
      </c>
      <c r="D4764" t="inlineStr">
        <is>
          <t>ÖSTERGÖTLANDS LÄN</t>
        </is>
      </c>
      <c r="E4764" t="inlineStr">
        <is>
          <t>KINDA</t>
        </is>
      </c>
      <c r="G4764" t="n">
        <v>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35663-2022</t>
        </is>
      </c>
      <c r="B4765" s="1" t="n">
        <v>44799</v>
      </c>
      <c r="C4765" s="1" t="n">
        <v>45710</v>
      </c>
      <c r="D4765" t="inlineStr">
        <is>
          <t>ÖSTERGÖTLANDS LÄN</t>
        </is>
      </c>
      <c r="E4765" t="inlineStr">
        <is>
          <t>MOTALA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35651-2022</t>
        </is>
      </c>
      <c r="B4766" s="1" t="n">
        <v>44799</v>
      </c>
      <c r="C4766" s="1" t="n">
        <v>45710</v>
      </c>
      <c r="D4766" t="inlineStr">
        <is>
          <t>ÖSTERGÖTLANDS LÄN</t>
        </is>
      </c>
      <c r="E4766" t="inlineStr">
        <is>
          <t>VALDEMARSVIK</t>
        </is>
      </c>
      <c r="G4766" t="n">
        <v>3.6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35655-2022</t>
        </is>
      </c>
      <c r="B4767" s="1" t="n">
        <v>44799</v>
      </c>
      <c r="C4767" s="1" t="n">
        <v>45710</v>
      </c>
      <c r="D4767" t="inlineStr">
        <is>
          <t>ÖSTERGÖTLANDS LÄN</t>
        </is>
      </c>
      <c r="E4767" t="inlineStr">
        <is>
          <t>VALDEMARSVIK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35714-2022</t>
        </is>
      </c>
      <c r="B4768" s="1" t="n">
        <v>44799</v>
      </c>
      <c r="C4768" s="1" t="n">
        <v>45710</v>
      </c>
      <c r="D4768" t="inlineStr">
        <is>
          <t>ÖSTERGÖTLANDS LÄN</t>
        </is>
      </c>
      <c r="E4768" t="inlineStr">
        <is>
          <t>FINSPÅNG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35672-2022</t>
        </is>
      </c>
      <c r="B4769" s="1" t="n">
        <v>44799</v>
      </c>
      <c r="C4769" s="1" t="n">
        <v>45710</v>
      </c>
      <c r="D4769" t="inlineStr">
        <is>
          <t>ÖSTERGÖTLANDS LÄN</t>
        </is>
      </c>
      <c r="E4769" t="inlineStr">
        <is>
          <t>KINDA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35810-2022</t>
        </is>
      </c>
      <c r="B4770" s="1" t="n">
        <v>44799</v>
      </c>
      <c r="C4770" s="1" t="n">
        <v>45710</v>
      </c>
      <c r="D4770" t="inlineStr">
        <is>
          <t>ÖSTERGÖTLANDS LÄN</t>
        </is>
      </c>
      <c r="E4770" t="inlineStr">
        <is>
          <t>FINSPÅNG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35789-2022</t>
        </is>
      </c>
      <c r="B4771" s="1" t="n">
        <v>44801</v>
      </c>
      <c r="C4771" s="1" t="n">
        <v>45710</v>
      </c>
      <c r="D4771" t="inlineStr">
        <is>
          <t>ÖSTERGÖTLANDS LÄN</t>
        </is>
      </c>
      <c r="E4771" t="inlineStr">
        <is>
          <t>KINDA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35788-2022</t>
        </is>
      </c>
      <c r="B4772" s="1" t="n">
        <v>44801</v>
      </c>
      <c r="C4772" s="1" t="n">
        <v>45710</v>
      </c>
      <c r="D4772" t="inlineStr">
        <is>
          <t>ÖSTERGÖTLANDS LÄN</t>
        </is>
      </c>
      <c r="E4772" t="inlineStr">
        <is>
          <t>KINDA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35864-2022</t>
        </is>
      </c>
      <c r="B4773" s="1" t="n">
        <v>44802</v>
      </c>
      <c r="C4773" s="1" t="n">
        <v>45710</v>
      </c>
      <c r="D4773" t="inlineStr">
        <is>
          <t>ÖSTERGÖTLANDS LÄN</t>
        </is>
      </c>
      <c r="E4773" t="inlineStr">
        <is>
          <t>FINSPÅNG</t>
        </is>
      </c>
      <c r="G4773" t="n">
        <v>9.5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35847-2022</t>
        </is>
      </c>
      <c r="B4774" s="1" t="n">
        <v>44802</v>
      </c>
      <c r="C4774" s="1" t="n">
        <v>45710</v>
      </c>
      <c r="D4774" t="inlineStr">
        <is>
          <t>ÖSTERGÖTLANDS LÄN</t>
        </is>
      </c>
      <c r="E4774" t="inlineStr">
        <is>
          <t>KINDA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36075-2022</t>
        </is>
      </c>
      <c r="B4775" s="1" t="n">
        <v>44802</v>
      </c>
      <c r="C4775" s="1" t="n">
        <v>45710</v>
      </c>
      <c r="D4775" t="inlineStr">
        <is>
          <t>ÖSTERGÖTLANDS LÄN</t>
        </is>
      </c>
      <c r="E4775" t="inlineStr">
        <is>
          <t>FINSPÅNG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36100-2022</t>
        </is>
      </c>
      <c r="B4776" s="1" t="n">
        <v>44802</v>
      </c>
      <c r="C4776" s="1" t="n">
        <v>45710</v>
      </c>
      <c r="D4776" t="inlineStr">
        <is>
          <t>ÖSTERGÖTLANDS LÄN</t>
        </is>
      </c>
      <c r="E4776" t="inlineStr">
        <is>
          <t>FINSPÅNG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36114-2022</t>
        </is>
      </c>
      <c r="B4777" s="1" t="n">
        <v>44803</v>
      </c>
      <c r="C4777" s="1" t="n">
        <v>45710</v>
      </c>
      <c r="D4777" t="inlineStr">
        <is>
          <t>ÖSTERGÖTLANDS LÄN</t>
        </is>
      </c>
      <c r="E4777" t="inlineStr">
        <is>
          <t>ÖDESHÖG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36124-2022</t>
        </is>
      </c>
      <c r="B4778" s="1" t="n">
        <v>44803</v>
      </c>
      <c r="C4778" s="1" t="n">
        <v>45710</v>
      </c>
      <c r="D4778" t="inlineStr">
        <is>
          <t>ÖSTERGÖTLANDS LÄN</t>
        </is>
      </c>
      <c r="E4778" t="inlineStr">
        <is>
          <t>ÖDESHÖG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36281-2022</t>
        </is>
      </c>
      <c r="B4779" s="1" t="n">
        <v>44803</v>
      </c>
      <c r="C4779" s="1" t="n">
        <v>45710</v>
      </c>
      <c r="D4779" t="inlineStr">
        <is>
          <t>ÖSTERGÖTLANDS LÄN</t>
        </is>
      </c>
      <c r="E4779" t="inlineStr">
        <is>
          <t>BOXHOLM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36258-2022</t>
        </is>
      </c>
      <c r="B4780" s="1" t="n">
        <v>44803</v>
      </c>
      <c r="C4780" s="1" t="n">
        <v>45710</v>
      </c>
      <c r="D4780" t="inlineStr">
        <is>
          <t>ÖSTERGÖTLANDS LÄN</t>
        </is>
      </c>
      <c r="E4780" t="inlineStr">
        <is>
          <t>NORRKÖPING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36331-2022</t>
        </is>
      </c>
      <c r="B4781" s="1" t="n">
        <v>44803</v>
      </c>
      <c r="C4781" s="1" t="n">
        <v>45710</v>
      </c>
      <c r="D4781" t="inlineStr">
        <is>
          <t>ÖSTERGÖTLANDS LÄN</t>
        </is>
      </c>
      <c r="E4781" t="inlineStr">
        <is>
          <t>BOXHOLM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36341-2022</t>
        </is>
      </c>
      <c r="B4782" s="1" t="n">
        <v>44803</v>
      </c>
      <c r="C4782" s="1" t="n">
        <v>45710</v>
      </c>
      <c r="D4782" t="inlineStr">
        <is>
          <t>ÖSTERGÖTLANDS LÄN</t>
        </is>
      </c>
      <c r="E4782" t="inlineStr">
        <is>
          <t>LINKÖPING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36336-2022</t>
        </is>
      </c>
      <c r="B4783" s="1" t="n">
        <v>44803</v>
      </c>
      <c r="C4783" s="1" t="n">
        <v>45710</v>
      </c>
      <c r="D4783" t="inlineStr">
        <is>
          <t>ÖSTERGÖTLANDS LÄN</t>
        </is>
      </c>
      <c r="E4783" t="inlineStr">
        <is>
          <t>LINKÖPING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36408-2022</t>
        </is>
      </c>
      <c r="B4784" s="1" t="n">
        <v>44804</v>
      </c>
      <c r="C4784" s="1" t="n">
        <v>45710</v>
      </c>
      <c r="D4784" t="inlineStr">
        <is>
          <t>ÖSTERGÖTLANDS LÄN</t>
        </is>
      </c>
      <c r="E4784" t="inlineStr">
        <is>
          <t>NORRKÖPING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36533-2022</t>
        </is>
      </c>
      <c r="B4785" s="1" t="n">
        <v>44804</v>
      </c>
      <c r="C4785" s="1" t="n">
        <v>45710</v>
      </c>
      <c r="D4785" t="inlineStr">
        <is>
          <t>ÖSTERGÖTLANDS LÄN</t>
        </is>
      </c>
      <c r="E4785" t="inlineStr">
        <is>
          <t>KINDA</t>
        </is>
      </c>
      <c r="F4785" t="inlineStr">
        <is>
          <t>Allmännings- och besparingsskogar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36573-2022</t>
        </is>
      </c>
      <c r="B4786" s="1" t="n">
        <v>44804</v>
      </c>
      <c r="C4786" s="1" t="n">
        <v>45710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Holmen skog AB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36589-2022</t>
        </is>
      </c>
      <c r="B4787" s="1" t="n">
        <v>44804</v>
      </c>
      <c r="C4787" s="1" t="n">
        <v>45710</v>
      </c>
      <c r="D4787" t="inlineStr">
        <is>
          <t>ÖSTERGÖTLANDS LÄN</t>
        </is>
      </c>
      <c r="E4787" t="inlineStr">
        <is>
          <t>LINKÖPING</t>
        </is>
      </c>
      <c r="F4787" t="inlineStr">
        <is>
          <t>Allmännings- och besparingsskogar</t>
        </is>
      </c>
      <c r="G4787" t="n">
        <v>13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36725-2022</t>
        </is>
      </c>
      <c r="B4788" s="1" t="n">
        <v>44804</v>
      </c>
      <c r="C4788" s="1" t="n">
        <v>45710</v>
      </c>
      <c r="D4788" t="inlineStr">
        <is>
          <t>ÖSTERGÖTLANDS LÄN</t>
        </is>
      </c>
      <c r="E4788" t="inlineStr">
        <is>
          <t>MOTALA</t>
        </is>
      </c>
      <c r="G4788" t="n">
        <v>4.8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36734-2022</t>
        </is>
      </c>
      <c r="B4789" s="1" t="n">
        <v>44805</v>
      </c>
      <c r="C4789" s="1" t="n">
        <v>45710</v>
      </c>
      <c r="D4789" t="inlineStr">
        <is>
          <t>ÖSTERGÖTLANDS LÄN</t>
        </is>
      </c>
      <c r="E4789" t="inlineStr">
        <is>
          <t>SÖDERKÖPING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36790-2022</t>
        </is>
      </c>
      <c r="B4790" s="1" t="n">
        <v>44805</v>
      </c>
      <c r="C4790" s="1" t="n">
        <v>45710</v>
      </c>
      <c r="D4790" t="inlineStr">
        <is>
          <t>ÖSTERGÖTLANDS LÄN</t>
        </is>
      </c>
      <c r="E4790" t="inlineStr">
        <is>
          <t>VALDEMARSVIK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36826-2022</t>
        </is>
      </c>
      <c r="B4791" s="1" t="n">
        <v>44805</v>
      </c>
      <c r="C4791" s="1" t="n">
        <v>45710</v>
      </c>
      <c r="D4791" t="inlineStr">
        <is>
          <t>ÖSTERGÖTLANDS LÄN</t>
        </is>
      </c>
      <c r="E4791" t="inlineStr">
        <is>
          <t>KINDA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36789-2022</t>
        </is>
      </c>
      <c r="B4792" s="1" t="n">
        <v>44805</v>
      </c>
      <c r="C4792" s="1" t="n">
        <v>45710</v>
      </c>
      <c r="D4792" t="inlineStr">
        <is>
          <t>ÖSTERGÖTLANDS LÄN</t>
        </is>
      </c>
      <c r="E4792" t="inlineStr">
        <is>
          <t>KINDA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36824-2022</t>
        </is>
      </c>
      <c r="B4793" s="1" t="n">
        <v>44805</v>
      </c>
      <c r="C4793" s="1" t="n">
        <v>45710</v>
      </c>
      <c r="D4793" t="inlineStr">
        <is>
          <t>ÖSTERGÖTLANDS LÄN</t>
        </is>
      </c>
      <c r="E4793" t="inlineStr">
        <is>
          <t>KINDA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36785-2022</t>
        </is>
      </c>
      <c r="B4794" s="1" t="n">
        <v>44805</v>
      </c>
      <c r="C4794" s="1" t="n">
        <v>45710</v>
      </c>
      <c r="D4794" t="inlineStr">
        <is>
          <t>ÖSTERGÖTLANDS LÄN</t>
        </is>
      </c>
      <c r="E4794" t="inlineStr">
        <is>
          <t>VALDEMARSVIK</t>
        </is>
      </c>
      <c r="G4794" t="n">
        <v>4.2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36821-2022</t>
        </is>
      </c>
      <c r="B4795" s="1" t="n">
        <v>44805</v>
      </c>
      <c r="C4795" s="1" t="n">
        <v>45710</v>
      </c>
      <c r="D4795" t="inlineStr">
        <is>
          <t>ÖSTERGÖTLANDS LÄN</t>
        </is>
      </c>
      <c r="E4795" t="inlineStr">
        <is>
          <t>KINDA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36822-2022</t>
        </is>
      </c>
      <c r="B4796" s="1" t="n">
        <v>44805</v>
      </c>
      <c r="C4796" s="1" t="n">
        <v>45710</v>
      </c>
      <c r="D4796" t="inlineStr">
        <is>
          <t>ÖSTERGÖTLANDS LÄN</t>
        </is>
      </c>
      <c r="E4796" t="inlineStr">
        <is>
          <t>KINDA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36954-2022</t>
        </is>
      </c>
      <c r="B4797" s="1" t="n">
        <v>44805</v>
      </c>
      <c r="C4797" s="1" t="n">
        <v>45710</v>
      </c>
      <c r="D4797" t="inlineStr">
        <is>
          <t>ÖSTERGÖTLANDS LÄN</t>
        </is>
      </c>
      <c r="E4797" t="inlineStr">
        <is>
          <t>NORRKÖPING</t>
        </is>
      </c>
      <c r="F4797" t="inlineStr">
        <is>
          <t>Allmännings- och besparingsskogar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36887-2022</t>
        </is>
      </c>
      <c r="B4798" s="1" t="n">
        <v>44805</v>
      </c>
      <c r="C4798" s="1" t="n">
        <v>45710</v>
      </c>
      <c r="D4798" t="inlineStr">
        <is>
          <t>ÖSTERGÖTLANDS LÄN</t>
        </is>
      </c>
      <c r="E4798" t="inlineStr">
        <is>
          <t>NORRKÖPING</t>
        </is>
      </c>
      <c r="F4798" t="inlineStr">
        <is>
          <t>Allmännings- och besparingsskogar</t>
        </is>
      </c>
      <c r="G4798" t="n">
        <v>4.9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36967-2022</t>
        </is>
      </c>
      <c r="B4799" s="1" t="n">
        <v>44806</v>
      </c>
      <c r="C4799" s="1" t="n">
        <v>45710</v>
      </c>
      <c r="D4799" t="inlineStr">
        <is>
          <t>ÖSTERGÖTLANDS LÄN</t>
        </is>
      </c>
      <c r="E4799" t="inlineStr">
        <is>
          <t>ÅTVIDABERG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36972-2022</t>
        </is>
      </c>
      <c r="B4800" s="1" t="n">
        <v>44806</v>
      </c>
      <c r="C4800" s="1" t="n">
        <v>45710</v>
      </c>
      <c r="D4800" t="inlineStr">
        <is>
          <t>ÖSTERGÖTLANDS LÄN</t>
        </is>
      </c>
      <c r="E4800" t="inlineStr">
        <is>
          <t>ÅTVIDABERG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36994-2022</t>
        </is>
      </c>
      <c r="B4801" s="1" t="n">
        <v>44806</v>
      </c>
      <c r="C4801" s="1" t="n">
        <v>45710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37179-2022</t>
        </is>
      </c>
      <c r="B4802" s="1" t="n">
        <v>44806</v>
      </c>
      <c r="C4802" s="1" t="n">
        <v>45710</v>
      </c>
      <c r="D4802" t="inlineStr">
        <is>
          <t>ÖSTERGÖTLANDS LÄN</t>
        </is>
      </c>
      <c r="E4802" t="inlineStr">
        <is>
          <t>ÅTVIDABERG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37473-2022</t>
        </is>
      </c>
      <c r="B4803" s="1" t="n">
        <v>44809</v>
      </c>
      <c r="C4803" s="1" t="n">
        <v>45710</v>
      </c>
      <c r="D4803" t="inlineStr">
        <is>
          <t>ÖSTERGÖTLANDS LÄN</t>
        </is>
      </c>
      <c r="E4803" t="inlineStr">
        <is>
          <t>MOTALA</t>
        </is>
      </c>
      <c r="F4803" t="inlineStr">
        <is>
          <t>Övriga statliga verk och myndigheter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37477-2022</t>
        </is>
      </c>
      <c r="B4804" s="1" t="n">
        <v>44809</v>
      </c>
      <c r="C4804" s="1" t="n">
        <v>45710</v>
      </c>
      <c r="D4804" t="inlineStr">
        <is>
          <t>ÖSTERGÖTLANDS LÄN</t>
        </is>
      </c>
      <c r="E4804" t="inlineStr">
        <is>
          <t>MOTALA</t>
        </is>
      </c>
      <c r="F4804" t="inlineStr">
        <is>
          <t>Övriga statliga verk och myndigheter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37465-2022</t>
        </is>
      </c>
      <c r="B4805" s="1" t="n">
        <v>44809</v>
      </c>
      <c r="C4805" s="1" t="n">
        <v>45710</v>
      </c>
      <c r="D4805" t="inlineStr">
        <is>
          <t>ÖSTERGÖTLANDS LÄN</t>
        </is>
      </c>
      <c r="E4805" t="inlineStr">
        <is>
          <t>MOTALA</t>
        </is>
      </c>
      <c r="F4805" t="inlineStr">
        <is>
          <t>Övriga statliga verk och myndigheter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37496-2022</t>
        </is>
      </c>
      <c r="B4806" s="1" t="n">
        <v>44809</v>
      </c>
      <c r="C4806" s="1" t="n">
        <v>45710</v>
      </c>
      <c r="D4806" t="inlineStr">
        <is>
          <t>ÖSTERGÖTLANDS LÄN</t>
        </is>
      </c>
      <c r="E4806" t="inlineStr">
        <is>
          <t>MOTALA</t>
        </is>
      </c>
      <c r="F4806" t="inlineStr">
        <is>
          <t>Övriga statliga verk och myndigheter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37578-2022</t>
        </is>
      </c>
      <c r="B4807" s="1" t="n">
        <v>44809</v>
      </c>
      <c r="C4807" s="1" t="n">
        <v>45710</v>
      </c>
      <c r="D4807" t="inlineStr">
        <is>
          <t>ÖSTERGÖTLANDS LÄN</t>
        </is>
      </c>
      <c r="E4807" t="inlineStr">
        <is>
          <t>BOXHOLM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37934-2022</t>
        </is>
      </c>
      <c r="B4808" s="1" t="n">
        <v>44809</v>
      </c>
      <c r="C4808" s="1" t="n">
        <v>45710</v>
      </c>
      <c r="D4808" t="inlineStr">
        <is>
          <t>ÖSTERGÖTLANDS LÄN</t>
        </is>
      </c>
      <c r="E4808" t="inlineStr">
        <is>
          <t>LINKÖPING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37715-2022</t>
        </is>
      </c>
      <c r="B4809" s="1" t="n">
        <v>44810</v>
      </c>
      <c r="C4809" s="1" t="n">
        <v>45710</v>
      </c>
      <c r="D4809" t="inlineStr">
        <is>
          <t>ÖSTERGÖTLANDS LÄN</t>
        </is>
      </c>
      <c r="E4809" t="inlineStr">
        <is>
          <t>LINKÖPING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37756-2022</t>
        </is>
      </c>
      <c r="B4810" s="1" t="n">
        <v>44810</v>
      </c>
      <c r="C4810" s="1" t="n">
        <v>45710</v>
      </c>
      <c r="D4810" t="inlineStr">
        <is>
          <t>ÖSTERGÖTLANDS LÄN</t>
        </is>
      </c>
      <c r="E4810" t="inlineStr">
        <is>
          <t>LINKÖPING</t>
        </is>
      </c>
      <c r="G4810" t="n">
        <v>9.800000000000001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37806-2022</t>
        </is>
      </c>
      <c r="B4811" s="1" t="n">
        <v>44810</v>
      </c>
      <c r="C4811" s="1" t="n">
        <v>45710</v>
      </c>
      <c r="D4811" t="inlineStr">
        <is>
          <t>ÖSTERGÖTLANDS LÄN</t>
        </is>
      </c>
      <c r="E4811" t="inlineStr">
        <is>
          <t>MJÖLBY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37779-2022</t>
        </is>
      </c>
      <c r="B4812" s="1" t="n">
        <v>44810</v>
      </c>
      <c r="C4812" s="1" t="n">
        <v>45710</v>
      </c>
      <c r="D4812" t="inlineStr">
        <is>
          <t>ÖSTERGÖTLANDS LÄN</t>
        </is>
      </c>
      <c r="E4812" t="inlineStr">
        <is>
          <t>LINKÖPING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37796-2022</t>
        </is>
      </c>
      <c r="B4813" s="1" t="n">
        <v>44810</v>
      </c>
      <c r="C4813" s="1" t="n">
        <v>45710</v>
      </c>
      <c r="D4813" t="inlineStr">
        <is>
          <t>ÖSTERGÖTLANDS LÄN</t>
        </is>
      </c>
      <c r="E4813" t="inlineStr">
        <is>
          <t>MJÖLBY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37802-2022</t>
        </is>
      </c>
      <c r="B4814" s="1" t="n">
        <v>44810</v>
      </c>
      <c r="C4814" s="1" t="n">
        <v>45710</v>
      </c>
      <c r="D4814" t="inlineStr">
        <is>
          <t>ÖSTERGÖTLANDS LÄN</t>
        </is>
      </c>
      <c r="E4814" t="inlineStr">
        <is>
          <t>MJÖLBY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37880-2022</t>
        </is>
      </c>
      <c r="B4815" s="1" t="n">
        <v>44811</v>
      </c>
      <c r="C4815" s="1" t="n">
        <v>45710</v>
      </c>
      <c r="D4815" t="inlineStr">
        <is>
          <t>ÖSTERGÖTLANDS LÄN</t>
        </is>
      </c>
      <c r="E4815" t="inlineStr">
        <is>
          <t>KINDA</t>
        </is>
      </c>
      <c r="G4815" t="n">
        <v>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38105-2022</t>
        </is>
      </c>
      <c r="B4816" s="1" t="n">
        <v>44812</v>
      </c>
      <c r="C4816" s="1" t="n">
        <v>45710</v>
      </c>
      <c r="D4816" t="inlineStr">
        <is>
          <t>ÖSTERGÖTLANDS LÄN</t>
        </is>
      </c>
      <c r="E4816" t="inlineStr">
        <is>
          <t>ÅTVIDABERG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38235-2022</t>
        </is>
      </c>
      <c r="B4817" s="1" t="n">
        <v>44812</v>
      </c>
      <c r="C4817" s="1" t="n">
        <v>45710</v>
      </c>
      <c r="D4817" t="inlineStr">
        <is>
          <t>ÖSTERGÖTLANDS LÄN</t>
        </is>
      </c>
      <c r="E4817" t="inlineStr">
        <is>
          <t>LINKÖPING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38266-2022</t>
        </is>
      </c>
      <c r="B4818" s="1" t="n">
        <v>44812</v>
      </c>
      <c r="C4818" s="1" t="n">
        <v>45710</v>
      </c>
      <c r="D4818" t="inlineStr">
        <is>
          <t>ÖSTERGÖTLANDS LÄN</t>
        </is>
      </c>
      <c r="E4818" t="inlineStr">
        <is>
          <t>ÖDESHÖG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38281-2022</t>
        </is>
      </c>
      <c r="B4819" s="1" t="n">
        <v>44812</v>
      </c>
      <c r="C4819" s="1" t="n">
        <v>45710</v>
      </c>
      <c r="D4819" t="inlineStr">
        <is>
          <t>ÖSTERGÖTLANDS LÄN</t>
        </is>
      </c>
      <c r="E4819" t="inlineStr">
        <is>
          <t>ÖDESHÖG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38626-2022</t>
        </is>
      </c>
      <c r="B4820" s="1" t="n">
        <v>44813</v>
      </c>
      <c r="C4820" s="1" t="n">
        <v>45710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38595-2022</t>
        </is>
      </c>
      <c r="B4821" s="1" t="n">
        <v>44813</v>
      </c>
      <c r="C4821" s="1" t="n">
        <v>45710</v>
      </c>
      <c r="D4821" t="inlineStr">
        <is>
          <t>ÖSTERGÖTLANDS LÄN</t>
        </is>
      </c>
      <c r="E4821" t="inlineStr">
        <is>
          <t>SÖDERKÖPING</t>
        </is>
      </c>
      <c r="F4821" t="inlineStr">
        <is>
          <t>Holmen skog AB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38613-2022</t>
        </is>
      </c>
      <c r="B4822" s="1" t="n">
        <v>44813</v>
      </c>
      <c r="C4822" s="1" t="n">
        <v>45710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38844-2022</t>
        </is>
      </c>
      <c r="B4823" s="1" t="n">
        <v>44816</v>
      </c>
      <c r="C4823" s="1" t="n">
        <v>45710</v>
      </c>
      <c r="D4823" t="inlineStr">
        <is>
          <t>ÖSTERGÖTLANDS LÄN</t>
        </is>
      </c>
      <c r="E4823" t="inlineStr">
        <is>
          <t>YDRE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38750-2022</t>
        </is>
      </c>
      <c r="B4824" s="1" t="n">
        <v>44816</v>
      </c>
      <c r="C4824" s="1" t="n">
        <v>45710</v>
      </c>
      <c r="D4824" t="inlineStr">
        <is>
          <t>ÖSTERGÖTLANDS LÄN</t>
        </is>
      </c>
      <c r="E4824" t="inlineStr">
        <is>
          <t>ÅTVIDABERG</t>
        </is>
      </c>
      <c r="F4824" t="inlineStr">
        <is>
          <t>Övriga Aktiebolag</t>
        </is>
      </c>
      <c r="G4824" t="n">
        <v>4.9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38740-2022</t>
        </is>
      </c>
      <c r="B4825" s="1" t="n">
        <v>44816</v>
      </c>
      <c r="C4825" s="1" t="n">
        <v>45710</v>
      </c>
      <c r="D4825" t="inlineStr">
        <is>
          <t>ÖSTERGÖTLANDS LÄN</t>
        </is>
      </c>
      <c r="E4825" t="inlineStr">
        <is>
          <t>ÅTVIDABERG</t>
        </is>
      </c>
      <c r="F4825" t="inlineStr">
        <is>
          <t>Övriga Aktiebolag</t>
        </is>
      </c>
      <c r="G4825" t="n">
        <v>10.9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38928-2022</t>
        </is>
      </c>
      <c r="B4826" s="1" t="n">
        <v>44816</v>
      </c>
      <c r="C4826" s="1" t="n">
        <v>45710</v>
      </c>
      <c r="D4826" t="inlineStr">
        <is>
          <t>ÖSTERGÖTLANDS LÄN</t>
        </is>
      </c>
      <c r="E4826" t="inlineStr">
        <is>
          <t>YDRE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38935-2022</t>
        </is>
      </c>
      <c r="B4827" s="1" t="n">
        <v>44816</v>
      </c>
      <c r="C4827" s="1" t="n">
        <v>45710</v>
      </c>
      <c r="D4827" t="inlineStr">
        <is>
          <t>ÖSTERGÖTLANDS LÄN</t>
        </is>
      </c>
      <c r="E4827" t="inlineStr">
        <is>
          <t>YDRE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38963-2022</t>
        </is>
      </c>
      <c r="B4828" s="1" t="n">
        <v>44816</v>
      </c>
      <c r="C4828" s="1" t="n">
        <v>45710</v>
      </c>
      <c r="D4828" t="inlineStr">
        <is>
          <t>ÖSTERGÖTLANDS LÄN</t>
        </is>
      </c>
      <c r="E4828" t="inlineStr">
        <is>
          <t>FINSPÅNG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38964-2022</t>
        </is>
      </c>
      <c r="B4829" s="1" t="n">
        <v>44816</v>
      </c>
      <c r="C4829" s="1" t="n">
        <v>45710</v>
      </c>
      <c r="D4829" t="inlineStr">
        <is>
          <t>ÖSTERGÖTLANDS LÄN</t>
        </is>
      </c>
      <c r="E4829" t="inlineStr">
        <is>
          <t>FINSPÅNG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39072-2022</t>
        </is>
      </c>
      <c r="B4830" s="1" t="n">
        <v>44816</v>
      </c>
      <c r="C4830" s="1" t="n">
        <v>45710</v>
      </c>
      <c r="D4830" t="inlineStr">
        <is>
          <t>ÖSTERGÖTLANDS LÄN</t>
        </is>
      </c>
      <c r="E4830" t="inlineStr">
        <is>
          <t>MOTALA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39085-2022</t>
        </is>
      </c>
      <c r="B4831" s="1" t="n">
        <v>44816</v>
      </c>
      <c r="C4831" s="1" t="n">
        <v>45710</v>
      </c>
      <c r="D4831" t="inlineStr">
        <is>
          <t>ÖSTERGÖTLANDS LÄN</t>
        </is>
      </c>
      <c r="E4831" t="inlineStr">
        <is>
          <t>YDRE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39014-2022</t>
        </is>
      </c>
      <c r="B4832" s="1" t="n">
        <v>44816</v>
      </c>
      <c r="C4832" s="1" t="n">
        <v>45710</v>
      </c>
      <c r="D4832" t="inlineStr">
        <is>
          <t>ÖSTERGÖTLANDS LÄN</t>
        </is>
      </c>
      <c r="E4832" t="inlineStr">
        <is>
          <t>FINSPÅNG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39317-2022</t>
        </is>
      </c>
      <c r="B4833" s="1" t="n">
        <v>44817</v>
      </c>
      <c r="C4833" s="1" t="n">
        <v>45710</v>
      </c>
      <c r="D4833" t="inlineStr">
        <is>
          <t>ÖSTERGÖTLANDS LÄN</t>
        </is>
      </c>
      <c r="E4833" t="inlineStr">
        <is>
          <t>ÖDESHÖG</t>
        </is>
      </c>
      <c r="F4833" t="inlineStr">
        <is>
          <t>Allmännings- och besparingsskogar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39020-2022</t>
        </is>
      </c>
      <c r="B4834" s="1" t="n">
        <v>44817</v>
      </c>
      <c r="C4834" s="1" t="n">
        <v>45710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39071-2022</t>
        </is>
      </c>
      <c r="B4835" s="1" t="n">
        <v>44817</v>
      </c>
      <c r="C4835" s="1" t="n">
        <v>45710</v>
      </c>
      <c r="D4835" t="inlineStr">
        <is>
          <t>ÖSTERGÖTLANDS LÄN</t>
        </is>
      </c>
      <c r="E4835" t="inlineStr">
        <is>
          <t>ÅTVIDABERG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39205-2022</t>
        </is>
      </c>
      <c r="B4836" s="1" t="n">
        <v>44817</v>
      </c>
      <c r="C4836" s="1" t="n">
        <v>45710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Holmen skog AB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39197-2022</t>
        </is>
      </c>
      <c r="B4837" s="1" t="n">
        <v>44817</v>
      </c>
      <c r="C4837" s="1" t="n">
        <v>45710</v>
      </c>
      <c r="D4837" t="inlineStr">
        <is>
          <t>ÖSTERGÖTLANDS LÄN</t>
        </is>
      </c>
      <c r="E4837" t="inlineStr">
        <is>
          <t>NORRKÖPING</t>
        </is>
      </c>
      <c r="F4837" t="inlineStr">
        <is>
          <t>Holmen skog AB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39078-2022</t>
        </is>
      </c>
      <c r="B4838" s="1" t="n">
        <v>44817</v>
      </c>
      <c r="C4838" s="1" t="n">
        <v>45710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39168-2022</t>
        </is>
      </c>
      <c r="B4839" s="1" t="n">
        <v>44817</v>
      </c>
      <c r="C4839" s="1" t="n">
        <v>45710</v>
      </c>
      <c r="D4839" t="inlineStr">
        <is>
          <t>ÖSTERGÖTLANDS LÄN</t>
        </is>
      </c>
      <c r="E4839" t="inlineStr">
        <is>
          <t>FINSPÅNG</t>
        </is>
      </c>
      <c r="G4839" t="n">
        <v>10.8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39417-2022</t>
        </is>
      </c>
      <c r="B4840" s="1" t="n">
        <v>44818</v>
      </c>
      <c r="C4840" s="1" t="n">
        <v>45710</v>
      </c>
      <c r="D4840" t="inlineStr">
        <is>
          <t>ÖSTERGÖTLANDS LÄN</t>
        </is>
      </c>
      <c r="E4840" t="inlineStr">
        <is>
          <t>KINDA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39358-2022</t>
        </is>
      </c>
      <c r="B4841" s="1" t="n">
        <v>44818</v>
      </c>
      <c r="C4841" s="1" t="n">
        <v>45710</v>
      </c>
      <c r="D4841" t="inlineStr">
        <is>
          <t>ÖSTERGÖTLANDS LÄN</t>
        </is>
      </c>
      <c r="E4841" t="inlineStr">
        <is>
          <t>FINSPÅNG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39357-2022</t>
        </is>
      </c>
      <c r="B4842" s="1" t="n">
        <v>44818</v>
      </c>
      <c r="C4842" s="1" t="n">
        <v>45710</v>
      </c>
      <c r="D4842" t="inlineStr">
        <is>
          <t>ÖSTERGÖTLANDS LÄN</t>
        </is>
      </c>
      <c r="E4842" t="inlineStr">
        <is>
          <t>FINSPÅNG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39356-2022</t>
        </is>
      </c>
      <c r="B4843" s="1" t="n">
        <v>44817</v>
      </c>
      <c r="C4843" s="1" t="n">
        <v>45710</v>
      </c>
      <c r="D4843" t="inlineStr">
        <is>
          <t>ÖSTERGÖTLANDS LÄN</t>
        </is>
      </c>
      <c r="E4843" t="inlineStr">
        <is>
          <t>FINSPÅNG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39583-2022</t>
        </is>
      </c>
      <c r="B4844" s="1" t="n">
        <v>44818</v>
      </c>
      <c r="C4844" s="1" t="n">
        <v>45710</v>
      </c>
      <c r="D4844" t="inlineStr">
        <is>
          <t>ÖSTERGÖTLANDS LÄN</t>
        </is>
      </c>
      <c r="E4844" t="inlineStr">
        <is>
          <t>VALDEMARSVIK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39807-2022</t>
        </is>
      </c>
      <c r="B4845" s="1" t="n">
        <v>44819</v>
      </c>
      <c r="C4845" s="1" t="n">
        <v>45710</v>
      </c>
      <c r="D4845" t="inlineStr">
        <is>
          <t>ÖSTERGÖTLANDS LÄN</t>
        </is>
      </c>
      <c r="E4845" t="inlineStr">
        <is>
          <t>BOXHOLM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39917-2022</t>
        </is>
      </c>
      <c r="B4846" s="1" t="n">
        <v>44819</v>
      </c>
      <c r="C4846" s="1" t="n">
        <v>45710</v>
      </c>
      <c r="D4846" t="inlineStr">
        <is>
          <t>ÖSTERGÖTLANDS LÄN</t>
        </is>
      </c>
      <c r="E4846" t="inlineStr">
        <is>
          <t>FINSPÅNG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40538-2022</t>
        </is>
      </c>
      <c r="B4847" s="1" t="n">
        <v>44819</v>
      </c>
      <c r="C4847" s="1" t="n">
        <v>45710</v>
      </c>
      <c r="D4847" t="inlineStr">
        <is>
          <t>ÖSTERGÖTLANDS LÄN</t>
        </is>
      </c>
      <c r="E4847" t="inlineStr">
        <is>
          <t>MOTALA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40528-2022</t>
        </is>
      </c>
      <c r="B4848" s="1" t="n">
        <v>44819</v>
      </c>
      <c r="C4848" s="1" t="n">
        <v>45710</v>
      </c>
      <c r="D4848" t="inlineStr">
        <is>
          <t>ÖSTERGÖTLANDS LÄN</t>
        </is>
      </c>
      <c r="E4848" t="inlineStr">
        <is>
          <t>MOTALA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40518-2022</t>
        </is>
      </c>
      <c r="B4849" s="1" t="n">
        <v>44819</v>
      </c>
      <c r="C4849" s="1" t="n">
        <v>45710</v>
      </c>
      <c r="D4849" t="inlineStr">
        <is>
          <t>ÖSTERGÖTLANDS LÄN</t>
        </is>
      </c>
      <c r="E4849" t="inlineStr">
        <is>
          <t>MOTALA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39987-2022</t>
        </is>
      </c>
      <c r="B4850" s="1" t="n">
        <v>44820</v>
      </c>
      <c r="C4850" s="1" t="n">
        <v>45710</v>
      </c>
      <c r="D4850" t="inlineStr">
        <is>
          <t>ÖSTERGÖTLANDS LÄN</t>
        </is>
      </c>
      <c r="E4850" t="inlineStr">
        <is>
          <t>NORRKÖPING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40070-2022</t>
        </is>
      </c>
      <c r="B4851" s="1" t="n">
        <v>44820</v>
      </c>
      <c r="C4851" s="1" t="n">
        <v>45710</v>
      </c>
      <c r="D4851" t="inlineStr">
        <is>
          <t>ÖSTERGÖTLANDS LÄN</t>
        </is>
      </c>
      <c r="E4851" t="inlineStr">
        <is>
          <t>YDRE</t>
        </is>
      </c>
      <c r="G4851" t="n">
        <v>17.3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40194-2022</t>
        </is>
      </c>
      <c r="B4852" s="1" t="n">
        <v>44820</v>
      </c>
      <c r="C4852" s="1" t="n">
        <v>45710</v>
      </c>
      <c r="D4852" t="inlineStr">
        <is>
          <t>ÖSTERGÖTLANDS LÄN</t>
        </is>
      </c>
      <c r="E4852" t="inlineStr">
        <is>
          <t>FINSPÅNG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40179-2022</t>
        </is>
      </c>
      <c r="B4853" s="1" t="n">
        <v>44820</v>
      </c>
      <c r="C4853" s="1" t="n">
        <v>45710</v>
      </c>
      <c r="D4853" t="inlineStr">
        <is>
          <t>ÖSTERGÖTLANDS LÄN</t>
        </is>
      </c>
      <c r="E4853" t="inlineStr">
        <is>
          <t>FINSPÅNG</t>
        </is>
      </c>
      <c r="G4853" t="n">
        <v>0.3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41257-2022</t>
        </is>
      </c>
      <c r="B4854" s="1" t="n">
        <v>44820</v>
      </c>
      <c r="C4854" s="1" t="n">
        <v>45710</v>
      </c>
      <c r="D4854" t="inlineStr">
        <is>
          <t>ÖSTERGÖTLANDS LÄN</t>
        </is>
      </c>
      <c r="E4854" t="inlineStr">
        <is>
          <t>ÖDESHÖG</t>
        </is>
      </c>
      <c r="G4854" t="n">
        <v>5.1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40319-2022</t>
        </is>
      </c>
      <c r="B4855" s="1" t="n">
        <v>44823</v>
      </c>
      <c r="C4855" s="1" t="n">
        <v>45710</v>
      </c>
      <c r="D4855" t="inlineStr">
        <is>
          <t>ÖSTERGÖTLANDS LÄN</t>
        </is>
      </c>
      <c r="E4855" t="inlineStr">
        <is>
          <t>FINSPÅNG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40527-2022</t>
        </is>
      </c>
      <c r="B4856" s="1" t="n">
        <v>44823</v>
      </c>
      <c r="C4856" s="1" t="n">
        <v>45710</v>
      </c>
      <c r="D4856" t="inlineStr">
        <is>
          <t>ÖSTERGÖTLANDS LÄN</t>
        </is>
      </c>
      <c r="E4856" t="inlineStr">
        <is>
          <t>LINKÖPING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40776-2022</t>
        </is>
      </c>
      <c r="B4857" s="1" t="n">
        <v>44824</v>
      </c>
      <c r="C4857" s="1" t="n">
        <v>45710</v>
      </c>
      <c r="D4857" t="inlineStr">
        <is>
          <t>ÖSTERGÖTLANDS LÄN</t>
        </is>
      </c>
      <c r="E4857" t="inlineStr">
        <is>
          <t>MOTALA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40822-2022</t>
        </is>
      </c>
      <c r="B4858" s="1" t="n">
        <v>44824</v>
      </c>
      <c r="C4858" s="1" t="n">
        <v>45710</v>
      </c>
      <c r="D4858" t="inlineStr">
        <is>
          <t>ÖSTERGÖTLANDS LÄN</t>
        </is>
      </c>
      <c r="E4858" t="inlineStr">
        <is>
          <t>FINSPÅNG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40810-2022</t>
        </is>
      </c>
      <c r="B4859" s="1" t="n">
        <v>44824</v>
      </c>
      <c r="C4859" s="1" t="n">
        <v>45710</v>
      </c>
      <c r="D4859" t="inlineStr">
        <is>
          <t>ÖSTERGÖTLANDS LÄN</t>
        </is>
      </c>
      <c r="E4859" t="inlineStr">
        <is>
          <t>LINKÖPING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40910-2022</t>
        </is>
      </c>
      <c r="B4860" s="1" t="n">
        <v>44825</v>
      </c>
      <c r="C4860" s="1" t="n">
        <v>45710</v>
      </c>
      <c r="D4860" t="inlineStr">
        <is>
          <t>ÖSTERGÖTLANDS LÄN</t>
        </is>
      </c>
      <c r="E4860" t="inlineStr">
        <is>
          <t>NORRKÖPING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41083-2022</t>
        </is>
      </c>
      <c r="B4861" s="1" t="n">
        <v>44825</v>
      </c>
      <c r="C4861" s="1" t="n">
        <v>45710</v>
      </c>
      <c r="D4861" t="inlineStr">
        <is>
          <t>ÖSTERGÖTLANDS LÄN</t>
        </is>
      </c>
      <c r="E4861" t="inlineStr">
        <is>
          <t>NORRKÖPING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40975-2022</t>
        </is>
      </c>
      <c r="B4862" s="1" t="n">
        <v>44825</v>
      </c>
      <c r="C4862" s="1" t="n">
        <v>45710</v>
      </c>
      <c r="D4862" t="inlineStr">
        <is>
          <t>ÖSTERGÖTLANDS LÄN</t>
        </is>
      </c>
      <c r="E4862" t="inlineStr">
        <is>
          <t>NORRKÖPING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41126-2022</t>
        </is>
      </c>
      <c r="B4863" s="1" t="n">
        <v>44825</v>
      </c>
      <c r="C4863" s="1" t="n">
        <v>45710</v>
      </c>
      <c r="D4863" t="inlineStr">
        <is>
          <t>ÖSTERGÖTLANDS LÄN</t>
        </is>
      </c>
      <c r="E4863" t="inlineStr">
        <is>
          <t>FINSPÅNG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41144-2022</t>
        </is>
      </c>
      <c r="B4864" s="1" t="n">
        <v>44825</v>
      </c>
      <c r="C4864" s="1" t="n">
        <v>45710</v>
      </c>
      <c r="D4864" t="inlineStr">
        <is>
          <t>ÖSTERGÖTLANDS LÄN</t>
        </is>
      </c>
      <c r="E4864" t="inlineStr">
        <is>
          <t>YDRE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40980-2022</t>
        </is>
      </c>
      <c r="B4865" s="1" t="n">
        <v>44825</v>
      </c>
      <c r="C4865" s="1" t="n">
        <v>45710</v>
      </c>
      <c r="D4865" t="inlineStr">
        <is>
          <t>ÖSTERGÖTLANDS LÄN</t>
        </is>
      </c>
      <c r="E4865" t="inlineStr">
        <is>
          <t>NORRKÖPING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41364-2022</t>
        </is>
      </c>
      <c r="B4866" s="1" t="n">
        <v>44826</v>
      </c>
      <c r="C4866" s="1" t="n">
        <v>45710</v>
      </c>
      <c r="D4866" t="inlineStr">
        <is>
          <t>ÖSTERGÖTLANDS LÄN</t>
        </is>
      </c>
      <c r="E4866" t="inlineStr">
        <is>
          <t>ÅTVIDABERG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41223-2022</t>
        </is>
      </c>
      <c r="B4867" s="1" t="n">
        <v>44826</v>
      </c>
      <c r="C4867" s="1" t="n">
        <v>45710</v>
      </c>
      <c r="D4867" t="inlineStr">
        <is>
          <t>ÖSTERGÖTLANDS LÄN</t>
        </is>
      </c>
      <c r="E4867" t="inlineStr">
        <is>
          <t>NORRKÖPING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41300-2022</t>
        </is>
      </c>
      <c r="B4868" s="1" t="n">
        <v>44826</v>
      </c>
      <c r="C4868" s="1" t="n">
        <v>45710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Holmen skog AB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41450-2022</t>
        </is>
      </c>
      <c r="B4869" s="1" t="n">
        <v>44826</v>
      </c>
      <c r="C4869" s="1" t="n">
        <v>45710</v>
      </c>
      <c r="D4869" t="inlineStr">
        <is>
          <t>ÖSTERGÖTLANDS LÄN</t>
        </is>
      </c>
      <c r="E4869" t="inlineStr">
        <is>
          <t>KINDA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41426-2022</t>
        </is>
      </c>
      <c r="B4870" s="1" t="n">
        <v>44826</v>
      </c>
      <c r="C4870" s="1" t="n">
        <v>45710</v>
      </c>
      <c r="D4870" t="inlineStr">
        <is>
          <t>ÖSTERGÖTLANDS LÄN</t>
        </is>
      </c>
      <c r="E4870" t="inlineStr">
        <is>
          <t>LINKÖPING</t>
        </is>
      </c>
      <c r="G4870" t="n">
        <v>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41563-2022</t>
        </is>
      </c>
      <c r="B4871" s="1" t="n">
        <v>44827</v>
      </c>
      <c r="C4871" s="1" t="n">
        <v>45710</v>
      </c>
      <c r="D4871" t="inlineStr">
        <is>
          <t>ÖSTERGÖTLANDS LÄN</t>
        </is>
      </c>
      <c r="E4871" t="inlineStr">
        <is>
          <t>BOXHOLM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41536-2022</t>
        </is>
      </c>
      <c r="B4872" s="1" t="n">
        <v>44827</v>
      </c>
      <c r="C4872" s="1" t="n">
        <v>45710</v>
      </c>
      <c r="D4872" t="inlineStr">
        <is>
          <t>ÖSTERGÖTLANDS LÄN</t>
        </is>
      </c>
      <c r="E4872" t="inlineStr">
        <is>
          <t>YDRE</t>
        </is>
      </c>
      <c r="F4872" t="inlineStr">
        <is>
          <t>Sveaskog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41531-2022</t>
        </is>
      </c>
      <c r="B4873" s="1" t="n">
        <v>44827</v>
      </c>
      <c r="C4873" s="1" t="n">
        <v>45710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Sveaskog</t>
        </is>
      </c>
      <c r="G4873" t="n">
        <v>4.2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41577-2022</t>
        </is>
      </c>
      <c r="B4874" s="1" t="n">
        <v>44827</v>
      </c>
      <c r="C4874" s="1" t="n">
        <v>45710</v>
      </c>
      <c r="D4874" t="inlineStr">
        <is>
          <t>ÖSTERGÖTLANDS LÄN</t>
        </is>
      </c>
      <c r="E4874" t="inlineStr">
        <is>
          <t>ÅTVIDABERG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41508-2022</t>
        </is>
      </c>
      <c r="B4875" s="1" t="n">
        <v>44827</v>
      </c>
      <c r="C4875" s="1" t="n">
        <v>45710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Sveaskog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42001-2022</t>
        </is>
      </c>
      <c r="B4876" s="1" t="n">
        <v>44827</v>
      </c>
      <c r="C4876" s="1" t="n">
        <v>45710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Övriga statliga verk och myndigheter</t>
        </is>
      </c>
      <c r="G4876" t="n">
        <v>17.5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41524-2022</t>
        </is>
      </c>
      <c r="B4877" s="1" t="n">
        <v>44827</v>
      </c>
      <c r="C4877" s="1" t="n">
        <v>45710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Sveaskog</t>
        </is>
      </c>
      <c r="G4877" t="n">
        <v>5.7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41901-2022</t>
        </is>
      </c>
      <c r="B4878" s="1" t="n">
        <v>44830</v>
      </c>
      <c r="C4878" s="1" t="n">
        <v>45710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41928-2022</t>
        </is>
      </c>
      <c r="B4879" s="1" t="n">
        <v>44830</v>
      </c>
      <c r="C4879" s="1" t="n">
        <v>45710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41937-2022</t>
        </is>
      </c>
      <c r="B4880" s="1" t="n">
        <v>44830</v>
      </c>
      <c r="C4880" s="1" t="n">
        <v>45710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41944-2022</t>
        </is>
      </c>
      <c r="B4881" s="1" t="n">
        <v>44830</v>
      </c>
      <c r="C4881" s="1" t="n">
        <v>45710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42059-2022</t>
        </is>
      </c>
      <c r="B4882" s="1" t="n">
        <v>44830</v>
      </c>
      <c r="C4882" s="1" t="n">
        <v>45710</v>
      </c>
      <c r="D4882" t="inlineStr">
        <is>
          <t>ÖSTERGÖTLANDS LÄN</t>
        </is>
      </c>
      <c r="E4882" t="inlineStr">
        <is>
          <t>ÅTVIDABERG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41897-2022</t>
        </is>
      </c>
      <c r="B4883" s="1" t="n">
        <v>44830</v>
      </c>
      <c r="C4883" s="1" t="n">
        <v>45710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7.7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41924-2022</t>
        </is>
      </c>
      <c r="B4884" s="1" t="n">
        <v>44830</v>
      </c>
      <c r="C4884" s="1" t="n">
        <v>45710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41929-2022</t>
        </is>
      </c>
      <c r="B4885" s="1" t="n">
        <v>44830</v>
      </c>
      <c r="C4885" s="1" t="n">
        <v>45710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41939-2022</t>
        </is>
      </c>
      <c r="B4886" s="1" t="n">
        <v>44830</v>
      </c>
      <c r="C4886" s="1" t="n">
        <v>45710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41898-2022</t>
        </is>
      </c>
      <c r="B4887" s="1" t="n">
        <v>44830</v>
      </c>
      <c r="C4887" s="1" t="n">
        <v>45710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41907-2022</t>
        </is>
      </c>
      <c r="B4888" s="1" t="n">
        <v>44830</v>
      </c>
      <c r="C4888" s="1" t="n">
        <v>45710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4.7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41911-2022</t>
        </is>
      </c>
      <c r="B4889" s="1" t="n">
        <v>44830</v>
      </c>
      <c r="C4889" s="1" t="n">
        <v>45710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41925-2022</t>
        </is>
      </c>
      <c r="B4890" s="1" t="n">
        <v>44830</v>
      </c>
      <c r="C4890" s="1" t="n">
        <v>45710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41930-2022</t>
        </is>
      </c>
      <c r="B4891" s="1" t="n">
        <v>44830</v>
      </c>
      <c r="C4891" s="1" t="n">
        <v>45710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41942-2022</t>
        </is>
      </c>
      <c r="B4892" s="1" t="n">
        <v>44830</v>
      </c>
      <c r="C4892" s="1" t="n">
        <v>45710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6.1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42029-2022</t>
        </is>
      </c>
      <c r="B4893" s="1" t="n">
        <v>44830</v>
      </c>
      <c r="C4893" s="1" t="n">
        <v>45710</v>
      </c>
      <c r="D4893" t="inlineStr">
        <is>
          <t>ÖSTERGÖTLANDS LÄN</t>
        </is>
      </c>
      <c r="E4893" t="inlineStr">
        <is>
          <t>KINDA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41920-2022</t>
        </is>
      </c>
      <c r="B4894" s="1" t="n">
        <v>44830</v>
      </c>
      <c r="C4894" s="1" t="n">
        <v>45710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41926-2022</t>
        </is>
      </c>
      <c r="B4895" s="1" t="n">
        <v>44830</v>
      </c>
      <c r="C4895" s="1" t="n">
        <v>45710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41931-2022</t>
        </is>
      </c>
      <c r="B4896" s="1" t="n">
        <v>44830</v>
      </c>
      <c r="C4896" s="1" t="n">
        <v>45710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41943-2022</t>
        </is>
      </c>
      <c r="B4897" s="1" t="n">
        <v>44830</v>
      </c>
      <c r="C4897" s="1" t="n">
        <v>45710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41945-2022</t>
        </is>
      </c>
      <c r="B4898" s="1" t="n">
        <v>44830</v>
      </c>
      <c r="C4898" s="1" t="n">
        <v>45710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42054-2022</t>
        </is>
      </c>
      <c r="B4899" s="1" t="n">
        <v>44830</v>
      </c>
      <c r="C4899" s="1" t="n">
        <v>45710</v>
      </c>
      <c r="D4899" t="inlineStr">
        <is>
          <t>ÖSTERGÖTLANDS LÄN</t>
        </is>
      </c>
      <c r="E4899" t="inlineStr">
        <is>
          <t>LINKÖPING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42056-2022</t>
        </is>
      </c>
      <c r="B4900" s="1" t="n">
        <v>44830</v>
      </c>
      <c r="C4900" s="1" t="n">
        <v>45710</v>
      </c>
      <c r="D4900" t="inlineStr">
        <is>
          <t>ÖSTERGÖTLANDS LÄN</t>
        </is>
      </c>
      <c r="E4900" t="inlineStr">
        <is>
          <t>LINKÖPING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42401-2022</t>
        </is>
      </c>
      <c r="B4901" s="1" t="n">
        <v>44830</v>
      </c>
      <c r="C4901" s="1" t="n">
        <v>45710</v>
      </c>
      <c r="D4901" t="inlineStr">
        <is>
          <t>ÖSTERGÖTLANDS LÄN</t>
        </is>
      </c>
      <c r="E4901" t="inlineStr">
        <is>
          <t>VALDEMARSVIK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42332-2022</t>
        </is>
      </c>
      <c r="B4902" s="1" t="n">
        <v>44830</v>
      </c>
      <c r="C4902" s="1" t="n">
        <v>45710</v>
      </c>
      <c r="D4902" t="inlineStr">
        <is>
          <t>ÖSTERGÖTLANDS LÄN</t>
        </is>
      </c>
      <c r="E4902" t="inlineStr">
        <is>
          <t>LINKÖPING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42345-2022</t>
        </is>
      </c>
      <c r="B4903" s="1" t="n">
        <v>44831</v>
      </c>
      <c r="C4903" s="1" t="n">
        <v>45710</v>
      </c>
      <c r="D4903" t="inlineStr">
        <is>
          <t>ÖSTERGÖTLANDS LÄN</t>
        </is>
      </c>
      <c r="E4903" t="inlineStr">
        <is>
          <t>BOXHOLM</t>
        </is>
      </c>
      <c r="F4903" t="inlineStr">
        <is>
          <t>Övriga Aktiebolag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42426-2022</t>
        </is>
      </c>
      <c r="B4904" s="1" t="n">
        <v>44831</v>
      </c>
      <c r="C4904" s="1" t="n">
        <v>45710</v>
      </c>
      <c r="D4904" t="inlineStr">
        <is>
          <t>ÖSTERGÖTLANDS LÄN</t>
        </is>
      </c>
      <c r="E4904" t="inlineStr">
        <is>
          <t>SÖDERKÖPING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42343-2022</t>
        </is>
      </c>
      <c r="B4905" s="1" t="n">
        <v>44831</v>
      </c>
      <c r="C4905" s="1" t="n">
        <v>45710</v>
      </c>
      <c r="D4905" t="inlineStr">
        <is>
          <t>ÖSTERGÖTLANDS LÄN</t>
        </is>
      </c>
      <c r="E4905" t="inlineStr">
        <is>
          <t>YDRE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42359-2022</t>
        </is>
      </c>
      <c r="B4906" s="1" t="n">
        <v>44831</v>
      </c>
      <c r="C4906" s="1" t="n">
        <v>45710</v>
      </c>
      <c r="D4906" t="inlineStr">
        <is>
          <t>ÖSTERGÖTLANDS LÄN</t>
        </is>
      </c>
      <c r="E4906" t="inlineStr">
        <is>
          <t>YDRE</t>
        </is>
      </c>
      <c r="F4906" t="inlineStr">
        <is>
          <t>Övriga Aktiebolag</t>
        </is>
      </c>
      <c r="G4906" t="n">
        <v>7.5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42432-2022</t>
        </is>
      </c>
      <c r="B4907" s="1" t="n">
        <v>44831</v>
      </c>
      <c r="C4907" s="1" t="n">
        <v>45710</v>
      </c>
      <c r="D4907" t="inlineStr">
        <is>
          <t>ÖSTERGÖTLANDS LÄN</t>
        </is>
      </c>
      <c r="E4907" t="inlineStr">
        <is>
          <t>SÖDERKÖPING</t>
        </is>
      </c>
      <c r="G4907" t="n">
        <v>5.9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42316-2022</t>
        </is>
      </c>
      <c r="B4908" s="1" t="n">
        <v>44831</v>
      </c>
      <c r="C4908" s="1" t="n">
        <v>45710</v>
      </c>
      <c r="D4908" t="inlineStr">
        <is>
          <t>ÖSTERGÖTLANDS LÄN</t>
        </is>
      </c>
      <c r="E4908" t="inlineStr">
        <is>
          <t>ÅTVIDABERG</t>
        </is>
      </c>
      <c r="G4908" t="n">
        <v>4.2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42383-2022</t>
        </is>
      </c>
      <c r="B4909" s="1" t="n">
        <v>44831</v>
      </c>
      <c r="C4909" s="1" t="n">
        <v>45710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3.1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42515-2022</t>
        </is>
      </c>
      <c r="B4910" s="1" t="n">
        <v>44831</v>
      </c>
      <c r="C4910" s="1" t="n">
        <v>45710</v>
      </c>
      <c r="D4910" t="inlineStr">
        <is>
          <t>ÖSTERGÖTLANDS LÄN</t>
        </is>
      </c>
      <c r="E4910" t="inlineStr">
        <is>
          <t>FINSPÅNG</t>
        </is>
      </c>
      <c r="F4910" t="inlineStr">
        <is>
          <t>Holmen skog AB</t>
        </is>
      </c>
      <c r="G4910" t="n">
        <v>0.4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42540-2022</t>
        </is>
      </c>
      <c r="B4911" s="1" t="n">
        <v>44831</v>
      </c>
      <c r="C4911" s="1" t="n">
        <v>45710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42609-2022</t>
        </is>
      </c>
      <c r="B4912" s="1" t="n">
        <v>44831</v>
      </c>
      <c r="C4912" s="1" t="n">
        <v>45710</v>
      </c>
      <c r="D4912" t="inlineStr">
        <is>
          <t>ÖSTERGÖTLANDS LÄN</t>
        </is>
      </c>
      <c r="E4912" t="inlineStr">
        <is>
          <t>ÅTVIDABERG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42564-2022</t>
        </is>
      </c>
      <c r="B4913" s="1" t="n">
        <v>44831</v>
      </c>
      <c r="C4913" s="1" t="n">
        <v>45710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42693-2022</t>
        </is>
      </c>
      <c r="B4914" s="1" t="n">
        <v>44832</v>
      </c>
      <c r="C4914" s="1" t="n">
        <v>45710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42696-2022</t>
        </is>
      </c>
      <c r="B4915" s="1" t="n">
        <v>44832</v>
      </c>
      <c r="C4915" s="1" t="n">
        <v>45710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42704-2022</t>
        </is>
      </c>
      <c r="B4916" s="1" t="n">
        <v>44832</v>
      </c>
      <c r="C4916" s="1" t="n">
        <v>45710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0.3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42670-2022</t>
        </is>
      </c>
      <c r="B4917" s="1" t="n">
        <v>44832</v>
      </c>
      <c r="C4917" s="1" t="n">
        <v>45710</v>
      </c>
      <c r="D4917" t="inlineStr">
        <is>
          <t>ÖSTERGÖTLANDS LÄN</t>
        </is>
      </c>
      <c r="E4917" t="inlineStr">
        <is>
          <t>ÅTVIDABERG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42698-2022</t>
        </is>
      </c>
      <c r="B4918" s="1" t="n">
        <v>44832</v>
      </c>
      <c r="C4918" s="1" t="n">
        <v>45710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42819-2022</t>
        </is>
      </c>
      <c r="B4919" s="1" t="n">
        <v>44832</v>
      </c>
      <c r="C4919" s="1" t="n">
        <v>45710</v>
      </c>
      <c r="D4919" t="inlineStr">
        <is>
          <t>ÖSTERGÖTLANDS LÄN</t>
        </is>
      </c>
      <c r="E4919" t="inlineStr">
        <is>
          <t>MOTALA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43020-2022</t>
        </is>
      </c>
      <c r="B4920" s="1" t="n">
        <v>44833</v>
      </c>
      <c r="C4920" s="1" t="n">
        <v>45710</v>
      </c>
      <c r="D4920" t="inlineStr">
        <is>
          <t>ÖSTERGÖTLANDS LÄN</t>
        </is>
      </c>
      <c r="E4920" t="inlineStr">
        <is>
          <t>FINSPÅNG</t>
        </is>
      </c>
      <c r="G4920" t="n">
        <v>3.3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43056-2022</t>
        </is>
      </c>
      <c r="B4921" s="1" t="n">
        <v>44833</v>
      </c>
      <c r="C4921" s="1" t="n">
        <v>45710</v>
      </c>
      <c r="D4921" t="inlineStr">
        <is>
          <t>ÖSTERGÖTLANDS LÄN</t>
        </is>
      </c>
      <c r="E4921" t="inlineStr">
        <is>
          <t>ÅTVIDABERG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43051-2022</t>
        </is>
      </c>
      <c r="B4922" s="1" t="n">
        <v>44833</v>
      </c>
      <c r="C4922" s="1" t="n">
        <v>45710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43058-2022</t>
        </is>
      </c>
      <c r="B4923" s="1" t="n">
        <v>44833</v>
      </c>
      <c r="C4923" s="1" t="n">
        <v>45710</v>
      </c>
      <c r="D4923" t="inlineStr">
        <is>
          <t>ÖSTERGÖTLANDS LÄN</t>
        </is>
      </c>
      <c r="E4923" t="inlineStr">
        <is>
          <t>ÅTVIDABERG</t>
        </is>
      </c>
      <c r="G4923" t="n">
        <v>0.2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43225-2022</t>
        </is>
      </c>
      <c r="B4924" s="1" t="n">
        <v>44833</v>
      </c>
      <c r="C4924" s="1" t="n">
        <v>45710</v>
      </c>
      <c r="D4924" t="inlineStr">
        <is>
          <t>ÖSTERGÖTLANDS LÄN</t>
        </is>
      </c>
      <c r="E4924" t="inlineStr">
        <is>
          <t>VALDEMARSVIK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43211-2022</t>
        </is>
      </c>
      <c r="B4925" s="1" t="n">
        <v>44833</v>
      </c>
      <c r="C4925" s="1" t="n">
        <v>45710</v>
      </c>
      <c r="D4925" t="inlineStr">
        <is>
          <t>ÖSTERGÖTLANDS LÄN</t>
        </is>
      </c>
      <c r="E4925" t="inlineStr">
        <is>
          <t>FINSPÅNG</t>
        </is>
      </c>
      <c r="F4925" t="inlineStr">
        <is>
          <t>Övriga Aktiebolag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43221-2022</t>
        </is>
      </c>
      <c r="B4926" s="1" t="n">
        <v>44833</v>
      </c>
      <c r="C4926" s="1" t="n">
        <v>45710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Övriga Aktiebolag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43219-2022</t>
        </is>
      </c>
      <c r="B4927" s="1" t="n">
        <v>44834</v>
      </c>
      <c r="C4927" s="1" t="n">
        <v>45710</v>
      </c>
      <c r="D4927" t="inlineStr">
        <is>
          <t>ÖSTERGÖTLANDS LÄN</t>
        </is>
      </c>
      <c r="E4927" t="inlineStr">
        <is>
          <t>BOXHOLM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43322-2022</t>
        </is>
      </c>
      <c r="B4928" s="1" t="n">
        <v>44834</v>
      </c>
      <c r="C4928" s="1" t="n">
        <v>45710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43318-2022</t>
        </is>
      </c>
      <c r="B4929" s="1" t="n">
        <v>44834</v>
      </c>
      <c r="C4929" s="1" t="n">
        <v>45710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43312-2022</t>
        </is>
      </c>
      <c r="B4930" s="1" t="n">
        <v>44834</v>
      </c>
      <c r="C4930" s="1" t="n">
        <v>45710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Holmen skog AB</t>
        </is>
      </c>
      <c r="G4930" t="n">
        <v>11.1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43381-2022</t>
        </is>
      </c>
      <c r="B4931" s="1" t="n">
        <v>44834</v>
      </c>
      <c r="C4931" s="1" t="n">
        <v>45710</v>
      </c>
      <c r="D4931" t="inlineStr">
        <is>
          <t>ÖSTERGÖTLANDS LÄN</t>
        </is>
      </c>
      <c r="E4931" t="inlineStr">
        <is>
          <t>MOTALA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43467-2022</t>
        </is>
      </c>
      <c r="B4932" s="1" t="n">
        <v>44836</v>
      </c>
      <c r="C4932" s="1" t="n">
        <v>45710</v>
      </c>
      <c r="D4932" t="inlineStr">
        <is>
          <t>ÖSTERGÖTLANDS LÄN</t>
        </is>
      </c>
      <c r="E4932" t="inlineStr">
        <is>
          <t>KINDA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43471-2022</t>
        </is>
      </c>
      <c r="B4933" s="1" t="n">
        <v>44836</v>
      </c>
      <c r="C4933" s="1" t="n">
        <v>45710</v>
      </c>
      <c r="D4933" t="inlineStr">
        <is>
          <t>ÖSTERGÖTLANDS LÄN</t>
        </is>
      </c>
      <c r="E4933" t="inlineStr">
        <is>
          <t>BOXHOLM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43726-2022</t>
        </is>
      </c>
      <c r="B4934" s="1" t="n">
        <v>44836</v>
      </c>
      <c r="C4934" s="1" t="n">
        <v>45710</v>
      </c>
      <c r="D4934" t="inlineStr">
        <is>
          <t>ÖSTERGÖTLANDS LÄN</t>
        </is>
      </c>
      <c r="E4934" t="inlineStr">
        <is>
          <t>LINKÖPING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43629-2022</t>
        </is>
      </c>
      <c r="B4935" s="1" t="n">
        <v>44837</v>
      </c>
      <c r="C4935" s="1" t="n">
        <v>45710</v>
      </c>
      <c r="D4935" t="inlineStr">
        <is>
          <t>ÖSTERGÖTLANDS LÄN</t>
        </is>
      </c>
      <c r="E4935" t="inlineStr">
        <is>
          <t>NORRKÖPING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43605-2022</t>
        </is>
      </c>
      <c r="B4936" s="1" t="n">
        <v>44837</v>
      </c>
      <c r="C4936" s="1" t="n">
        <v>45710</v>
      </c>
      <c r="D4936" t="inlineStr">
        <is>
          <t>ÖSTERGÖTLANDS LÄN</t>
        </is>
      </c>
      <c r="E4936" t="inlineStr">
        <is>
          <t>NORRKÖPING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43638-2022</t>
        </is>
      </c>
      <c r="B4937" s="1" t="n">
        <v>44837</v>
      </c>
      <c r="C4937" s="1" t="n">
        <v>45710</v>
      </c>
      <c r="D4937" t="inlineStr">
        <is>
          <t>ÖSTERGÖTLANDS LÄN</t>
        </is>
      </c>
      <c r="E4937" t="inlineStr">
        <is>
          <t>NORRKÖPING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43634-2022</t>
        </is>
      </c>
      <c r="B4938" s="1" t="n">
        <v>44837</v>
      </c>
      <c r="C4938" s="1" t="n">
        <v>45710</v>
      </c>
      <c r="D4938" t="inlineStr">
        <is>
          <t>ÖSTERGÖTLANDS LÄN</t>
        </is>
      </c>
      <c r="E4938" t="inlineStr">
        <is>
          <t>NORRKÖPING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44160-2022</t>
        </is>
      </c>
      <c r="B4939" s="1" t="n">
        <v>44837</v>
      </c>
      <c r="C4939" s="1" t="n">
        <v>45710</v>
      </c>
      <c r="D4939" t="inlineStr">
        <is>
          <t>ÖSTERGÖTLANDS LÄN</t>
        </is>
      </c>
      <c r="E4939" t="inlineStr">
        <is>
          <t>KINDA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43832-2022</t>
        </is>
      </c>
      <c r="B4940" s="1" t="n">
        <v>44837</v>
      </c>
      <c r="C4940" s="1" t="n">
        <v>45710</v>
      </c>
      <c r="D4940" t="inlineStr">
        <is>
          <t>ÖSTERGÖTLANDS LÄN</t>
        </is>
      </c>
      <c r="E4940" t="inlineStr">
        <is>
          <t>MOTALA</t>
        </is>
      </c>
      <c r="G4940" t="n">
        <v>3.7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43808-2022</t>
        </is>
      </c>
      <c r="B4941" s="1" t="n">
        <v>44838</v>
      </c>
      <c r="C4941" s="1" t="n">
        <v>45710</v>
      </c>
      <c r="D4941" t="inlineStr">
        <is>
          <t>ÖSTERGÖTLANDS LÄN</t>
        </is>
      </c>
      <c r="E4941" t="inlineStr">
        <is>
          <t>ÅTVIDABERG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43916-2022</t>
        </is>
      </c>
      <c r="B4942" s="1" t="n">
        <v>44838</v>
      </c>
      <c r="C4942" s="1" t="n">
        <v>45710</v>
      </c>
      <c r="D4942" t="inlineStr">
        <is>
          <t>ÖSTERGÖTLANDS LÄN</t>
        </is>
      </c>
      <c r="E4942" t="inlineStr">
        <is>
          <t>SÖDERKÖPING</t>
        </is>
      </c>
      <c r="G4942" t="n">
        <v>3.4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43805-2022</t>
        </is>
      </c>
      <c r="B4943" s="1" t="n">
        <v>44838</v>
      </c>
      <c r="C4943" s="1" t="n">
        <v>45710</v>
      </c>
      <c r="D4943" t="inlineStr">
        <is>
          <t>ÖSTERGÖTLANDS LÄN</t>
        </is>
      </c>
      <c r="E4943" t="inlineStr">
        <is>
          <t>ÅTVIDABERG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43807-2022</t>
        </is>
      </c>
      <c r="B4944" s="1" t="n">
        <v>44838</v>
      </c>
      <c r="C4944" s="1" t="n">
        <v>45710</v>
      </c>
      <c r="D4944" t="inlineStr">
        <is>
          <t>ÖSTERGÖTLANDS LÄN</t>
        </is>
      </c>
      <c r="E4944" t="inlineStr">
        <is>
          <t>ÅTVIDABERG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44074-2022</t>
        </is>
      </c>
      <c r="B4945" s="1" t="n">
        <v>44839</v>
      </c>
      <c r="C4945" s="1" t="n">
        <v>45710</v>
      </c>
      <c r="D4945" t="inlineStr">
        <is>
          <t>ÖSTERGÖTLANDS LÄN</t>
        </is>
      </c>
      <c r="E4945" t="inlineStr">
        <is>
          <t>BOXHOLM</t>
        </is>
      </c>
      <c r="F4945" t="inlineStr">
        <is>
          <t>Övriga Aktiebolag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  <c r="U4945">
        <f>HYPERLINK("https://klasma.github.io/Logging_0560/knärot/A 44074-2022 karta knärot.png", "A 44074-2022")</f>
        <v/>
      </c>
      <c r="V4945">
        <f>HYPERLINK("https://klasma.github.io/Logging_0560/klagomål/A 44074-2022 FSC-klagomål.docx", "A 44074-2022")</f>
        <v/>
      </c>
      <c r="W4945">
        <f>HYPERLINK("https://klasma.github.io/Logging_0560/klagomålsmail/A 44074-2022 FSC-klagomål mail.docx", "A 44074-2022")</f>
        <v/>
      </c>
      <c r="X4945">
        <f>HYPERLINK("https://klasma.github.io/Logging_0560/tillsyn/A 44074-2022 tillsynsbegäran.docx", "A 44074-2022")</f>
        <v/>
      </c>
      <c r="Y4945">
        <f>HYPERLINK("https://klasma.github.io/Logging_0560/tillsynsmail/A 44074-2022 tillsynsbegäran mail.docx", "A 44074-2022")</f>
        <v/>
      </c>
    </row>
    <row r="4946" ht="15" customHeight="1">
      <c r="A4946" t="inlineStr">
        <is>
          <t>A 44215-2022</t>
        </is>
      </c>
      <c r="B4946" s="1" t="n">
        <v>44839</v>
      </c>
      <c r="C4946" s="1" t="n">
        <v>45710</v>
      </c>
      <c r="D4946" t="inlineStr">
        <is>
          <t>ÖSTERGÖTLANDS LÄN</t>
        </is>
      </c>
      <c r="E4946" t="inlineStr">
        <is>
          <t>KINDA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44256-2022</t>
        </is>
      </c>
      <c r="B4947" s="1" t="n">
        <v>44839</v>
      </c>
      <c r="C4947" s="1" t="n">
        <v>45710</v>
      </c>
      <c r="D4947" t="inlineStr">
        <is>
          <t>ÖSTERGÖTLANDS LÄN</t>
        </is>
      </c>
      <c r="E4947" t="inlineStr">
        <is>
          <t>ÅTVIDABERG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44278-2022</t>
        </is>
      </c>
      <c r="B4948" s="1" t="n">
        <v>44839</v>
      </c>
      <c r="C4948" s="1" t="n">
        <v>45710</v>
      </c>
      <c r="D4948" t="inlineStr">
        <is>
          <t>ÖSTERGÖTLANDS LÄN</t>
        </is>
      </c>
      <c r="E4948" t="inlineStr">
        <is>
          <t>KINDA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44303-2022</t>
        </is>
      </c>
      <c r="B4949" s="1" t="n">
        <v>44839</v>
      </c>
      <c r="C4949" s="1" t="n">
        <v>45710</v>
      </c>
      <c r="D4949" t="inlineStr">
        <is>
          <t>ÖSTERGÖTLANDS LÄN</t>
        </is>
      </c>
      <c r="E4949" t="inlineStr">
        <is>
          <t>KINDA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44344-2022</t>
        </is>
      </c>
      <c r="B4950" s="1" t="n">
        <v>44839</v>
      </c>
      <c r="C4950" s="1" t="n">
        <v>45710</v>
      </c>
      <c r="D4950" t="inlineStr">
        <is>
          <t>ÖSTERGÖTLANDS LÄN</t>
        </is>
      </c>
      <c r="E4950" t="inlineStr">
        <is>
          <t>FINSPÅNG</t>
        </is>
      </c>
      <c r="F4950" t="inlineStr">
        <is>
          <t>Holmen skog AB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44571-2022</t>
        </is>
      </c>
      <c r="B4951" s="1" t="n">
        <v>44840</v>
      </c>
      <c r="C4951" s="1" t="n">
        <v>45710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Holmen skog AB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44510-2022</t>
        </is>
      </c>
      <c r="B4952" s="1" t="n">
        <v>44840</v>
      </c>
      <c r="C4952" s="1" t="n">
        <v>45710</v>
      </c>
      <c r="D4952" t="inlineStr">
        <is>
          <t>ÖSTERGÖTLANDS LÄN</t>
        </is>
      </c>
      <c r="E4952" t="inlineStr">
        <is>
          <t>LINKÖPING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44652-2022</t>
        </is>
      </c>
      <c r="B4953" s="1" t="n">
        <v>44840</v>
      </c>
      <c r="C4953" s="1" t="n">
        <v>45710</v>
      </c>
      <c r="D4953" t="inlineStr">
        <is>
          <t>ÖSTERGÖTLANDS LÄN</t>
        </is>
      </c>
      <c r="E4953" t="inlineStr">
        <is>
          <t>MJÖLBY</t>
        </is>
      </c>
      <c r="F4953" t="inlineStr">
        <is>
          <t>Kommuner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45161-2022</t>
        </is>
      </c>
      <c r="B4954" s="1" t="n">
        <v>44840</v>
      </c>
      <c r="C4954" s="1" t="n">
        <v>45710</v>
      </c>
      <c r="D4954" t="inlineStr">
        <is>
          <t>ÖSTERGÖTLANDS LÄN</t>
        </is>
      </c>
      <c r="E4954" t="inlineStr">
        <is>
          <t>SÖDERKÖPING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45154-2022</t>
        </is>
      </c>
      <c r="B4955" s="1" t="n">
        <v>44840</v>
      </c>
      <c r="C4955" s="1" t="n">
        <v>45710</v>
      </c>
      <c r="D4955" t="inlineStr">
        <is>
          <t>ÖSTERGÖTLANDS LÄN</t>
        </is>
      </c>
      <c r="E4955" t="inlineStr">
        <is>
          <t>SÖDERKÖPING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45243-2022</t>
        </is>
      </c>
      <c r="B4956" s="1" t="n">
        <v>44840</v>
      </c>
      <c r="C4956" s="1" t="n">
        <v>45710</v>
      </c>
      <c r="D4956" t="inlineStr">
        <is>
          <t>ÖSTERGÖTLANDS LÄN</t>
        </is>
      </c>
      <c r="E4956" t="inlineStr">
        <is>
          <t>FINSPÅNG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44819-2022</t>
        </is>
      </c>
      <c r="B4957" s="1" t="n">
        <v>44841</v>
      </c>
      <c r="C4957" s="1" t="n">
        <v>45710</v>
      </c>
      <c r="D4957" t="inlineStr">
        <is>
          <t>ÖSTERGÖTLANDS LÄN</t>
        </is>
      </c>
      <c r="E4957" t="inlineStr">
        <is>
          <t>ÅTVIDABERG</t>
        </is>
      </c>
      <c r="F4957" t="inlineStr">
        <is>
          <t>Holmen skog AB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44898-2022</t>
        </is>
      </c>
      <c r="B4958" s="1" t="n">
        <v>44841</v>
      </c>
      <c r="C4958" s="1" t="n">
        <v>45710</v>
      </c>
      <c r="D4958" t="inlineStr">
        <is>
          <t>ÖSTERGÖTLANDS LÄN</t>
        </is>
      </c>
      <c r="E4958" t="inlineStr">
        <is>
          <t>BOXHOLM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44849-2022</t>
        </is>
      </c>
      <c r="B4959" s="1" t="n">
        <v>44841</v>
      </c>
      <c r="C4959" s="1" t="n">
        <v>45710</v>
      </c>
      <c r="D4959" t="inlineStr">
        <is>
          <t>ÖSTERGÖTLANDS LÄN</t>
        </is>
      </c>
      <c r="E4959" t="inlineStr">
        <is>
          <t>LINKÖPING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45130-2022</t>
        </is>
      </c>
      <c r="B4960" s="1" t="n">
        <v>44841</v>
      </c>
      <c r="C4960" s="1" t="n">
        <v>45710</v>
      </c>
      <c r="D4960" t="inlineStr">
        <is>
          <t>ÖSTERGÖTLANDS LÄN</t>
        </is>
      </c>
      <c r="E4960" t="inlineStr">
        <is>
          <t>SÖDERKÖPING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45089-2022</t>
        </is>
      </c>
      <c r="B4961" s="1" t="n">
        <v>44842</v>
      </c>
      <c r="C4961" s="1" t="n">
        <v>45710</v>
      </c>
      <c r="D4961" t="inlineStr">
        <is>
          <t>ÖSTERGÖTLANDS LÄN</t>
        </is>
      </c>
      <c r="E4961" t="inlineStr">
        <is>
          <t>FINSPÅNG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45203-2022</t>
        </is>
      </c>
      <c r="B4962" s="1" t="n">
        <v>44844</v>
      </c>
      <c r="C4962" s="1" t="n">
        <v>45710</v>
      </c>
      <c r="D4962" t="inlineStr">
        <is>
          <t>ÖSTERGÖTLANDS LÄN</t>
        </is>
      </c>
      <c r="E4962" t="inlineStr">
        <is>
          <t>FINSPÅNG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45247-2022</t>
        </is>
      </c>
      <c r="B4963" s="1" t="n">
        <v>44844</v>
      </c>
      <c r="C4963" s="1" t="n">
        <v>45710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45411-2022</t>
        </is>
      </c>
      <c r="B4964" s="1" t="n">
        <v>44844</v>
      </c>
      <c r="C4964" s="1" t="n">
        <v>45710</v>
      </c>
      <c r="D4964" t="inlineStr">
        <is>
          <t>ÖSTERGÖTLANDS LÄN</t>
        </is>
      </c>
      <c r="E4964" t="inlineStr">
        <is>
          <t>FINSPÅNG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45410-2022</t>
        </is>
      </c>
      <c r="B4965" s="1" t="n">
        <v>44844</v>
      </c>
      <c r="C4965" s="1" t="n">
        <v>45710</v>
      </c>
      <c r="D4965" t="inlineStr">
        <is>
          <t>ÖSTERGÖTLANDS LÄN</t>
        </is>
      </c>
      <c r="E4965" t="inlineStr">
        <is>
          <t>FINSPÅNG</t>
        </is>
      </c>
      <c r="G4965" t="n">
        <v>16.6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45370-2022</t>
        </is>
      </c>
      <c r="B4966" s="1" t="n">
        <v>44844</v>
      </c>
      <c r="C4966" s="1" t="n">
        <v>45710</v>
      </c>
      <c r="D4966" t="inlineStr">
        <is>
          <t>ÖSTERGÖTLANDS LÄN</t>
        </is>
      </c>
      <c r="E4966" t="inlineStr">
        <is>
          <t>VADSTENA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45407-2022</t>
        </is>
      </c>
      <c r="B4967" s="1" t="n">
        <v>44844</v>
      </c>
      <c r="C4967" s="1" t="n">
        <v>45710</v>
      </c>
      <c r="D4967" t="inlineStr">
        <is>
          <t>ÖSTERGÖTLANDS LÄN</t>
        </is>
      </c>
      <c r="E4967" t="inlineStr">
        <is>
          <t>FINSPÅNG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45395-2022</t>
        </is>
      </c>
      <c r="B4968" s="1" t="n">
        <v>44844</v>
      </c>
      <c r="C4968" s="1" t="n">
        <v>45710</v>
      </c>
      <c r="D4968" t="inlineStr">
        <is>
          <t>ÖSTERGÖTLANDS LÄN</t>
        </is>
      </c>
      <c r="E4968" t="inlineStr">
        <is>
          <t>YDRE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45537-2022</t>
        </is>
      </c>
      <c r="B4969" s="1" t="n">
        <v>44845</v>
      </c>
      <c r="C4969" s="1" t="n">
        <v>45710</v>
      </c>
      <c r="D4969" t="inlineStr">
        <is>
          <t>ÖSTERGÖTLANDS LÄN</t>
        </is>
      </c>
      <c r="E4969" t="inlineStr">
        <is>
          <t>ÅTVIDABERG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45871-2022</t>
        </is>
      </c>
      <c r="B4970" s="1" t="n">
        <v>44846</v>
      </c>
      <c r="C4970" s="1" t="n">
        <v>45710</v>
      </c>
      <c r="D4970" t="inlineStr">
        <is>
          <t>ÖSTERGÖTLANDS LÄN</t>
        </is>
      </c>
      <c r="E4970" t="inlineStr">
        <is>
          <t>KINDA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45877-2022</t>
        </is>
      </c>
      <c r="B4971" s="1" t="n">
        <v>44846</v>
      </c>
      <c r="C4971" s="1" t="n">
        <v>45710</v>
      </c>
      <c r="D4971" t="inlineStr">
        <is>
          <t>ÖSTERGÖTLANDS LÄN</t>
        </is>
      </c>
      <c r="E4971" t="inlineStr">
        <is>
          <t>BOXHOLM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45996-2022</t>
        </is>
      </c>
      <c r="B4972" s="1" t="n">
        <v>44846</v>
      </c>
      <c r="C4972" s="1" t="n">
        <v>45710</v>
      </c>
      <c r="D4972" t="inlineStr">
        <is>
          <t>ÖSTERGÖTLANDS LÄN</t>
        </is>
      </c>
      <c r="E4972" t="inlineStr">
        <is>
          <t>ÅTVIDABERG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46234-2022</t>
        </is>
      </c>
      <c r="B4973" s="1" t="n">
        <v>44846</v>
      </c>
      <c r="C4973" s="1" t="n">
        <v>45710</v>
      </c>
      <c r="D4973" t="inlineStr">
        <is>
          <t>ÖSTERGÖTLANDS LÄN</t>
        </is>
      </c>
      <c r="E4973" t="inlineStr">
        <is>
          <t>LINKÖPING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46210-2022</t>
        </is>
      </c>
      <c r="B4974" s="1" t="n">
        <v>44846</v>
      </c>
      <c r="C4974" s="1" t="n">
        <v>45710</v>
      </c>
      <c r="D4974" t="inlineStr">
        <is>
          <t>ÖSTERGÖTLANDS LÄN</t>
        </is>
      </c>
      <c r="E4974" t="inlineStr">
        <is>
          <t>MOTALA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46178-2022</t>
        </is>
      </c>
      <c r="B4975" s="1" t="n">
        <v>44847</v>
      </c>
      <c r="C4975" s="1" t="n">
        <v>45710</v>
      </c>
      <c r="D4975" t="inlineStr">
        <is>
          <t>ÖSTERGÖTLANDS LÄN</t>
        </is>
      </c>
      <c r="E4975" t="inlineStr">
        <is>
          <t>MJÖLBY</t>
        </is>
      </c>
      <c r="F4975" t="inlineStr">
        <is>
          <t>Sveaskog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46183-2022</t>
        </is>
      </c>
      <c r="B4976" s="1" t="n">
        <v>44847</v>
      </c>
      <c r="C4976" s="1" t="n">
        <v>45710</v>
      </c>
      <c r="D4976" t="inlineStr">
        <is>
          <t>ÖSTERGÖTLANDS LÄN</t>
        </is>
      </c>
      <c r="E4976" t="inlineStr">
        <is>
          <t>MJÖLBY</t>
        </is>
      </c>
      <c r="F4976" t="inlineStr">
        <is>
          <t>Sveaskog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46182-2022</t>
        </is>
      </c>
      <c r="B4977" s="1" t="n">
        <v>44847</v>
      </c>
      <c r="C4977" s="1" t="n">
        <v>45710</v>
      </c>
      <c r="D4977" t="inlineStr">
        <is>
          <t>ÖSTERGÖTLANDS LÄN</t>
        </is>
      </c>
      <c r="E4977" t="inlineStr">
        <is>
          <t>MJÖLBY</t>
        </is>
      </c>
      <c r="F4977" t="inlineStr">
        <is>
          <t>Sveaskog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46260-2022</t>
        </is>
      </c>
      <c r="B4978" s="1" t="n">
        <v>44847</v>
      </c>
      <c r="C4978" s="1" t="n">
        <v>45710</v>
      </c>
      <c r="D4978" t="inlineStr">
        <is>
          <t>ÖSTERGÖTLANDS LÄN</t>
        </is>
      </c>
      <c r="E4978" t="inlineStr">
        <is>
          <t>ÅTVIDABERG</t>
        </is>
      </c>
      <c r="F4978" t="inlineStr">
        <is>
          <t>Holmen skog AB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46490-2022</t>
        </is>
      </c>
      <c r="B4979" s="1" t="n">
        <v>44848</v>
      </c>
      <c r="C4979" s="1" t="n">
        <v>45710</v>
      </c>
      <c r="D4979" t="inlineStr">
        <is>
          <t>ÖSTERGÖTLANDS LÄN</t>
        </is>
      </c>
      <c r="E4979" t="inlineStr">
        <is>
          <t>LINKÖPING</t>
        </is>
      </c>
      <c r="G4979" t="n">
        <v>3.5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46788-2022</t>
        </is>
      </c>
      <c r="B4980" s="1" t="n">
        <v>44851</v>
      </c>
      <c r="C4980" s="1" t="n">
        <v>45710</v>
      </c>
      <c r="D4980" t="inlineStr">
        <is>
          <t>ÖSTERGÖTLANDS LÄN</t>
        </is>
      </c>
      <c r="E4980" t="inlineStr">
        <is>
          <t>ÅTVIDABERG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46858-2022</t>
        </is>
      </c>
      <c r="B4981" s="1" t="n">
        <v>44851</v>
      </c>
      <c r="C4981" s="1" t="n">
        <v>45710</v>
      </c>
      <c r="D4981" t="inlineStr">
        <is>
          <t>ÖSTERGÖTLANDS LÄN</t>
        </is>
      </c>
      <c r="E4981" t="inlineStr">
        <is>
          <t>MOTALA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46903-2022</t>
        </is>
      </c>
      <c r="B4982" s="1" t="n">
        <v>44851</v>
      </c>
      <c r="C4982" s="1" t="n">
        <v>45710</v>
      </c>
      <c r="D4982" t="inlineStr">
        <is>
          <t>ÖSTERGÖTLANDS LÄN</t>
        </is>
      </c>
      <c r="E4982" t="inlineStr">
        <is>
          <t>ÅTVIDABERG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46908-2022</t>
        </is>
      </c>
      <c r="B4983" s="1" t="n">
        <v>44851</v>
      </c>
      <c r="C4983" s="1" t="n">
        <v>45710</v>
      </c>
      <c r="D4983" t="inlineStr">
        <is>
          <t>ÖSTERGÖTLANDS LÄN</t>
        </is>
      </c>
      <c r="E4983" t="inlineStr">
        <is>
          <t>KINDA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46918-2022</t>
        </is>
      </c>
      <c r="B4984" s="1" t="n">
        <v>44851</v>
      </c>
      <c r="C4984" s="1" t="n">
        <v>45710</v>
      </c>
      <c r="D4984" t="inlineStr">
        <is>
          <t>ÖSTERGÖTLANDS LÄN</t>
        </is>
      </c>
      <c r="E4984" t="inlineStr">
        <is>
          <t>KINDA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46738-2022</t>
        </is>
      </c>
      <c r="B4985" s="1" t="n">
        <v>44851</v>
      </c>
      <c r="C4985" s="1" t="n">
        <v>45710</v>
      </c>
      <c r="D4985" t="inlineStr">
        <is>
          <t>ÖSTERGÖTLANDS LÄN</t>
        </is>
      </c>
      <c r="E4985" t="inlineStr">
        <is>
          <t>NORRKÖPING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46748-2022</t>
        </is>
      </c>
      <c r="B4986" s="1" t="n">
        <v>44851</v>
      </c>
      <c r="C4986" s="1" t="n">
        <v>45710</v>
      </c>
      <c r="D4986" t="inlineStr">
        <is>
          <t>ÖSTERGÖTLANDS LÄN</t>
        </is>
      </c>
      <c r="E4986" t="inlineStr">
        <is>
          <t>ÅTVIDABERG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46757-2022</t>
        </is>
      </c>
      <c r="B4987" s="1" t="n">
        <v>44851</v>
      </c>
      <c r="C4987" s="1" t="n">
        <v>45710</v>
      </c>
      <c r="D4987" t="inlineStr">
        <is>
          <t>ÖSTERGÖTLANDS LÄN</t>
        </is>
      </c>
      <c r="E4987" t="inlineStr">
        <is>
          <t>KINDA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46793-2022</t>
        </is>
      </c>
      <c r="B4988" s="1" t="n">
        <v>44851</v>
      </c>
      <c r="C4988" s="1" t="n">
        <v>45710</v>
      </c>
      <c r="D4988" t="inlineStr">
        <is>
          <t>ÖSTERGÖTLANDS LÄN</t>
        </is>
      </c>
      <c r="E4988" t="inlineStr">
        <is>
          <t>ÅTVIDABERG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47145-2022</t>
        </is>
      </c>
      <c r="B4989" s="1" t="n">
        <v>44852</v>
      </c>
      <c r="C4989" s="1" t="n">
        <v>45710</v>
      </c>
      <c r="D4989" t="inlineStr">
        <is>
          <t>ÖSTERGÖTLANDS LÄN</t>
        </is>
      </c>
      <c r="E4989" t="inlineStr">
        <is>
          <t>BOXHOLM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47144-2022</t>
        </is>
      </c>
      <c r="B4990" s="1" t="n">
        <v>44852</v>
      </c>
      <c r="C4990" s="1" t="n">
        <v>45710</v>
      </c>
      <c r="D4990" t="inlineStr">
        <is>
          <t>ÖSTERGÖTLANDS LÄN</t>
        </is>
      </c>
      <c r="E4990" t="inlineStr">
        <is>
          <t>BOXHOLM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47177-2022</t>
        </is>
      </c>
      <c r="B4991" s="1" t="n">
        <v>44852</v>
      </c>
      <c r="C4991" s="1" t="n">
        <v>45710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7.6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47219-2022</t>
        </is>
      </c>
      <c r="B4992" s="1" t="n">
        <v>44852</v>
      </c>
      <c r="C4992" s="1" t="n">
        <v>45710</v>
      </c>
      <c r="D4992" t="inlineStr">
        <is>
          <t>ÖSTERGÖTLANDS LÄN</t>
        </is>
      </c>
      <c r="E4992" t="inlineStr">
        <is>
          <t>VALDEMARSVIK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47147-2022</t>
        </is>
      </c>
      <c r="B4993" s="1" t="n">
        <v>44852</v>
      </c>
      <c r="C4993" s="1" t="n">
        <v>45710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5.1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47168-2022</t>
        </is>
      </c>
      <c r="B4994" s="1" t="n">
        <v>44852</v>
      </c>
      <c r="C4994" s="1" t="n">
        <v>45710</v>
      </c>
      <c r="D4994" t="inlineStr">
        <is>
          <t>ÖSTERGÖTLANDS LÄN</t>
        </is>
      </c>
      <c r="E4994" t="inlineStr">
        <is>
          <t>KINDA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47027-2022</t>
        </is>
      </c>
      <c r="B4995" s="1" t="n">
        <v>44852</v>
      </c>
      <c r="C4995" s="1" t="n">
        <v>45710</v>
      </c>
      <c r="D4995" t="inlineStr">
        <is>
          <t>ÖSTERGÖTLANDS LÄN</t>
        </is>
      </c>
      <c r="E4995" t="inlineStr">
        <is>
          <t>LINKÖPING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47042-2022</t>
        </is>
      </c>
      <c r="B4996" s="1" t="n">
        <v>44852</v>
      </c>
      <c r="C4996" s="1" t="n">
        <v>45710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Holmen skog AB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47056-2022</t>
        </is>
      </c>
      <c r="B4997" s="1" t="n">
        <v>44852</v>
      </c>
      <c r="C4997" s="1" t="n">
        <v>45710</v>
      </c>
      <c r="D4997" t="inlineStr">
        <is>
          <t>ÖSTERGÖTLANDS LÄN</t>
        </is>
      </c>
      <c r="E4997" t="inlineStr">
        <is>
          <t>KINDA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47632-2022</t>
        </is>
      </c>
      <c r="B4998" s="1" t="n">
        <v>44852</v>
      </c>
      <c r="C4998" s="1" t="n">
        <v>45710</v>
      </c>
      <c r="D4998" t="inlineStr">
        <is>
          <t>ÖSTERGÖTLANDS LÄN</t>
        </is>
      </c>
      <c r="E4998" t="inlineStr">
        <is>
          <t>VALDEMARSVIK</t>
        </is>
      </c>
      <c r="G4998" t="n">
        <v>4.8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47051-2022</t>
        </is>
      </c>
      <c r="B4999" s="1" t="n">
        <v>44852</v>
      </c>
      <c r="C4999" s="1" t="n">
        <v>45710</v>
      </c>
      <c r="D4999" t="inlineStr">
        <is>
          <t>ÖSTERGÖTLANDS LÄN</t>
        </is>
      </c>
      <c r="E4999" t="inlineStr">
        <is>
          <t>KINDA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47114-2022</t>
        </is>
      </c>
      <c r="B5000" s="1" t="n">
        <v>44852</v>
      </c>
      <c r="C5000" s="1" t="n">
        <v>45710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47477-2022</t>
        </is>
      </c>
      <c r="B5001" s="1" t="n">
        <v>44853</v>
      </c>
      <c r="C5001" s="1" t="n">
        <v>45710</v>
      </c>
      <c r="D5001" t="inlineStr">
        <is>
          <t>ÖSTERGÖTLANDS LÄN</t>
        </is>
      </c>
      <c r="E5001" t="inlineStr">
        <is>
          <t>NORRKÖPING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47510-2022</t>
        </is>
      </c>
      <c r="B5002" s="1" t="n">
        <v>44853</v>
      </c>
      <c r="C5002" s="1" t="n">
        <v>45710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Övriga statliga verk och myndigheter</t>
        </is>
      </c>
      <c r="G5002" t="n">
        <v>11.3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47462-2022</t>
        </is>
      </c>
      <c r="B5003" s="1" t="n">
        <v>44853</v>
      </c>
      <c r="C5003" s="1" t="n">
        <v>45710</v>
      </c>
      <c r="D5003" t="inlineStr">
        <is>
          <t>ÖSTERGÖTLANDS LÄN</t>
        </is>
      </c>
      <c r="E5003" t="inlineStr">
        <is>
          <t>LINKÖPING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47680-2022</t>
        </is>
      </c>
      <c r="B5004" s="1" t="n">
        <v>44854</v>
      </c>
      <c r="C5004" s="1" t="n">
        <v>45710</v>
      </c>
      <c r="D5004" t="inlineStr">
        <is>
          <t>ÖSTERGÖTLANDS LÄN</t>
        </is>
      </c>
      <c r="E5004" t="inlineStr">
        <is>
          <t>KINDA</t>
        </is>
      </c>
      <c r="G5004" t="n">
        <v>7.1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48409-2022</t>
        </is>
      </c>
      <c r="B5005" s="1" t="n">
        <v>44854</v>
      </c>
      <c r="C5005" s="1" t="n">
        <v>45710</v>
      </c>
      <c r="D5005" t="inlineStr">
        <is>
          <t>ÖSTERGÖTLANDS LÄN</t>
        </is>
      </c>
      <c r="E5005" t="inlineStr">
        <is>
          <t>VALDEMARSVIK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48421-2022</t>
        </is>
      </c>
      <c r="B5006" s="1" t="n">
        <v>44854</v>
      </c>
      <c r="C5006" s="1" t="n">
        <v>45710</v>
      </c>
      <c r="D5006" t="inlineStr">
        <is>
          <t>ÖSTERGÖTLANDS LÄN</t>
        </is>
      </c>
      <c r="E5006" t="inlineStr">
        <is>
          <t>VALDEMARSVIK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48428-2022</t>
        </is>
      </c>
      <c r="B5007" s="1" t="n">
        <v>44854</v>
      </c>
      <c r="C5007" s="1" t="n">
        <v>45710</v>
      </c>
      <c r="D5007" t="inlineStr">
        <is>
          <t>ÖSTERGÖTLANDS LÄN</t>
        </is>
      </c>
      <c r="E5007" t="inlineStr">
        <is>
          <t>VALDEMARSVIK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47832-2022</t>
        </is>
      </c>
      <c r="B5008" s="1" t="n">
        <v>44855</v>
      </c>
      <c r="C5008" s="1" t="n">
        <v>45710</v>
      </c>
      <c r="D5008" t="inlineStr">
        <is>
          <t>ÖSTERGÖTLANDS LÄN</t>
        </is>
      </c>
      <c r="E5008" t="inlineStr">
        <is>
          <t>ÅTVIDABERG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47899-2022</t>
        </is>
      </c>
      <c r="B5009" s="1" t="n">
        <v>44855</v>
      </c>
      <c r="C5009" s="1" t="n">
        <v>45710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Holmen skog AB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47872-2022</t>
        </is>
      </c>
      <c r="B5010" s="1" t="n">
        <v>44855</v>
      </c>
      <c r="C5010" s="1" t="n">
        <v>45710</v>
      </c>
      <c r="D5010" t="inlineStr">
        <is>
          <t>ÖSTERGÖTLANDS LÄN</t>
        </is>
      </c>
      <c r="E5010" t="inlineStr">
        <is>
          <t>LINKÖPING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48042-2022</t>
        </is>
      </c>
      <c r="B5011" s="1" t="n">
        <v>44855</v>
      </c>
      <c r="C5011" s="1" t="n">
        <v>45710</v>
      </c>
      <c r="D5011" t="inlineStr">
        <is>
          <t>ÖSTERGÖTLANDS LÄN</t>
        </is>
      </c>
      <c r="E5011" t="inlineStr">
        <is>
          <t>LINKÖPING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48829-2022</t>
        </is>
      </c>
      <c r="B5012" s="1" t="n">
        <v>44855</v>
      </c>
      <c r="C5012" s="1" t="n">
        <v>45710</v>
      </c>
      <c r="D5012" t="inlineStr">
        <is>
          <t>ÖSTERGÖTLANDS LÄN</t>
        </is>
      </c>
      <c r="E5012" t="inlineStr">
        <is>
          <t>SÖDERKÖPING</t>
        </is>
      </c>
      <c r="G5012" t="n">
        <v>3.1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49018-2022</t>
        </is>
      </c>
      <c r="B5013" s="1" t="n">
        <v>44855</v>
      </c>
      <c r="C5013" s="1" t="n">
        <v>45710</v>
      </c>
      <c r="D5013" t="inlineStr">
        <is>
          <t>ÖSTERGÖTLANDS LÄN</t>
        </is>
      </c>
      <c r="E5013" t="inlineStr">
        <is>
          <t>LINKÖPING</t>
        </is>
      </c>
      <c r="F5013" t="inlineStr">
        <is>
          <t>Kommuner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48093-2022</t>
        </is>
      </c>
      <c r="B5014" s="1" t="n">
        <v>44856</v>
      </c>
      <c r="C5014" s="1" t="n">
        <v>45710</v>
      </c>
      <c r="D5014" t="inlineStr">
        <is>
          <t>ÖSTERGÖTLANDS LÄN</t>
        </is>
      </c>
      <c r="E5014" t="inlineStr">
        <is>
          <t>FINSPÅNG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48796-2022</t>
        </is>
      </c>
      <c r="B5015" s="1" t="n">
        <v>44855</v>
      </c>
      <c r="C5015" s="1" t="n">
        <v>45710</v>
      </c>
      <c r="D5015" t="inlineStr">
        <is>
          <t>ÖSTERGÖTLANDS LÄN</t>
        </is>
      </c>
      <c r="E5015" t="inlineStr">
        <is>
          <t>SÖDERKÖPING</t>
        </is>
      </c>
      <c r="G5015" t="n">
        <v>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48094-2022</t>
        </is>
      </c>
      <c r="B5016" s="1" t="n">
        <v>44856</v>
      </c>
      <c r="C5016" s="1" t="n">
        <v>45710</v>
      </c>
      <c r="D5016" t="inlineStr">
        <is>
          <t>ÖSTERGÖTLANDS LÄN</t>
        </is>
      </c>
      <c r="E5016" t="inlineStr">
        <is>
          <t>FINSPÅNG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48100-2022</t>
        </is>
      </c>
      <c r="B5017" s="1" t="n">
        <v>44856</v>
      </c>
      <c r="C5017" s="1" t="n">
        <v>45710</v>
      </c>
      <c r="D5017" t="inlineStr">
        <is>
          <t>ÖSTERGÖTLANDS LÄN</t>
        </is>
      </c>
      <c r="E5017" t="inlineStr">
        <is>
          <t>LINKÖPING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48106-2022</t>
        </is>
      </c>
      <c r="B5018" s="1" t="n">
        <v>44856</v>
      </c>
      <c r="C5018" s="1" t="n">
        <v>45710</v>
      </c>
      <c r="D5018" t="inlineStr">
        <is>
          <t>ÖSTERGÖTLANDS LÄN</t>
        </is>
      </c>
      <c r="E5018" t="inlineStr">
        <is>
          <t>FINSPÅNG</t>
        </is>
      </c>
      <c r="G5018" t="n">
        <v>0.4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48325-2022</t>
        </is>
      </c>
      <c r="B5019" s="1" t="n">
        <v>44858</v>
      </c>
      <c r="C5019" s="1" t="n">
        <v>45710</v>
      </c>
      <c r="D5019" t="inlineStr">
        <is>
          <t>ÖSTERGÖTLANDS LÄN</t>
        </is>
      </c>
      <c r="E5019" t="inlineStr">
        <is>
          <t>ÖDESHÖG</t>
        </is>
      </c>
      <c r="F5019" t="inlineStr">
        <is>
          <t>Allmännings- och besparingsskogar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48458-2022</t>
        </is>
      </c>
      <c r="B5020" s="1" t="n">
        <v>44858</v>
      </c>
      <c r="C5020" s="1" t="n">
        <v>45710</v>
      </c>
      <c r="D5020" t="inlineStr">
        <is>
          <t>ÖSTERGÖTLANDS LÄN</t>
        </is>
      </c>
      <c r="E5020" t="inlineStr">
        <is>
          <t>MOTALA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48324-2022</t>
        </is>
      </c>
      <c r="B5021" s="1" t="n">
        <v>44858</v>
      </c>
      <c r="C5021" s="1" t="n">
        <v>45710</v>
      </c>
      <c r="D5021" t="inlineStr">
        <is>
          <t>ÖSTERGÖTLANDS LÄN</t>
        </is>
      </c>
      <c r="E5021" t="inlineStr">
        <is>
          <t>ÖDESHÖG</t>
        </is>
      </c>
      <c r="F5021" t="inlineStr">
        <is>
          <t>Allmännings- och besparingsskogar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48164-2022</t>
        </is>
      </c>
      <c r="B5022" s="1" t="n">
        <v>44858</v>
      </c>
      <c r="C5022" s="1" t="n">
        <v>45710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Allmännings- och besparingsskogar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48186-2022</t>
        </is>
      </c>
      <c r="B5023" s="1" t="n">
        <v>44858</v>
      </c>
      <c r="C5023" s="1" t="n">
        <v>45710</v>
      </c>
      <c r="D5023" t="inlineStr">
        <is>
          <t>ÖSTERGÖTLANDS LÄN</t>
        </is>
      </c>
      <c r="E5023" t="inlineStr">
        <is>
          <t>LINKÖPING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48318-2022</t>
        </is>
      </c>
      <c r="B5024" s="1" t="n">
        <v>44858</v>
      </c>
      <c r="C5024" s="1" t="n">
        <v>45710</v>
      </c>
      <c r="D5024" t="inlineStr">
        <is>
          <t>ÖSTERGÖTLANDS LÄN</t>
        </is>
      </c>
      <c r="E5024" t="inlineStr">
        <is>
          <t>BOXHOLM</t>
        </is>
      </c>
      <c r="F5024" t="inlineStr">
        <is>
          <t>Allmännings- och besparingsskogar</t>
        </is>
      </c>
      <c r="G5024" t="n">
        <v>6.4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48344-2022</t>
        </is>
      </c>
      <c r="B5025" s="1" t="n">
        <v>44858</v>
      </c>
      <c r="C5025" s="1" t="n">
        <v>45710</v>
      </c>
      <c r="D5025" t="inlineStr">
        <is>
          <t>ÖSTERGÖTLANDS LÄN</t>
        </is>
      </c>
      <c r="E5025" t="inlineStr">
        <is>
          <t>YDRE</t>
        </is>
      </c>
      <c r="F5025" t="inlineStr">
        <is>
          <t>Övriga Aktiebolag</t>
        </is>
      </c>
      <c r="G5025" t="n">
        <v>7.6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48359-2022</t>
        </is>
      </c>
      <c r="B5026" s="1" t="n">
        <v>44858</v>
      </c>
      <c r="C5026" s="1" t="n">
        <v>45710</v>
      </c>
      <c r="D5026" t="inlineStr">
        <is>
          <t>ÖSTERGÖTLANDS LÄN</t>
        </is>
      </c>
      <c r="E5026" t="inlineStr">
        <is>
          <t>YDRE</t>
        </is>
      </c>
      <c r="F5026" t="inlineStr">
        <is>
          <t>Övriga Aktiebolag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48373-2022</t>
        </is>
      </c>
      <c r="B5027" s="1" t="n">
        <v>44858</v>
      </c>
      <c r="C5027" s="1" t="n">
        <v>45710</v>
      </c>
      <c r="D5027" t="inlineStr">
        <is>
          <t>ÖSTERGÖTLANDS LÄN</t>
        </is>
      </c>
      <c r="E5027" t="inlineStr">
        <is>
          <t>BOXHOLM</t>
        </is>
      </c>
      <c r="F5027" t="inlineStr">
        <is>
          <t>Övriga Aktiebolag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48322-2022</t>
        </is>
      </c>
      <c r="B5028" s="1" t="n">
        <v>44858</v>
      </c>
      <c r="C5028" s="1" t="n">
        <v>45710</v>
      </c>
      <c r="D5028" t="inlineStr">
        <is>
          <t>ÖSTERGÖTLANDS LÄN</t>
        </is>
      </c>
      <c r="E5028" t="inlineStr">
        <is>
          <t>BOXHOLM</t>
        </is>
      </c>
      <c r="F5028" t="inlineStr">
        <is>
          <t>Allmännings- och besparingsskogar</t>
        </is>
      </c>
      <c r="G5028" t="n">
        <v>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48452-2022</t>
        </is>
      </c>
      <c r="B5029" s="1" t="n">
        <v>44858</v>
      </c>
      <c r="C5029" s="1" t="n">
        <v>45710</v>
      </c>
      <c r="D5029" t="inlineStr">
        <is>
          <t>ÖSTERGÖTLANDS LÄN</t>
        </is>
      </c>
      <c r="E5029" t="inlineStr">
        <is>
          <t>MOTALA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48462-2022</t>
        </is>
      </c>
      <c r="B5030" s="1" t="n">
        <v>44858</v>
      </c>
      <c r="C5030" s="1" t="n">
        <v>45710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49229-2022</t>
        </is>
      </c>
      <c r="B5031" s="1" t="n">
        <v>44858</v>
      </c>
      <c r="C5031" s="1" t="n">
        <v>45710</v>
      </c>
      <c r="D5031" t="inlineStr">
        <is>
          <t>ÖSTERGÖTLANDS LÄN</t>
        </is>
      </c>
      <c r="E5031" t="inlineStr">
        <is>
          <t>ÅTVIDABERG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48781-2022</t>
        </is>
      </c>
      <c r="B5032" s="1" t="n">
        <v>44859</v>
      </c>
      <c r="C5032" s="1" t="n">
        <v>45710</v>
      </c>
      <c r="D5032" t="inlineStr">
        <is>
          <t>ÖSTERGÖTLANDS LÄN</t>
        </is>
      </c>
      <c r="E5032" t="inlineStr">
        <is>
          <t>ÖDESHÖG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48670-2022</t>
        </is>
      </c>
      <c r="B5033" s="1" t="n">
        <v>44859</v>
      </c>
      <c r="C5033" s="1" t="n">
        <v>45710</v>
      </c>
      <c r="D5033" t="inlineStr">
        <is>
          <t>ÖSTERGÖTLANDS LÄN</t>
        </is>
      </c>
      <c r="E5033" t="inlineStr">
        <is>
          <t>FINSPÅNG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48684-2022</t>
        </is>
      </c>
      <c r="B5034" s="1" t="n">
        <v>44859</v>
      </c>
      <c r="C5034" s="1" t="n">
        <v>45710</v>
      </c>
      <c r="D5034" t="inlineStr">
        <is>
          <t>ÖSTERGÖTLANDS LÄN</t>
        </is>
      </c>
      <c r="E5034" t="inlineStr">
        <is>
          <t>FINSPÅNG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48778-2022</t>
        </is>
      </c>
      <c r="B5035" s="1" t="n">
        <v>44859</v>
      </c>
      <c r="C5035" s="1" t="n">
        <v>45710</v>
      </c>
      <c r="D5035" t="inlineStr">
        <is>
          <t>ÖSTERGÖTLANDS LÄN</t>
        </is>
      </c>
      <c r="E5035" t="inlineStr">
        <is>
          <t>ÖDESHÖG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48839-2022</t>
        </is>
      </c>
      <c r="B5036" s="1" t="n">
        <v>44859</v>
      </c>
      <c r="C5036" s="1" t="n">
        <v>45710</v>
      </c>
      <c r="D5036" t="inlineStr">
        <is>
          <t>ÖSTERGÖTLANDS LÄN</t>
        </is>
      </c>
      <c r="E5036" t="inlineStr">
        <is>
          <t>LINKÖPING</t>
        </is>
      </c>
      <c r="F5036" t="inlineStr">
        <is>
          <t>Övriga Aktiebolag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48862-2022</t>
        </is>
      </c>
      <c r="B5037" s="1" t="n">
        <v>44859</v>
      </c>
      <c r="C5037" s="1" t="n">
        <v>45710</v>
      </c>
      <c r="D5037" t="inlineStr">
        <is>
          <t>ÖSTERGÖTLANDS LÄN</t>
        </is>
      </c>
      <c r="E5037" t="inlineStr">
        <is>
          <t>SÖDERKÖPING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48861-2022</t>
        </is>
      </c>
      <c r="B5038" s="1" t="n">
        <v>44859</v>
      </c>
      <c r="C5038" s="1" t="n">
        <v>45710</v>
      </c>
      <c r="D5038" t="inlineStr">
        <is>
          <t>ÖSTERGÖTLANDS LÄN</t>
        </is>
      </c>
      <c r="E5038" t="inlineStr">
        <is>
          <t>SÖDERKÖPING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48669-2022</t>
        </is>
      </c>
      <c r="B5039" s="1" t="n">
        <v>44859</v>
      </c>
      <c r="C5039" s="1" t="n">
        <v>45710</v>
      </c>
      <c r="D5039" t="inlineStr">
        <is>
          <t>ÖSTERGÖTLANDS LÄN</t>
        </is>
      </c>
      <c r="E5039" t="inlineStr">
        <is>
          <t>FINSPÅNG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48783-2022</t>
        </is>
      </c>
      <c r="B5040" s="1" t="n">
        <v>44859</v>
      </c>
      <c r="C5040" s="1" t="n">
        <v>45710</v>
      </c>
      <c r="D5040" t="inlineStr">
        <is>
          <t>ÖSTERGÖTLANDS LÄN</t>
        </is>
      </c>
      <c r="E5040" t="inlineStr">
        <is>
          <t>ÖDESHÖG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48850-2022</t>
        </is>
      </c>
      <c r="B5041" s="1" t="n">
        <v>44859</v>
      </c>
      <c r="C5041" s="1" t="n">
        <v>45710</v>
      </c>
      <c r="D5041" t="inlineStr">
        <is>
          <t>ÖSTERGÖTLANDS LÄN</t>
        </is>
      </c>
      <c r="E5041" t="inlineStr">
        <is>
          <t>VALDEMARSVIK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49391-2022</t>
        </is>
      </c>
      <c r="B5042" s="1" t="n">
        <v>44859</v>
      </c>
      <c r="C5042" s="1" t="n">
        <v>45710</v>
      </c>
      <c r="D5042" t="inlineStr">
        <is>
          <t>ÖSTERGÖTLANDS LÄN</t>
        </is>
      </c>
      <c r="E5042" t="inlineStr">
        <is>
          <t>LINKÖPING</t>
        </is>
      </c>
      <c r="G5042" t="n">
        <v>2.4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49446-2022</t>
        </is>
      </c>
      <c r="B5043" s="1" t="n">
        <v>44859</v>
      </c>
      <c r="C5043" s="1" t="n">
        <v>45710</v>
      </c>
      <c r="D5043" t="inlineStr">
        <is>
          <t>ÖSTERGÖTLANDS LÄN</t>
        </is>
      </c>
      <c r="E5043" t="inlineStr">
        <is>
          <t>FINSPÅNG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49096-2022</t>
        </is>
      </c>
      <c r="B5044" s="1" t="n">
        <v>44860</v>
      </c>
      <c r="C5044" s="1" t="n">
        <v>45710</v>
      </c>
      <c r="D5044" t="inlineStr">
        <is>
          <t>ÖSTERGÖTLANDS LÄN</t>
        </is>
      </c>
      <c r="E5044" t="inlineStr">
        <is>
          <t>KINDA</t>
        </is>
      </c>
      <c r="G5044" t="n">
        <v>5.1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49060-2022</t>
        </is>
      </c>
      <c r="B5045" s="1" t="n">
        <v>44860</v>
      </c>
      <c r="C5045" s="1" t="n">
        <v>45710</v>
      </c>
      <c r="D5045" t="inlineStr">
        <is>
          <t>ÖSTERGÖTLANDS LÄN</t>
        </is>
      </c>
      <c r="E5045" t="inlineStr">
        <is>
          <t>NORRKÖPING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48962-2022</t>
        </is>
      </c>
      <c r="B5046" s="1" t="n">
        <v>44860</v>
      </c>
      <c r="C5046" s="1" t="n">
        <v>45710</v>
      </c>
      <c r="D5046" t="inlineStr">
        <is>
          <t>ÖSTERGÖTLANDS LÄN</t>
        </is>
      </c>
      <c r="E5046" t="inlineStr">
        <is>
          <t>LINKÖPING</t>
        </is>
      </c>
      <c r="G5046" t="n">
        <v>2.9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48977-2022</t>
        </is>
      </c>
      <c r="B5047" s="1" t="n">
        <v>44860</v>
      </c>
      <c r="C5047" s="1" t="n">
        <v>45710</v>
      </c>
      <c r="D5047" t="inlineStr">
        <is>
          <t>ÖSTERGÖTLANDS LÄN</t>
        </is>
      </c>
      <c r="E5047" t="inlineStr">
        <is>
          <t>ÅTVIDABERG</t>
        </is>
      </c>
      <c r="F5047" t="inlineStr">
        <is>
          <t>Holmen skog AB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49062-2022</t>
        </is>
      </c>
      <c r="B5048" s="1" t="n">
        <v>44860</v>
      </c>
      <c r="C5048" s="1" t="n">
        <v>45710</v>
      </c>
      <c r="D5048" t="inlineStr">
        <is>
          <t>ÖSTERGÖTLANDS LÄN</t>
        </is>
      </c>
      <c r="E5048" t="inlineStr">
        <is>
          <t>NORRKÖPING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49154-2022</t>
        </is>
      </c>
      <c r="B5049" s="1" t="n">
        <v>44860</v>
      </c>
      <c r="C5049" s="1" t="n">
        <v>45710</v>
      </c>
      <c r="D5049" t="inlineStr">
        <is>
          <t>ÖSTERGÖTLANDS LÄN</t>
        </is>
      </c>
      <c r="E5049" t="inlineStr">
        <is>
          <t>FINSPÅNG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50077-2022</t>
        </is>
      </c>
      <c r="B5050" s="1" t="n">
        <v>44860</v>
      </c>
      <c r="C5050" s="1" t="n">
        <v>45710</v>
      </c>
      <c r="D5050" t="inlineStr">
        <is>
          <t>ÖSTERGÖTLANDS LÄN</t>
        </is>
      </c>
      <c r="E5050" t="inlineStr">
        <is>
          <t>FINSPÅNG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49150-2022</t>
        </is>
      </c>
      <c r="B5051" s="1" t="n">
        <v>44860</v>
      </c>
      <c r="C5051" s="1" t="n">
        <v>45710</v>
      </c>
      <c r="D5051" t="inlineStr">
        <is>
          <t>ÖSTERGÖTLANDS LÄN</t>
        </is>
      </c>
      <c r="E5051" t="inlineStr">
        <is>
          <t>MOTALA</t>
        </is>
      </c>
      <c r="F5051" t="inlineStr">
        <is>
          <t>Sveaskog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49155-2022</t>
        </is>
      </c>
      <c r="B5052" s="1" t="n">
        <v>44860</v>
      </c>
      <c r="C5052" s="1" t="n">
        <v>45710</v>
      </c>
      <c r="D5052" t="inlineStr">
        <is>
          <t>ÖSTERGÖTLANDS LÄN</t>
        </is>
      </c>
      <c r="E5052" t="inlineStr">
        <is>
          <t>FINSPÅNG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50063-2022</t>
        </is>
      </c>
      <c r="B5053" s="1" t="n">
        <v>44860</v>
      </c>
      <c r="C5053" s="1" t="n">
        <v>45710</v>
      </c>
      <c r="D5053" t="inlineStr">
        <is>
          <t>ÖSTERGÖTLANDS LÄN</t>
        </is>
      </c>
      <c r="E5053" t="inlineStr">
        <is>
          <t>FINSPÅNG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50035-2022</t>
        </is>
      </c>
      <c r="B5054" s="1" t="n">
        <v>44860</v>
      </c>
      <c r="C5054" s="1" t="n">
        <v>45710</v>
      </c>
      <c r="D5054" t="inlineStr">
        <is>
          <t>ÖSTERGÖTLANDS LÄN</t>
        </is>
      </c>
      <c r="E5054" t="inlineStr">
        <is>
          <t>MOTALA</t>
        </is>
      </c>
      <c r="G5054" t="n">
        <v>3.7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50051-2022</t>
        </is>
      </c>
      <c r="B5055" s="1" t="n">
        <v>44860</v>
      </c>
      <c r="C5055" s="1" t="n">
        <v>45710</v>
      </c>
      <c r="D5055" t="inlineStr">
        <is>
          <t>ÖSTERGÖTLANDS LÄN</t>
        </is>
      </c>
      <c r="E5055" t="inlineStr">
        <is>
          <t>MOTALA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49372-2022</t>
        </is>
      </c>
      <c r="B5056" s="1" t="n">
        <v>44861</v>
      </c>
      <c r="C5056" s="1" t="n">
        <v>45710</v>
      </c>
      <c r="D5056" t="inlineStr">
        <is>
          <t>ÖSTERGÖTLANDS LÄN</t>
        </is>
      </c>
      <c r="E5056" t="inlineStr">
        <is>
          <t>ÅTVIDABERG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49494-2022</t>
        </is>
      </c>
      <c r="B5057" s="1" t="n">
        <v>44861</v>
      </c>
      <c r="C5057" s="1" t="n">
        <v>45710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Naturvårdsverket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49456-2022</t>
        </is>
      </c>
      <c r="B5058" s="1" t="n">
        <v>44861</v>
      </c>
      <c r="C5058" s="1" t="n">
        <v>45710</v>
      </c>
      <c r="D5058" t="inlineStr">
        <is>
          <t>ÖSTERGÖTLANDS LÄN</t>
        </is>
      </c>
      <c r="E5058" t="inlineStr">
        <is>
          <t>NORRKÖPING</t>
        </is>
      </c>
      <c r="G5058" t="n">
        <v>10.1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49227-2022</t>
        </is>
      </c>
      <c r="B5059" s="1" t="n">
        <v>44861</v>
      </c>
      <c r="C5059" s="1" t="n">
        <v>45710</v>
      </c>
      <c r="D5059" t="inlineStr">
        <is>
          <t>ÖSTERGÖTLANDS LÄN</t>
        </is>
      </c>
      <c r="E5059" t="inlineStr">
        <is>
          <t>SÖDERKÖPING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49230-2022</t>
        </is>
      </c>
      <c r="B5060" s="1" t="n">
        <v>44861</v>
      </c>
      <c r="C5060" s="1" t="n">
        <v>45710</v>
      </c>
      <c r="D5060" t="inlineStr">
        <is>
          <t>ÖSTERGÖTLANDS LÄN</t>
        </is>
      </c>
      <c r="E5060" t="inlineStr">
        <is>
          <t>SÖDERKÖPING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49349-2022</t>
        </is>
      </c>
      <c r="B5061" s="1" t="n">
        <v>44861</v>
      </c>
      <c r="C5061" s="1" t="n">
        <v>45710</v>
      </c>
      <c r="D5061" t="inlineStr">
        <is>
          <t>ÖSTERGÖTLANDS LÄN</t>
        </is>
      </c>
      <c r="E5061" t="inlineStr">
        <is>
          <t>KINDA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49487-2022</t>
        </is>
      </c>
      <c r="B5062" s="1" t="n">
        <v>44861</v>
      </c>
      <c r="C5062" s="1" t="n">
        <v>45710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Holmen skog AB</t>
        </is>
      </c>
      <c r="G5062" t="n">
        <v>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49569-2022</t>
        </is>
      </c>
      <c r="B5063" s="1" t="n">
        <v>44862</v>
      </c>
      <c r="C5063" s="1" t="n">
        <v>45710</v>
      </c>
      <c r="D5063" t="inlineStr">
        <is>
          <t>ÖSTERGÖTLANDS LÄN</t>
        </is>
      </c>
      <c r="E5063" t="inlineStr">
        <is>
          <t>SÖDERKÖPING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49617-2022</t>
        </is>
      </c>
      <c r="B5064" s="1" t="n">
        <v>44862</v>
      </c>
      <c r="C5064" s="1" t="n">
        <v>45710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49677-2022</t>
        </is>
      </c>
      <c r="B5065" s="1" t="n">
        <v>44862</v>
      </c>
      <c r="C5065" s="1" t="n">
        <v>45710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Holmen skog AB</t>
        </is>
      </c>
      <c r="G5065" t="n">
        <v>9.6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49799-2022</t>
        </is>
      </c>
      <c r="B5066" s="1" t="n">
        <v>44862</v>
      </c>
      <c r="C5066" s="1" t="n">
        <v>45710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Holmen skog AB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49823-2022</t>
        </is>
      </c>
      <c r="B5067" s="1" t="n">
        <v>44862</v>
      </c>
      <c r="C5067" s="1" t="n">
        <v>45710</v>
      </c>
      <c r="D5067" t="inlineStr">
        <is>
          <t>ÖSTERGÖTLANDS LÄN</t>
        </is>
      </c>
      <c r="E5067" t="inlineStr">
        <is>
          <t>SÖDERKÖPING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49601-2022</t>
        </is>
      </c>
      <c r="B5068" s="1" t="n">
        <v>44862</v>
      </c>
      <c r="C5068" s="1" t="n">
        <v>45710</v>
      </c>
      <c r="D5068" t="inlineStr">
        <is>
          <t>ÖSTERGÖTLANDS LÄN</t>
        </is>
      </c>
      <c r="E5068" t="inlineStr">
        <is>
          <t>ÖDESHÖG</t>
        </is>
      </c>
      <c r="G5068" t="n">
        <v>3.6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49777-2022</t>
        </is>
      </c>
      <c r="B5069" s="1" t="n">
        <v>44862</v>
      </c>
      <c r="C5069" s="1" t="n">
        <v>45710</v>
      </c>
      <c r="D5069" t="inlineStr">
        <is>
          <t>ÖSTERGÖTLANDS LÄN</t>
        </is>
      </c>
      <c r="E5069" t="inlineStr">
        <is>
          <t>SÖDERKÖPING</t>
        </is>
      </c>
      <c r="G5069" t="n">
        <v>9.6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49824-2022</t>
        </is>
      </c>
      <c r="B5070" s="1" t="n">
        <v>44862</v>
      </c>
      <c r="C5070" s="1" t="n">
        <v>45710</v>
      </c>
      <c r="D5070" t="inlineStr">
        <is>
          <t>ÖSTERGÖTLANDS LÄN</t>
        </is>
      </c>
      <c r="E5070" t="inlineStr">
        <is>
          <t>SÖDERKÖPING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49778-2022</t>
        </is>
      </c>
      <c r="B5071" s="1" t="n">
        <v>44862</v>
      </c>
      <c r="C5071" s="1" t="n">
        <v>45710</v>
      </c>
      <c r="D5071" t="inlineStr">
        <is>
          <t>ÖSTERGÖTLANDS LÄN</t>
        </is>
      </c>
      <c r="E5071" t="inlineStr">
        <is>
          <t>NORRKÖPING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50782-2022</t>
        </is>
      </c>
      <c r="B5072" s="1" t="n">
        <v>44862</v>
      </c>
      <c r="C5072" s="1" t="n">
        <v>45710</v>
      </c>
      <c r="D5072" t="inlineStr">
        <is>
          <t>ÖSTERGÖTLANDS LÄN</t>
        </is>
      </c>
      <c r="E5072" t="inlineStr">
        <is>
          <t>ÅTVIDABERG</t>
        </is>
      </c>
      <c r="F5072" t="inlineStr">
        <is>
          <t>Övriga statliga verk och myndigheter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50799-2022</t>
        </is>
      </c>
      <c r="B5073" s="1" t="n">
        <v>44862</v>
      </c>
      <c r="C5073" s="1" t="n">
        <v>45710</v>
      </c>
      <c r="D5073" t="inlineStr">
        <is>
          <t>ÖSTERGÖTLANDS LÄN</t>
        </is>
      </c>
      <c r="E5073" t="inlineStr">
        <is>
          <t>LINKÖPING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50794-2022</t>
        </is>
      </c>
      <c r="B5074" s="1" t="n">
        <v>44862</v>
      </c>
      <c r="C5074" s="1" t="n">
        <v>45710</v>
      </c>
      <c r="D5074" t="inlineStr">
        <is>
          <t>ÖSTERGÖTLANDS LÄN</t>
        </is>
      </c>
      <c r="E5074" t="inlineStr">
        <is>
          <t>LINKÖPING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50756-2022</t>
        </is>
      </c>
      <c r="B5075" s="1" t="n">
        <v>44862</v>
      </c>
      <c r="C5075" s="1" t="n">
        <v>45710</v>
      </c>
      <c r="D5075" t="inlineStr">
        <is>
          <t>ÖSTERGÖTLANDS LÄN</t>
        </is>
      </c>
      <c r="E5075" t="inlineStr">
        <is>
          <t>ÅTVIDABERG</t>
        </is>
      </c>
      <c r="F5075" t="inlineStr">
        <is>
          <t>Övriga statliga verk och myndigheter</t>
        </is>
      </c>
      <c r="G5075" t="n">
        <v>15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50784-2022</t>
        </is>
      </c>
      <c r="B5076" s="1" t="n">
        <v>44862</v>
      </c>
      <c r="C5076" s="1" t="n">
        <v>45710</v>
      </c>
      <c r="D5076" t="inlineStr">
        <is>
          <t>ÖSTERGÖTLANDS LÄN</t>
        </is>
      </c>
      <c r="E5076" t="inlineStr">
        <is>
          <t>LINKÖPING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50802-2022</t>
        </is>
      </c>
      <c r="B5077" s="1" t="n">
        <v>44862</v>
      </c>
      <c r="C5077" s="1" t="n">
        <v>45710</v>
      </c>
      <c r="D5077" t="inlineStr">
        <is>
          <t>ÖSTERGÖTLANDS LÄN</t>
        </is>
      </c>
      <c r="E5077" t="inlineStr">
        <is>
          <t>LINKÖPING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49877-2022</t>
        </is>
      </c>
      <c r="B5078" s="1" t="n">
        <v>44864</v>
      </c>
      <c r="C5078" s="1" t="n">
        <v>45710</v>
      </c>
      <c r="D5078" t="inlineStr">
        <is>
          <t>ÖSTERGÖTLANDS LÄN</t>
        </is>
      </c>
      <c r="E5078" t="inlineStr">
        <is>
          <t>FINSPÅNG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49922-2022</t>
        </is>
      </c>
      <c r="B5079" s="1" t="n">
        <v>44865</v>
      </c>
      <c r="C5079" s="1" t="n">
        <v>45710</v>
      </c>
      <c r="D5079" t="inlineStr">
        <is>
          <t>ÖSTERGÖTLANDS LÄN</t>
        </is>
      </c>
      <c r="E5079" t="inlineStr">
        <is>
          <t>NORRKÖPING</t>
        </is>
      </c>
      <c r="F5079" t="inlineStr">
        <is>
          <t>Holmen skog AB</t>
        </is>
      </c>
      <c r="G5079" t="n">
        <v>6.7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50190-2022</t>
        </is>
      </c>
      <c r="B5080" s="1" t="n">
        <v>44865</v>
      </c>
      <c r="C5080" s="1" t="n">
        <v>45710</v>
      </c>
      <c r="D5080" t="inlineStr">
        <is>
          <t>ÖSTERGÖTLANDS LÄN</t>
        </is>
      </c>
      <c r="E5080" t="inlineStr">
        <is>
          <t>ÅTVIDABERG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50212-2022</t>
        </is>
      </c>
      <c r="B5081" s="1" t="n">
        <v>44865</v>
      </c>
      <c r="C5081" s="1" t="n">
        <v>45710</v>
      </c>
      <c r="D5081" t="inlineStr">
        <is>
          <t>ÖSTERGÖTLANDS LÄN</t>
        </is>
      </c>
      <c r="E5081" t="inlineStr">
        <is>
          <t>NORRKÖPING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49920-2022</t>
        </is>
      </c>
      <c r="B5082" s="1" t="n">
        <v>44865</v>
      </c>
      <c r="C5082" s="1" t="n">
        <v>45710</v>
      </c>
      <c r="D5082" t="inlineStr">
        <is>
          <t>ÖSTERGÖTLANDS LÄN</t>
        </is>
      </c>
      <c r="E5082" t="inlineStr">
        <is>
          <t>ÖDESHÖG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49979-2022</t>
        </is>
      </c>
      <c r="B5083" s="1" t="n">
        <v>44865</v>
      </c>
      <c r="C5083" s="1" t="n">
        <v>45710</v>
      </c>
      <c r="D5083" t="inlineStr">
        <is>
          <t>ÖSTERGÖTLANDS LÄN</t>
        </is>
      </c>
      <c r="E5083" t="inlineStr">
        <is>
          <t>LINKÖPING</t>
        </is>
      </c>
      <c r="F5083" t="inlineStr">
        <is>
          <t>Övriga Aktiebolag</t>
        </is>
      </c>
      <c r="G5083" t="n">
        <v>11.4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50157-2022</t>
        </is>
      </c>
      <c r="B5084" s="1" t="n">
        <v>44865</v>
      </c>
      <c r="C5084" s="1" t="n">
        <v>45710</v>
      </c>
      <c r="D5084" t="inlineStr">
        <is>
          <t>ÖSTERGÖTLANDS LÄN</t>
        </is>
      </c>
      <c r="E5084" t="inlineStr">
        <is>
          <t>NORRKÖPING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50189-2022</t>
        </is>
      </c>
      <c r="B5085" s="1" t="n">
        <v>44865</v>
      </c>
      <c r="C5085" s="1" t="n">
        <v>45710</v>
      </c>
      <c r="D5085" t="inlineStr">
        <is>
          <t>ÖSTERGÖTLANDS LÄN</t>
        </is>
      </c>
      <c r="E5085" t="inlineStr">
        <is>
          <t>FINSPÅNG</t>
        </is>
      </c>
      <c r="F5085" t="inlineStr">
        <is>
          <t>Holmen skog AB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50216-2022</t>
        </is>
      </c>
      <c r="B5086" s="1" t="n">
        <v>44865</v>
      </c>
      <c r="C5086" s="1" t="n">
        <v>45710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50082-2022</t>
        </is>
      </c>
      <c r="B5087" s="1" t="n">
        <v>44865</v>
      </c>
      <c r="C5087" s="1" t="n">
        <v>45710</v>
      </c>
      <c r="D5087" t="inlineStr">
        <is>
          <t>ÖSTERGÖTLANDS LÄN</t>
        </is>
      </c>
      <c r="E5087" t="inlineStr">
        <is>
          <t>MOTALA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50156-2022</t>
        </is>
      </c>
      <c r="B5088" s="1" t="n">
        <v>44865</v>
      </c>
      <c r="C5088" s="1" t="n">
        <v>45710</v>
      </c>
      <c r="D5088" t="inlineStr">
        <is>
          <t>ÖSTERGÖTLANDS LÄN</t>
        </is>
      </c>
      <c r="E5088" t="inlineStr">
        <is>
          <t>NORRKÖPING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50241-2022</t>
        </is>
      </c>
      <c r="B5089" s="1" t="n">
        <v>44865</v>
      </c>
      <c r="C5089" s="1" t="n">
        <v>45710</v>
      </c>
      <c r="D5089" t="inlineStr">
        <is>
          <t>ÖSTERGÖTLANDS LÄN</t>
        </is>
      </c>
      <c r="E5089" t="inlineStr">
        <is>
          <t>SÖDERKÖPING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50248-2022</t>
        </is>
      </c>
      <c r="B5090" s="1" t="n">
        <v>44865</v>
      </c>
      <c r="C5090" s="1" t="n">
        <v>45710</v>
      </c>
      <c r="D5090" t="inlineStr">
        <is>
          <t>ÖSTERGÖTLANDS LÄN</t>
        </is>
      </c>
      <c r="E5090" t="inlineStr">
        <is>
          <t>MOTALA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50275-2022</t>
        </is>
      </c>
      <c r="B5091" s="1" t="n">
        <v>44865</v>
      </c>
      <c r="C5091" s="1" t="n">
        <v>45710</v>
      </c>
      <c r="D5091" t="inlineStr">
        <is>
          <t>ÖSTERGÖTLANDS LÄN</t>
        </is>
      </c>
      <c r="E5091" t="inlineStr">
        <is>
          <t>KINDA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50341-2022</t>
        </is>
      </c>
      <c r="B5092" s="1" t="n">
        <v>44865</v>
      </c>
      <c r="C5092" s="1" t="n">
        <v>45710</v>
      </c>
      <c r="D5092" t="inlineStr">
        <is>
          <t>ÖSTERGÖTLANDS LÄN</t>
        </is>
      </c>
      <c r="E5092" t="inlineStr">
        <is>
          <t>FINSPÅNG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51191-2022</t>
        </is>
      </c>
      <c r="B5093" s="1" t="n">
        <v>44865</v>
      </c>
      <c r="C5093" s="1" t="n">
        <v>45710</v>
      </c>
      <c r="D5093" t="inlineStr">
        <is>
          <t>ÖSTERGÖTLANDS LÄN</t>
        </is>
      </c>
      <c r="E5093" t="inlineStr">
        <is>
          <t>LINKÖPING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50363-2022</t>
        </is>
      </c>
      <c r="B5094" s="1" t="n">
        <v>44866</v>
      </c>
      <c r="C5094" s="1" t="n">
        <v>45710</v>
      </c>
      <c r="D5094" t="inlineStr">
        <is>
          <t>ÖSTERGÖTLANDS LÄN</t>
        </is>
      </c>
      <c r="E5094" t="inlineStr">
        <is>
          <t>ÖDESHÖG</t>
        </is>
      </c>
      <c r="G5094" t="n">
        <v>4.6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50455-2022</t>
        </is>
      </c>
      <c r="B5095" s="1" t="n">
        <v>44866</v>
      </c>
      <c r="C5095" s="1" t="n">
        <v>45710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50542-2022</t>
        </is>
      </c>
      <c r="B5096" s="1" t="n">
        <v>44866</v>
      </c>
      <c r="C5096" s="1" t="n">
        <v>45710</v>
      </c>
      <c r="D5096" t="inlineStr">
        <is>
          <t>ÖSTERGÖTLANDS LÄN</t>
        </is>
      </c>
      <c r="E5096" t="inlineStr">
        <is>
          <t>FINSPÅNG</t>
        </is>
      </c>
      <c r="G5096" t="n">
        <v>3.8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50596-2022</t>
        </is>
      </c>
      <c r="B5097" s="1" t="n">
        <v>44866</v>
      </c>
      <c r="C5097" s="1" t="n">
        <v>45710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Sveaskog</t>
        </is>
      </c>
      <c r="G5097" t="n">
        <v>3.2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50463-2022</t>
        </is>
      </c>
      <c r="B5098" s="1" t="n">
        <v>44866</v>
      </c>
      <c r="C5098" s="1" t="n">
        <v>45710</v>
      </c>
      <c r="D5098" t="inlineStr">
        <is>
          <t>ÖSTERGÖTLANDS LÄN</t>
        </is>
      </c>
      <c r="E5098" t="inlineStr">
        <is>
          <t>BOXHOLM</t>
        </is>
      </c>
      <c r="F5098" t="inlineStr">
        <is>
          <t>Övriga Aktiebolag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50811-2022</t>
        </is>
      </c>
      <c r="B5099" s="1" t="n">
        <v>44867</v>
      </c>
      <c r="C5099" s="1" t="n">
        <v>45710</v>
      </c>
      <c r="D5099" t="inlineStr">
        <is>
          <t>ÖSTERGÖTLANDS LÄN</t>
        </is>
      </c>
      <c r="E5099" t="inlineStr">
        <is>
          <t>FINSPÅNG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50820-2022</t>
        </is>
      </c>
      <c r="B5100" s="1" t="n">
        <v>44867</v>
      </c>
      <c r="C5100" s="1" t="n">
        <v>45710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Kommuner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50960-2022</t>
        </is>
      </c>
      <c r="B5101" s="1" t="n">
        <v>44867</v>
      </c>
      <c r="C5101" s="1" t="n">
        <v>45710</v>
      </c>
      <c r="D5101" t="inlineStr">
        <is>
          <t>ÖSTERGÖTLANDS LÄN</t>
        </is>
      </c>
      <c r="E5101" t="inlineStr">
        <is>
          <t>NORRKÖPING</t>
        </is>
      </c>
      <c r="F5101" t="inlineStr">
        <is>
          <t>Allmännings- och besparingsskogar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51046-2022</t>
        </is>
      </c>
      <c r="B5102" s="1" t="n">
        <v>44868</v>
      </c>
      <c r="C5102" s="1" t="n">
        <v>45710</v>
      </c>
      <c r="D5102" t="inlineStr">
        <is>
          <t>ÖSTERGÖTLANDS LÄN</t>
        </is>
      </c>
      <c r="E5102" t="inlineStr">
        <is>
          <t>YDRE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51047-2022</t>
        </is>
      </c>
      <c r="B5103" s="1" t="n">
        <v>44868</v>
      </c>
      <c r="C5103" s="1" t="n">
        <v>45710</v>
      </c>
      <c r="D5103" t="inlineStr">
        <is>
          <t>ÖSTERGÖTLANDS LÄN</t>
        </is>
      </c>
      <c r="E5103" t="inlineStr">
        <is>
          <t>KINDA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51157-2022</t>
        </is>
      </c>
      <c r="B5104" s="1" t="n">
        <v>44868</v>
      </c>
      <c r="C5104" s="1" t="n">
        <v>45710</v>
      </c>
      <c r="D5104" t="inlineStr">
        <is>
          <t>ÖSTERGÖTLANDS LÄN</t>
        </is>
      </c>
      <c r="E5104" t="inlineStr">
        <is>
          <t>ÅTVIDABERG</t>
        </is>
      </c>
      <c r="F5104" t="inlineStr">
        <is>
          <t>Holmen skog AB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51174-2022</t>
        </is>
      </c>
      <c r="B5105" s="1" t="n">
        <v>44868</v>
      </c>
      <c r="C5105" s="1" t="n">
        <v>45710</v>
      </c>
      <c r="D5105" t="inlineStr">
        <is>
          <t>ÖSTERGÖTLANDS LÄN</t>
        </is>
      </c>
      <c r="E5105" t="inlineStr">
        <is>
          <t>MOTALA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51163-2022</t>
        </is>
      </c>
      <c r="B5106" s="1" t="n">
        <v>44868</v>
      </c>
      <c r="C5106" s="1" t="n">
        <v>45710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5.1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51153-2022</t>
        </is>
      </c>
      <c r="B5107" s="1" t="n">
        <v>44868</v>
      </c>
      <c r="C5107" s="1" t="n">
        <v>45710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Övriga Aktiebolag</t>
        </is>
      </c>
      <c r="G5107" t="n">
        <v>5.6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51176-2022</t>
        </is>
      </c>
      <c r="B5108" s="1" t="n">
        <v>44868</v>
      </c>
      <c r="C5108" s="1" t="n">
        <v>45710</v>
      </c>
      <c r="D5108" t="inlineStr">
        <is>
          <t>ÖSTERGÖTLANDS LÄN</t>
        </is>
      </c>
      <c r="E5108" t="inlineStr">
        <is>
          <t>YDRE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51294-2022</t>
        </is>
      </c>
      <c r="B5109" s="1" t="n">
        <v>44868</v>
      </c>
      <c r="C5109" s="1" t="n">
        <v>45710</v>
      </c>
      <c r="D5109" t="inlineStr">
        <is>
          <t>ÖSTERGÖTLANDS LÄN</t>
        </is>
      </c>
      <c r="E5109" t="inlineStr">
        <is>
          <t>KINDA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51436-2022</t>
        </is>
      </c>
      <c r="B5110" s="1" t="n">
        <v>44869</v>
      </c>
      <c r="C5110" s="1" t="n">
        <v>45710</v>
      </c>
      <c r="D5110" t="inlineStr">
        <is>
          <t>ÖSTERGÖTLANDS LÄN</t>
        </is>
      </c>
      <c r="E5110" t="inlineStr">
        <is>
          <t>VALDEMARSVIK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51419-2022</t>
        </is>
      </c>
      <c r="B5111" s="1" t="n">
        <v>44869</v>
      </c>
      <c r="C5111" s="1" t="n">
        <v>45710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51610-2022</t>
        </is>
      </c>
      <c r="B5112" s="1" t="n">
        <v>44871</v>
      </c>
      <c r="C5112" s="1" t="n">
        <v>45710</v>
      </c>
      <c r="D5112" t="inlineStr">
        <is>
          <t>ÖSTERGÖTLANDS LÄN</t>
        </is>
      </c>
      <c r="E5112" t="inlineStr">
        <is>
          <t>FINSPÅNG</t>
        </is>
      </c>
      <c r="G5112" t="n">
        <v>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51619-2022</t>
        </is>
      </c>
      <c r="B5113" s="1" t="n">
        <v>44872</v>
      </c>
      <c r="C5113" s="1" t="n">
        <v>45710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Övriga Aktiebolag</t>
        </is>
      </c>
      <c r="G5113" t="n">
        <v>10.8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51621-2022</t>
        </is>
      </c>
      <c r="B5114" s="1" t="n">
        <v>44872</v>
      </c>
      <c r="C5114" s="1" t="n">
        <v>45710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Övriga Aktiebolag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51633-2022</t>
        </is>
      </c>
      <c r="B5115" s="1" t="n">
        <v>44872</v>
      </c>
      <c r="C5115" s="1" t="n">
        <v>45710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Holmen skog AB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51694-2022</t>
        </is>
      </c>
      <c r="B5116" s="1" t="n">
        <v>44872</v>
      </c>
      <c r="C5116" s="1" t="n">
        <v>45710</v>
      </c>
      <c r="D5116" t="inlineStr">
        <is>
          <t>ÖSTERGÖTLANDS LÄN</t>
        </is>
      </c>
      <c r="E5116" t="inlineStr">
        <is>
          <t>YDRE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51625-2022</t>
        </is>
      </c>
      <c r="B5117" s="1" t="n">
        <v>44872</v>
      </c>
      <c r="C5117" s="1" t="n">
        <v>45710</v>
      </c>
      <c r="D5117" t="inlineStr">
        <is>
          <t>ÖSTERGÖTLANDS LÄN</t>
        </is>
      </c>
      <c r="E5117" t="inlineStr">
        <is>
          <t>BOXHOLM</t>
        </is>
      </c>
      <c r="F5117" t="inlineStr">
        <is>
          <t>Övriga Aktiebolag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51777-2022</t>
        </is>
      </c>
      <c r="B5118" s="1" t="n">
        <v>44872</v>
      </c>
      <c r="C5118" s="1" t="n">
        <v>45710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5.2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52193-2022</t>
        </is>
      </c>
      <c r="B5119" s="1" t="n">
        <v>44873</v>
      </c>
      <c r="C5119" s="1" t="n">
        <v>45710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5.3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52048-2022</t>
        </is>
      </c>
      <c r="B5120" s="1" t="n">
        <v>44873</v>
      </c>
      <c r="C5120" s="1" t="n">
        <v>45710</v>
      </c>
      <c r="D5120" t="inlineStr">
        <is>
          <t>ÖSTERGÖTLANDS LÄN</t>
        </is>
      </c>
      <c r="E5120" t="inlineStr">
        <is>
          <t>KINDA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52197-2022</t>
        </is>
      </c>
      <c r="B5121" s="1" t="n">
        <v>44873</v>
      </c>
      <c r="C5121" s="1" t="n">
        <v>45710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3.6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52047-2022</t>
        </is>
      </c>
      <c r="B5122" s="1" t="n">
        <v>44873</v>
      </c>
      <c r="C5122" s="1" t="n">
        <v>45710</v>
      </c>
      <c r="D5122" t="inlineStr">
        <is>
          <t>ÖSTERGÖTLANDS LÄN</t>
        </is>
      </c>
      <c r="E5122" t="inlineStr">
        <is>
          <t>KINDA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52125-2022</t>
        </is>
      </c>
      <c r="B5123" s="1" t="n">
        <v>44873</v>
      </c>
      <c r="C5123" s="1" t="n">
        <v>45710</v>
      </c>
      <c r="D5123" t="inlineStr">
        <is>
          <t>ÖSTERGÖTLANDS LÄN</t>
        </is>
      </c>
      <c r="E5123" t="inlineStr">
        <is>
          <t>LINKÖPING</t>
        </is>
      </c>
      <c r="F5123" t="inlineStr">
        <is>
          <t>Övriga Aktiebolag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52195-2022</t>
        </is>
      </c>
      <c r="B5124" s="1" t="n">
        <v>44873</v>
      </c>
      <c r="C5124" s="1" t="n">
        <v>45710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Övriga Aktiebolag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52451-2022</t>
        </is>
      </c>
      <c r="B5125" s="1" t="n">
        <v>44874</v>
      </c>
      <c r="C5125" s="1" t="n">
        <v>45710</v>
      </c>
      <c r="D5125" t="inlineStr">
        <is>
          <t>ÖSTERGÖTLANDS LÄN</t>
        </is>
      </c>
      <c r="E5125" t="inlineStr">
        <is>
          <t>SÖDERKÖPING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52479-2022</t>
        </is>
      </c>
      <c r="B5126" s="1" t="n">
        <v>44874</v>
      </c>
      <c r="C5126" s="1" t="n">
        <v>45710</v>
      </c>
      <c r="D5126" t="inlineStr">
        <is>
          <t>ÖSTERGÖTLANDS LÄN</t>
        </is>
      </c>
      <c r="E5126" t="inlineStr">
        <is>
          <t>SÖDERKÖPING</t>
        </is>
      </c>
      <c r="G5126" t="n">
        <v>4.4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52465-2022</t>
        </is>
      </c>
      <c r="B5127" s="1" t="n">
        <v>44874</v>
      </c>
      <c r="C5127" s="1" t="n">
        <v>45710</v>
      </c>
      <c r="D5127" t="inlineStr">
        <is>
          <t>ÖSTERGÖTLANDS LÄN</t>
        </is>
      </c>
      <c r="E5127" t="inlineStr">
        <is>
          <t>SÖDERKÖPING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52675-2022</t>
        </is>
      </c>
      <c r="B5128" s="1" t="n">
        <v>44874</v>
      </c>
      <c r="C5128" s="1" t="n">
        <v>45710</v>
      </c>
      <c r="D5128" t="inlineStr">
        <is>
          <t>ÖSTERGÖTLANDS LÄN</t>
        </is>
      </c>
      <c r="E5128" t="inlineStr">
        <is>
          <t>FINSPÅNG</t>
        </is>
      </c>
      <c r="G5128" t="n">
        <v>5.6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53189-2022</t>
        </is>
      </c>
      <c r="B5129" s="1" t="n">
        <v>44874</v>
      </c>
      <c r="C5129" s="1" t="n">
        <v>45710</v>
      </c>
      <c r="D5129" t="inlineStr">
        <is>
          <t>ÖSTERGÖTLANDS LÄN</t>
        </is>
      </c>
      <c r="E5129" t="inlineStr">
        <is>
          <t>ÅTVIDABERG</t>
        </is>
      </c>
      <c r="F5129" t="inlineStr">
        <is>
          <t>Övriga Aktiebolag</t>
        </is>
      </c>
      <c r="G5129" t="n">
        <v>9.6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53193-2022</t>
        </is>
      </c>
      <c r="B5130" s="1" t="n">
        <v>44874</v>
      </c>
      <c r="C5130" s="1" t="n">
        <v>45710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Övriga Aktiebolag</t>
        </is>
      </c>
      <c r="G5130" t="n">
        <v>18.8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53500-2022</t>
        </is>
      </c>
      <c r="B5131" s="1" t="n">
        <v>44874</v>
      </c>
      <c r="C5131" s="1" t="n">
        <v>45710</v>
      </c>
      <c r="D5131" t="inlineStr">
        <is>
          <t>ÖSTERGÖTLANDS LÄN</t>
        </is>
      </c>
      <c r="E5131" t="inlineStr">
        <is>
          <t>NORRKÖPING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53168-2022</t>
        </is>
      </c>
      <c r="B5132" s="1" t="n">
        <v>44874</v>
      </c>
      <c r="C5132" s="1" t="n">
        <v>45710</v>
      </c>
      <c r="D5132" t="inlineStr">
        <is>
          <t>ÖSTERGÖTLANDS LÄN</t>
        </is>
      </c>
      <c r="E5132" t="inlineStr">
        <is>
          <t>ÅTVIDABERG</t>
        </is>
      </c>
      <c r="F5132" t="inlineStr">
        <is>
          <t>Övriga Aktiebolag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53196-2022</t>
        </is>
      </c>
      <c r="B5133" s="1" t="n">
        <v>44874</v>
      </c>
      <c r="C5133" s="1" t="n">
        <v>45710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Övriga Aktiebolag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53534-2022</t>
        </is>
      </c>
      <c r="B5134" s="1" t="n">
        <v>44874</v>
      </c>
      <c r="C5134" s="1" t="n">
        <v>45710</v>
      </c>
      <c r="D5134" t="inlineStr">
        <is>
          <t>ÖSTERGÖTLANDS LÄN</t>
        </is>
      </c>
      <c r="E5134" t="inlineStr">
        <is>
          <t>YDRE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53493-2022</t>
        </is>
      </c>
      <c r="B5135" s="1" t="n">
        <v>44874</v>
      </c>
      <c r="C5135" s="1" t="n">
        <v>45710</v>
      </c>
      <c r="D5135" t="inlineStr">
        <is>
          <t>ÖSTERGÖTLANDS LÄN</t>
        </is>
      </c>
      <c r="E5135" t="inlineStr">
        <is>
          <t>KINDA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53028-2022</t>
        </is>
      </c>
      <c r="B5136" s="1" t="n">
        <v>44876</v>
      </c>
      <c r="C5136" s="1" t="n">
        <v>45710</v>
      </c>
      <c r="D5136" t="inlineStr">
        <is>
          <t>ÖSTERGÖTLANDS LÄN</t>
        </is>
      </c>
      <c r="E5136" t="inlineStr">
        <is>
          <t>FINSPÅNG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53246-2022</t>
        </is>
      </c>
      <c r="B5137" s="1" t="n">
        <v>44876</v>
      </c>
      <c r="C5137" s="1" t="n">
        <v>45710</v>
      </c>
      <c r="D5137" t="inlineStr">
        <is>
          <t>ÖSTERGÖTLANDS LÄN</t>
        </is>
      </c>
      <c r="E5137" t="inlineStr">
        <is>
          <t>FINSPÅNG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53234-2022</t>
        </is>
      </c>
      <c r="B5138" s="1" t="n">
        <v>44876</v>
      </c>
      <c r="C5138" s="1" t="n">
        <v>45710</v>
      </c>
      <c r="D5138" t="inlineStr">
        <is>
          <t>ÖSTERGÖTLANDS LÄN</t>
        </is>
      </c>
      <c r="E5138" t="inlineStr">
        <is>
          <t>ÅTVIDABERG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53373-2022</t>
        </is>
      </c>
      <c r="B5139" s="1" t="n">
        <v>44879</v>
      </c>
      <c r="C5139" s="1" t="n">
        <v>45710</v>
      </c>
      <c r="D5139" t="inlineStr">
        <is>
          <t>ÖSTERGÖTLANDS LÄN</t>
        </is>
      </c>
      <c r="E5139" t="inlineStr">
        <is>
          <t>YDRE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53491-2022</t>
        </is>
      </c>
      <c r="B5140" s="1" t="n">
        <v>44879</v>
      </c>
      <c r="C5140" s="1" t="n">
        <v>45710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53524-2022</t>
        </is>
      </c>
      <c r="B5141" s="1" t="n">
        <v>44879</v>
      </c>
      <c r="C5141" s="1" t="n">
        <v>45710</v>
      </c>
      <c r="D5141" t="inlineStr">
        <is>
          <t>ÖSTERGÖTLANDS LÄN</t>
        </is>
      </c>
      <c r="E5141" t="inlineStr">
        <is>
          <t>MJÖLBY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53427-2022</t>
        </is>
      </c>
      <c r="B5142" s="1" t="n">
        <v>44879</v>
      </c>
      <c r="C5142" s="1" t="n">
        <v>45710</v>
      </c>
      <c r="D5142" t="inlineStr">
        <is>
          <t>ÖSTERGÖTLANDS LÄN</t>
        </is>
      </c>
      <c r="E5142" t="inlineStr">
        <is>
          <t>BOXHOLM</t>
        </is>
      </c>
      <c r="F5142" t="inlineStr">
        <is>
          <t>Övriga Aktiebolag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53518-2022</t>
        </is>
      </c>
      <c r="B5143" s="1" t="n">
        <v>44879</v>
      </c>
      <c r="C5143" s="1" t="n">
        <v>45710</v>
      </c>
      <c r="D5143" t="inlineStr">
        <is>
          <t>ÖSTERGÖTLANDS LÄN</t>
        </is>
      </c>
      <c r="E5143" t="inlineStr">
        <is>
          <t>MJÖLBY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53610-2022</t>
        </is>
      </c>
      <c r="B5144" s="1" t="n">
        <v>44879</v>
      </c>
      <c r="C5144" s="1" t="n">
        <v>45710</v>
      </c>
      <c r="D5144" t="inlineStr">
        <is>
          <t>ÖSTERGÖTLANDS LÄN</t>
        </is>
      </c>
      <c r="E5144" t="inlineStr">
        <is>
          <t>FINSPÅNG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53331-2022</t>
        </is>
      </c>
      <c r="B5145" s="1" t="n">
        <v>44879</v>
      </c>
      <c r="C5145" s="1" t="n">
        <v>45710</v>
      </c>
      <c r="D5145" t="inlineStr">
        <is>
          <t>ÖSTERGÖTLANDS LÄN</t>
        </is>
      </c>
      <c r="E5145" t="inlineStr">
        <is>
          <t>YDRE</t>
        </is>
      </c>
      <c r="F5145" t="inlineStr">
        <is>
          <t>Övriga Aktiebolag</t>
        </is>
      </c>
      <c r="G5145" t="n">
        <v>3.8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53366-2022</t>
        </is>
      </c>
      <c r="B5146" s="1" t="n">
        <v>44879</v>
      </c>
      <c r="C5146" s="1" t="n">
        <v>45710</v>
      </c>
      <c r="D5146" t="inlineStr">
        <is>
          <t>ÖSTERGÖTLANDS LÄN</t>
        </is>
      </c>
      <c r="E5146" t="inlineStr">
        <is>
          <t>NORRKÖPING</t>
        </is>
      </c>
      <c r="F5146" t="inlineStr">
        <is>
          <t>Allmännings- och besparingsskogar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53383-2022</t>
        </is>
      </c>
      <c r="B5147" s="1" t="n">
        <v>44879</v>
      </c>
      <c r="C5147" s="1" t="n">
        <v>45710</v>
      </c>
      <c r="D5147" t="inlineStr">
        <is>
          <t>ÖSTERGÖTLANDS LÄN</t>
        </is>
      </c>
      <c r="E5147" t="inlineStr">
        <is>
          <t>YDRE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53520-2022</t>
        </is>
      </c>
      <c r="B5148" s="1" t="n">
        <v>44879</v>
      </c>
      <c r="C5148" s="1" t="n">
        <v>45710</v>
      </c>
      <c r="D5148" t="inlineStr">
        <is>
          <t>ÖSTERGÖTLANDS LÄN</t>
        </is>
      </c>
      <c r="E5148" t="inlineStr">
        <is>
          <t>MJÖLBY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53609-2022</t>
        </is>
      </c>
      <c r="B5149" s="1" t="n">
        <v>44879</v>
      </c>
      <c r="C5149" s="1" t="n">
        <v>45710</v>
      </c>
      <c r="D5149" t="inlineStr">
        <is>
          <t>ÖSTERGÖTLANDS LÄN</t>
        </is>
      </c>
      <c r="E5149" t="inlineStr">
        <is>
          <t>FINSPÅNG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53621-2022</t>
        </is>
      </c>
      <c r="B5150" s="1" t="n">
        <v>44879</v>
      </c>
      <c r="C5150" s="1" t="n">
        <v>45710</v>
      </c>
      <c r="D5150" t="inlineStr">
        <is>
          <t>ÖSTERGÖTLANDS LÄN</t>
        </is>
      </c>
      <c r="E5150" t="inlineStr">
        <is>
          <t>ÅTVIDABERG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53625-2022</t>
        </is>
      </c>
      <c r="B5151" s="1" t="n">
        <v>44879</v>
      </c>
      <c r="C5151" s="1" t="n">
        <v>45710</v>
      </c>
      <c r="D5151" t="inlineStr">
        <is>
          <t>ÖSTERGÖTLANDS LÄN</t>
        </is>
      </c>
      <c r="E5151" t="inlineStr">
        <is>
          <t>ÅTVIDABERG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53747-2022</t>
        </is>
      </c>
      <c r="B5152" s="1" t="n">
        <v>44880</v>
      </c>
      <c r="C5152" s="1" t="n">
        <v>45710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53842-2022</t>
        </is>
      </c>
      <c r="B5153" s="1" t="n">
        <v>44880</v>
      </c>
      <c r="C5153" s="1" t="n">
        <v>45710</v>
      </c>
      <c r="D5153" t="inlineStr">
        <is>
          <t>ÖSTERGÖTLANDS LÄN</t>
        </is>
      </c>
      <c r="E5153" t="inlineStr">
        <is>
          <t>ÅTVIDABERG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53821-2022</t>
        </is>
      </c>
      <c r="B5154" s="1" t="n">
        <v>44880</v>
      </c>
      <c r="C5154" s="1" t="n">
        <v>45710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Holmen skog AB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53905-2022</t>
        </is>
      </c>
      <c r="B5155" s="1" t="n">
        <v>44880</v>
      </c>
      <c r="C5155" s="1" t="n">
        <v>45710</v>
      </c>
      <c r="D5155" t="inlineStr">
        <is>
          <t>ÖSTERGÖTLANDS LÄN</t>
        </is>
      </c>
      <c r="E5155" t="inlineStr">
        <is>
          <t>LINKÖPING</t>
        </is>
      </c>
      <c r="G5155" t="n">
        <v>6.4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53852-2022</t>
        </is>
      </c>
      <c r="B5156" s="1" t="n">
        <v>44880</v>
      </c>
      <c r="C5156" s="1" t="n">
        <v>45710</v>
      </c>
      <c r="D5156" t="inlineStr">
        <is>
          <t>ÖSTERGÖTLANDS LÄN</t>
        </is>
      </c>
      <c r="E5156" t="inlineStr">
        <is>
          <t>NORRKÖPING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53907-2022</t>
        </is>
      </c>
      <c r="B5157" s="1" t="n">
        <v>44880</v>
      </c>
      <c r="C5157" s="1" t="n">
        <v>45710</v>
      </c>
      <c r="D5157" t="inlineStr">
        <is>
          <t>ÖSTERGÖTLANDS LÄN</t>
        </is>
      </c>
      <c r="E5157" t="inlineStr">
        <is>
          <t>LINKÖPING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53992-2022</t>
        </is>
      </c>
      <c r="B5158" s="1" t="n">
        <v>44881</v>
      </c>
      <c r="C5158" s="1" t="n">
        <v>45710</v>
      </c>
      <c r="D5158" t="inlineStr">
        <is>
          <t>ÖSTERGÖTLANDS LÄN</t>
        </is>
      </c>
      <c r="E5158" t="inlineStr">
        <is>
          <t>ÅTVIDABERG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54034-2022</t>
        </is>
      </c>
      <c r="B5159" s="1" t="n">
        <v>44881</v>
      </c>
      <c r="C5159" s="1" t="n">
        <v>45710</v>
      </c>
      <c r="D5159" t="inlineStr">
        <is>
          <t>ÖSTERGÖTLANDS LÄN</t>
        </is>
      </c>
      <c r="E5159" t="inlineStr">
        <is>
          <t>LINKÖPING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54125-2022</t>
        </is>
      </c>
      <c r="B5160" s="1" t="n">
        <v>44881</v>
      </c>
      <c r="C5160" s="1" t="n">
        <v>45710</v>
      </c>
      <c r="D5160" t="inlineStr">
        <is>
          <t>ÖSTERGÖTLANDS LÄN</t>
        </is>
      </c>
      <c r="E5160" t="inlineStr">
        <is>
          <t>MOTALA</t>
        </is>
      </c>
      <c r="G5160" t="n">
        <v>6.2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54206-2022</t>
        </is>
      </c>
      <c r="B5161" s="1" t="n">
        <v>44881</v>
      </c>
      <c r="C5161" s="1" t="n">
        <v>45710</v>
      </c>
      <c r="D5161" t="inlineStr">
        <is>
          <t>ÖSTERGÖTLANDS LÄN</t>
        </is>
      </c>
      <c r="E5161" t="inlineStr">
        <is>
          <t>NORRKÖPING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54087-2022</t>
        </is>
      </c>
      <c r="B5162" s="1" t="n">
        <v>44881</v>
      </c>
      <c r="C5162" s="1" t="n">
        <v>45710</v>
      </c>
      <c r="D5162" t="inlineStr">
        <is>
          <t>ÖSTERGÖTLANDS LÄN</t>
        </is>
      </c>
      <c r="E5162" t="inlineStr">
        <is>
          <t>MOTALA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54231-2022</t>
        </is>
      </c>
      <c r="B5163" s="1" t="n">
        <v>44881</v>
      </c>
      <c r="C5163" s="1" t="n">
        <v>45710</v>
      </c>
      <c r="D5163" t="inlineStr">
        <is>
          <t>ÖSTERGÖTLANDS LÄN</t>
        </is>
      </c>
      <c r="E5163" t="inlineStr">
        <is>
          <t>VALDEMARSVIK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54230-2022</t>
        </is>
      </c>
      <c r="B5164" s="1" t="n">
        <v>44881</v>
      </c>
      <c r="C5164" s="1" t="n">
        <v>45710</v>
      </c>
      <c r="D5164" t="inlineStr">
        <is>
          <t>ÖSTERGÖTLANDS LÄN</t>
        </is>
      </c>
      <c r="E5164" t="inlineStr">
        <is>
          <t>VALDEMARSVIK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55024-2022</t>
        </is>
      </c>
      <c r="B5165" s="1" t="n">
        <v>44881</v>
      </c>
      <c r="C5165" s="1" t="n">
        <v>45710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Övriga Aktiebolag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55034-2022</t>
        </is>
      </c>
      <c r="B5166" s="1" t="n">
        <v>44881</v>
      </c>
      <c r="C5166" s="1" t="n">
        <v>45710</v>
      </c>
      <c r="D5166" t="inlineStr">
        <is>
          <t>ÖSTERGÖTLANDS LÄN</t>
        </is>
      </c>
      <c r="E5166" t="inlineStr">
        <is>
          <t>NORRKÖPING</t>
        </is>
      </c>
      <c r="G5166" t="n">
        <v>2.9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54324-2022</t>
        </is>
      </c>
      <c r="B5167" s="1" t="n">
        <v>44882</v>
      </c>
      <c r="C5167" s="1" t="n">
        <v>45710</v>
      </c>
      <c r="D5167" t="inlineStr">
        <is>
          <t>ÖSTERGÖTLANDS LÄN</t>
        </is>
      </c>
      <c r="E5167" t="inlineStr">
        <is>
          <t>SÖDERKÖPING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54345-2022</t>
        </is>
      </c>
      <c r="B5168" s="1" t="n">
        <v>44882</v>
      </c>
      <c r="C5168" s="1" t="n">
        <v>45710</v>
      </c>
      <c r="D5168" t="inlineStr">
        <is>
          <t>ÖSTERGÖTLANDS LÄN</t>
        </is>
      </c>
      <c r="E5168" t="inlineStr">
        <is>
          <t>KINDA</t>
        </is>
      </c>
      <c r="G5168" t="n">
        <v>0.1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54443-2022</t>
        </is>
      </c>
      <c r="B5169" s="1" t="n">
        <v>44882</v>
      </c>
      <c r="C5169" s="1" t="n">
        <v>45710</v>
      </c>
      <c r="D5169" t="inlineStr">
        <is>
          <t>ÖSTERGÖTLANDS LÄN</t>
        </is>
      </c>
      <c r="E5169" t="inlineStr">
        <is>
          <t>MOTALA</t>
        </is>
      </c>
      <c r="F5169" t="inlineStr">
        <is>
          <t>Sveaskog</t>
        </is>
      </c>
      <c r="G5169" t="n">
        <v>4.4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54465-2022</t>
        </is>
      </c>
      <c r="B5170" s="1" t="n">
        <v>44882</v>
      </c>
      <c r="C5170" s="1" t="n">
        <v>45710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4.5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54258-2022</t>
        </is>
      </c>
      <c r="B5171" s="1" t="n">
        <v>44882</v>
      </c>
      <c r="C5171" s="1" t="n">
        <v>45710</v>
      </c>
      <c r="D5171" t="inlineStr">
        <is>
          <t>ÖSTERGÖTLANDS LÄN</t>
        </is>
      </c>
      <c r="E5171" t="inlineStr">
        <is>
          <t>FINSPÅNG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54369-2022</t>
        </is>
      </c>
      <c r="B5172" s="1" t="n">
        <v>44882</v>
      </c>
      <c r="C5172" s="1" t="n">
        <v>45710</v>
      </c>
      <c r="D5172" t="inlineStr">
        <is>
          <t>ÖSTERGÖTLANDS LÄN</t>
        </is>
      </c>
      <c r="E5172" t="inlineStr">
        <is>
          <t>BOXHOLM</t>
        </is>
      </c>
      <c r="F5172" t="inlineStr">
        <is>
          <t>Övriga Aktiebolag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54428-2022</t>
        </is>
      </c>
      <c r="B5173" s="1" t="n">
        <v>44882</v>
      </c>
      <c r="C5173" s="1" t="n">
        <v>45710</v>
      </c>
      <c r="D5173" t="inlineStr">
        <is>
          <t>ÖSTERGÖTLANDS LÄN</t>
        </is>
      </c>
      <c r="E5173" t="inlineStr">
        <is>
          <t>LINKÖPING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54467-2022</t>
        </is>
      </c>
      <c r="B5174" s="1" t="n">
        <v>44882</v>
      </c>
      <c r="C5174" s="1" t="n">
        <v>45710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Sveaskog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54473-2022</t>
        </is>
      </c>
      <c r="B5175" s="1" t="n">
        <v>44882</v>
      </c>
      <c r="C5175" s="1" t="n">
        <v>45710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Sveaskog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54342-2022</t>
        </is>
      </c>
      <c r="B5176" s="1" t="n">
        <v>44882</v>
      </c>
      <c r="C5176" s="1" t="n">
        <v>45710</v>
      </c>
      <c r="D5176" t="inlineStr">
        <is>
          <t>ÖSTERGÖTLANDS LÄN</t>
        </is>
      </c>
      <c r="E5176" t="inlineStr">
        <is>
          <t>KINDA</t>
        </is>
      </c>
      <c r="G5176" t="n">
        <v>0.2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54425-2022</t>
        </is>
      </c>
      <c r="B5177" s="1" t="n">
        <v>44882</v>
      </c>
      <c r="C5177" s="1" t="n">
        <v>45710</v>
      </c>
      <c r="D5177" t="inlineStr">
        <is>
          <t>ÖSTERGÖTLANDS LÄN</t>
        </is>
      </c>
      <c r="E5177" t="inlineStr">
        <is>
          <t>LINKÖPING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54434-2022</t>
        </is>
      </c>
      <c r="B5178" s="1" t="n">
        <v>44882</v>
      </c>
      <c r="C5178" s="1" t="n">
        <v>45710</v>
      </c>
      <c r="D5178" t="inlineStr">
        <is>
          <t>ÖSTERGÖTLANDS LÄN</t>
        </is>
      </c>
      <c r="E5178" t="inlineStr">
        <is>
          <t>LINKÖPING</t>
        </is>
      </c>
      <c r="G5178" t="n">
        <v>6.2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54446-2022</t>
        </is>
      </c>
      <c r="B5179" s="1" t="n">
        <v>44882</v>
      </c>
      <c r="C5179" s="1" t="n">
        <v>45710</v>
      </c>
      <c r="D5179" t="inlineStr">
        <is>
          <t>ÖSTERGÖTLANDS LÄN</t>
        </is>
      </c>
      <c r="E5179" t="inlineStr">
        <is>
          <t>MOTALA</t>
        </is>
      </c>
      <c r="F5179" t="inlineStr">
        <is>
          <t>Sveaskog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54484-2022</t>
        </is>
      </c>
      <c r="B5180" s="1" t="n">
        <v>44882</v>
      </c>
      <c r="C5180" s="1" t="n">
        <v>45710</v>
      </c>
      <c r="D5180" t="inlineStr">
        <is>
          <t>ÖSTERGÖTLANDS LÄN</t>
        </is>
      </c>
      <c r="E5180" t="inlineStr">
        <is>
          <t>KINDA</t>
        </is>
      </c>
      <c r="G5180" t="n">
        <v>0.3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54445-2022</t>
        </is>
      </c>
      <c r="B5181" s="1" t="n">
        <v>44882</v>
      </c>
      <c r="C5181" s="1" t="n">
        <v>45710</v>
      </c>
      <c r="D5181" t="inlineStr">
        <is>
          <t>ÖSTERGÖTLANDS LÄN</t>
        </is>
      </c>
      <c r="E5181" t="inlineStr">
        <is>
          <t>MOTALA</t>
        </is>
      </c>
      <c r="F5181" t="inlineStr">
        <is>
          <t>Sveaskog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54507-2022</t>
        </is>
      </c>
      <c r="B5182" s="1" t="n">
        <v>44882</v>
      </c>
      <c r="C5182" s="1" t="n">
        <v>45710</v>
      </c>
      <c r="D5182" t="inlineStr">
        <is>
          <t>ÖSTERGÖTLANDS LÄN</t>
        </is>
      </c>
      <c r="E5182" t="inlineStr">
        <is>
          <t>KINDA</t>
        </is>
      </c>
      <c r="G5182" t="n">
        <v>0.1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55304-2022</t>
        </is>
      </c>
      <c r="B5183" s="1" t="n">
        <v>44882</v>
      </c>
      <c r="C5183" s="1" t="n">
        <v>45710</v>
      </c>
      <c r="D5183" t="inlineStr">
        <is>
          <t>ÖSTERGÖTLANDS LÄN</t>
        </is>
      </c>
      <c r="E5183" t="inlineStr">
        <is>
          <t>VALDEMARSVIK</t>
        </is>
      </c>
      <c r="F5183" t="inlineStr">
        <is>
          <t>Övriga Aktiebolag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55406-2022</t>
        </is>
      </c>
      <c r="B5184" s="1" t="n">
        <v>44882</v>
      </c>
      <c r="C5184" s="1" t="n">
        <v>45710</v>
      </c>
      <c r="D5184" t="inlineStr">
        <is>
          <t>ÖSTERGÖTLANDS LÄN</t>
        </is>
      </c>
      <c r="E5184" t="inlineStr">
        <is>
          <t>KINDA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54765-2022</t>
        </is>
      </c>
      <c r="B5185" s="1" t="n">
        <v>44883</v>
      </c>
      <c r="C5185" s="1" t="n">
        <v>45710</v>
      </c>
      <c r="D5185" t="inlineStr">
        <is>
          <t>ÖSTERGÖTLANDS LÄN</t>
        </is>
      </c>
      <c r="E5185" t="inlineStr">
        <is>
          <t>VALDEMARSVIK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54787-2022</t>
        </is>
      </c>
      <c r="B5186" s="1" t="n">
        <v>44883</v>
      </c>
      <c r="C5186" s="1" t="n">
        <v>45710</v>
      </c>
      <c r="D5186" t="inlineStr">
        <is>
          <t>ÖSTERGÖTLANDS LÄN</t>
        </is>
      </c>
      <c r="E5186" t="inlineStr">
        <is>
          <t>SÖDERKÖPING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54812-2022</t>
        </is>
      </c>
      <c r="B5187" s="1" t="n">
        <v>44883</v>
      </c>
      <c r="C5187" s="1" t="n">
        <v>45710</v>
      </c>
      <c r="D5187" t="inlineStr">
        <is>
          <t>ÖSTERGÖTLANDS LÄN</t>
        </is>
      </c>
      <c r="E5187" t="inlineStr">
        <is>
          <t>VALDEMARSVIK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54697-2022</t>
        </is>
      </c>
      <c r="B5188" s="1" t="n">
        <v>44883</v>
      </c>
      <c r="C5188" s="1" t="n">
        <v>45710</v>
      </c>
      <c r="D5188" t="inlineStr">
        <is>
          <t>ÖSTERGÖTLANDS LÄN</t>
        </is>
      </c>
      <c r="E5188" t="inlineStr">
        <is>
          <t>NORRKÖPING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54794-2022</t>
        </is>
      </c>
      <c r="B5189" s="1" t="n">
        <v>44883</v>
      </c>
      <c r="C5189" s="1" t="n">
        <v>45710</v>
      </c>
      <c r="D5189" t="inlineStr">
        <is>
          <t>ÖSTERGÖTLANDS LÄN</t>
        </is>
      </c>
      <c r="E5189" t="inlineStr">
        <is>
          <t>VALDEMARSVIK</t>
        </is>
      </c>
      <c r="G5189" t="n">
        <v>6.5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54855-2022</t>
        </is>
      </c>
      <c r="B5190" s="1" t="n">
        <v>44884</v>
      </c>
      <c r="C5190" s="1" t="n">
        <v>45710</v>
      </c>
      <c r="D5190" t="inlineStr">
        <is>
          <t>ÖSTERGÖTLANDS LÄN</t>
        </is>
      </c>
      <c r="E5190" t="inlineStr">
        <is>
          <t>LINKÖPING</t>
        </is>
      </c>
      <c r="G5190" t="n">
        <v>2.9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54854-2022</t>
        </is>
      </c>
      <c r="B5191" s="1" t="n">
        <v>44884</v>
      </c>
      <c r="C5191" s="1" t="n">
        <v>45710</v>
      </c>
      <c r="D5191" t="inlineStr">
        <is>
          <t>ÖSTERGÖTLANDS LÄN</t>
        </is>
      </c>
      <c r="E5191" t="inlineStr">
        <is>
          <t>LINKÖPING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54929-2022</t>
        </is>
      </c>
      <c r="B5192" s="1" t="n">
        <v>44886</v>
      </c>
      <c r="C5192" s="1" t="n">
        <v>45710</v>
      </c>
      <c r="D5192" t="inlineStr">
        <is>
          <t>ÖSTERGÖTLANDS LÄN</t>
        </is>
      </c>
      <c r="E5192" t="inlineStr">
        <is>
          <t>FINSPÅNG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54923-2022</t>
        </is>
      </c>
      <c r="B5193" s="1" t="n">
        <v>44886</v>
      </c>
      <c r="C5193" s="1" t="n">
        <v>45710</v>
      </c>
      <c r="D5193" t="inlineStr">
        <is>
          <t>ÖSTERGÖTLANDS LÄN</t>
        </is>
      </c>
      <c r="E5193" t="inlineStr">
        <is>
          <t>FINSPÅNG</t>
        </is>
      </c>
      <c r="G5193" t="n">
        <v>6.9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54935-2022</t>
        </is>
      </c>
      <c r="B5194" s="1" t="n">
        <v>44886</v>
      </c>
      <c r="C5194" s="1" t="n">
        <v>45710</v>
      </c>
      <c r="D5194" t="inlineStr">
        <is>
          <t>ÖSTERGÖTLANDS LÄN</t>
        </is>
      </c>
      <c r="E5194" t="inlineStr">
        <is>
          <t>FINSPÅNG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54953-2022</t>
        </is>
      </c>
      <c r="B5195" s="1" t="n">
        <v>44886</v>
      </c>
      <c r="C5195" s="1" t="n">
        <v>45710</v>
      </c>
      <c r="D5195" t="inlineStr">
        <is>
          <t>ÖSTERGÖTLANDS LÄN</t>
        </is>
      </c>
      <c r="E5195" t="inlineStr">
        <is>
          <t>KINDA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54926-2022</t>
        </is>
      </c>
      <c r="B5196" s="1" t="n">
        <v>44886</v>
      </c>
      <c r="C5196" s="1" t="n">
        <v>45710</v>
      </c>
      <c r="D5196" t="inlineStr">
        <is>
          <t>ÖSTERGÖTLANDS LÄN</t>
        </is>
      </c>
      <c r="E5196" t="inlineStr">
        <is>
          <t>FINSPÅNG</t>
        </is>
      </c>
      <c r="G5196" t="n">
        <v>5.6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54909-2022</t>
        </is>
      </c>
      <c r="B5197" s="1" t="n">
        <v>44886</v>
      </c>
      <c r="C5197" s="1" t="n">
        <v>45710</v>
      </c>
      <c r="D5197" t="inlineStr">
        <is>
          <t>ÖSTERGÖTLANDS LÄN</t>
        </is>
      </c>
      <c r="E5197" t="inlineStr">
        <is>
          <t>KINDA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54927-2022</t>
        </is>
      </c>
      <c r="B5198" s="1" t="n">
        <v>44886</v>
      </c>
      <c r="C5198" s="1" t="n">
        <v>45710</v>
      </c>
      <c r="D5198" t="inlineStr">
        <is>
          <t>ÖSTERGÖTLANDS LÄN</t>
        </is>
      </c>
      <c r="E5198" t="inlineStr">
        <is>
          <t>FINSPÅNG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54934-2022</t>
        </is>
      </c>
      <c r="B5199" s="1" t="n">
        <v>44886</v>
      </c>
      <c r="C5199" s="1" t="n">
        <v>45710</v>
      </c>
      <c r="D5199" t="inlineStr">
        <is>
          <t>ÖSTERGÖTLANDS LÄN</t>
        </is>
      </c>
      <c r="E5199" t="inlineStr">
        <is>
          <t>BOXHOLM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54958-2022</t>
        </is>
      </c>
      <c r="B5200" s="1" t="n">
        <v>44886</v>
      </c>
      <c r="C5200" s="1" t="n">
        <v>45710</v>
      </c>
      <c r="D5200" t="inlineStr">
        <is>
          <t>ÖSTERGÖTLANDS LÄN</t>
        </is>
      </c>
      <c r="E5200" t="inlineStr">
        <is>
          <t>NORRKÖPING</t>
        </is>
      </c>
      <c r="F5200" t="inlineStr">
        <is>
          <t>Holmen skog AB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55183-2022</t>
        </is>
      </c>
      <c r="B5201" s="1" t="n">
        <v>44886</v>
      </c>
      <c r="C5201" s="1" t="n">
        <v>45710</v>
      </c>
      <c r="D5201" t="inlineStr">
        <is>
          <t>ÖSTERGÖTLANDS LÄN</t>
        </is>
      </c>
      <c r="E5201" t="inlineStr">
        <is>
          <t>BOXHOLM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55181-2022</t>
        </is>
      </c>
      <c r="B5202" s="1" t="n">
        <v>44886</v>
      </c>
      <c r="C5202" s="1" t="n">
        <v>45710</v>
      </c>
      <c r="D5202" t="inlineStr">
        <is>
          <t>ÖSTERGÖTLANDS LÄN</t>
        </is>
      </c>
      <c r="E5202" t="inlineStr">
        <is>
          <t>BOXHOLM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55182-2022</t>
        </is>
      </c>
      <c r="B5203" s="1" t="n">
        <v>44886</v>
      </c>
      <c r="C5203" s="1" t="n">
        <v>45710</v>
      </c>
      <c r="D5203" t="inlineStr">
        <is>
          <t>ÖSTERGÖTLANDS LÄN</t>
        </is>
      </c>
      <c r="E5203" t="inlineStr">
        <is>
          <t>BOXHOLM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55252-2022</t>
        </is>
      </c>
      <c r="B5204" s="1" t="n">
        <v>44887</v>
      </c>
      <c r="C5204" s="1" t="n">
        <v>45710</v>
      </c>
      <c r="D5204" t="inlineStr">
        <is>
          <t>ÖSTERGÖTLANDS LÄN</t>
        </is>
      </c>
      <c r="E5204" t="inlineStr">
        <is>
          <t>BOXHOLM</t>
        </is>
      </c>
      <c r="F5204" t="inlineStr">
        <is>
          <t>Övriga Aktiebolag</t>
        </is>
      </c>
      <c r="G5204" t="n">
        <v>3.8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55254-2022</t>
        </is>
      </c>
      <c r="B5205" s="1" t="n">
        <v>44887</v>
      </c>
      <c r="C5205" s="1" t="n">
        <v>45710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55395-2022</t>
        </is>
      </c>
      <c r="B5206" s="1" t="n">
        <v>44887</v>
      </c>
      <c r="C5206" s="1" t="n">
        <v>45710</v>
      </c>
      <c r="D5206" t="inlineStr">
        <is>
          <t>ÖSTERGÖTLANDS LÄN</t>
        </is>
      </c>
      <c r="E5206" t="inlineStr">
        <is>
          <t>MOTALA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55355-2022</t>
        </is>
      </c>
      <c r="B5207" s="1" t="n">
        <v>44887</v>
      </c>
      <c r="C5207" s="1" t="n">
        <v>45710</v>
      </c>
      <c r="D5207" t="inlineStr">
        <is>
          <t>ÖSTERGÖTLANDS LÄN</t>
        </is>
      </c>
      <c r="E5207" t="inlineStr">
        <is>
          <t>FINSPÅNG</t>
        </is>
      </c>
      <c r="G5207" t="n">
        <v>8.9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56288-2022</t>
        </is>
      </c>
      <c r="B5208" s="1" t="n">
        <v>44887</v>
      </c>
      <c r="C5208" s="1" t="n">
        <v>45710</v>
      </c>
      <c r="D5208" t="inlineStr">
        <is>
          <t>ÖSTERGÖTLANDS LÄN</t>
        </is>
      </c>
      <c r="E5208" t="inlineStr">
        <is>
          <t>FINSPÅNG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56309-2022</t>
        </is>
      </c>
      <c r="B5209" s="1" t="n">
        <v>44887</v>
      </c>
      <c r="C5209" s="1" t="n">
        <v>45710</v>
      </c>
      <c r="D5209" t="inlineStr">
        <is>
          <t>ÖSTERGÖTLANDS LÄN</t>
        </is>
      </c>
      <c r="E5209" t="inlineStr">
        <is>
          <t>FINSPÅNG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56264-2022</t>
        </is>
      </c>
      <c r="B5210" s="1" t="n">
        <v>44887</v>
      </c>
      <c r="C5210" s="1" t="n">
        <v>45710</v>
      </c>
      <c r="D5210" t="inlineStr">
        <is>
          <t>ÖSTERGÖTLANDS LÄN</t>
        </is>
      </c>
      <c r="E5210" t="inlineStr">
        <is>
          <t>FINSPÅNG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55405-2022</t>
        </is>
      </c>
      <c r="B5211" s="1" t="n">
        <v>44887</v>
      </c>
      <c r="C5211" s="1" t="n">
        <v>45710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Sveaskog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56246-2022</t>
        </is>
      </c>
      <c r="B5212" s="1" t="n">
        <v>44887</v>
      </c>
      <c r="C5212" s="1" t="n">
        <v>45710</v>
      </c>
      <c r="D5212" t="inlineStr">
        <is>
          <t>ÖSTERGÖTLANDS LÄN</t>
        </is>
      </c>
      <c r="E5212" t="inlineStr">
        <is>
          <t>FINSPÅNG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55736-2022</t>
        </is>
      </c>
      <c r="B5213" s="1" t="n">
        <v>44888</v>
      </c>
      <c r="C5213" s="1" t="n">
        <v>45710</v>
      </c>
      <c r="D5213" t="inlineStr">
        <is>
          <t>ÖSTERGÖTLANDS LÄN</t>
        </is>
      </c>
      <c r="E5213" t="inlineStr">
        <is>
          <t>LINKÖPING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55853-2022</t>
        </is>
      </c>
      <c r="B5214" s="1" t="n">
        <v>44888</v>
      </c>
      <c r="C5214" s="1" t="n">
        <v>45710</v>
      </c>
      <c r="D5214" t="inlineStr">
        <is>
          <t>ÖSTERGÖTLANDS LÄN</t>
        </is>
      </c>
      <c r="E5214" t="inlineStr">
        <is>
          <t>SÖDERKÖPING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55632-2022</t>
        </is>
      </c>
      <c r="B5215" s="1" t="n">
        <v>44888</v>
      </c>
      <c r="C5215" s="1" t="n">
        <v>45710</v>
      </c>
      <c r="D5215" t="inlineStr">
        <is>
          <t>ÖSTERGÖTLANDS LÄN</t>
        </is>
      </c>
      <c r="E5215" t="inlineStr">
        <is>
          <t>LINKÖPING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55702-2022</t>
        </is>
      </c>
      <c r="B5216" s="1" t="n">
        <v>44888</v>
      </c>
      <c r="C5216" s="1" t="n">
        <v>45710</v>
      </c>
      <c r="D5216" t="inlineStr">
        <is>
          <t>ÖSTERGÖTLANDS LÄN</t>
        </is>
      </c>
      <c r="E5216" t="inlineStr">
        <is>
          <t>ÅTVIDABERG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55730-2022</t>
        </is>
      </c>
      <c r="B5217" s="1" t="n">
        <v>44888</v>
      </c>
      <c r="C5217" s="1" t="n">
        <v>45710</v>
      </c>
      <c r="D5217" t="inlineStr">
        <is>
          <t>ÖSTERGÖTLANDS LÄN</t>
        </is>
      </c>
      <c r="E5217" t="inlineStr">
        <is>
          <t>MJÖLBY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55851-2022</t>
        </is>
      </c>
      <c r="B5218" s="1" t="n">
        <v>44888</v>
      </c>
      <c r="C5218" s="1" t="n">
        <v>45710</v>
      </c>
      <c r="D5218" t="inlineStr">
        <is>
          <t>ÖSTERGÖTLANDS LÄN</t>
        </is>
      </c>
      <c r="E5218" t="inlineStr">
        <is>
          <t>SÖDERKÖPING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56050-2022</t>
        </is>
      </c>
      <c r="B5219" s="1" t="n">
        <v>44889</v>
      </c>
      <c r="C5219" s="1" t="n">
        <v>45710</v>
      </c>
      <c r="D5219" t="inlineStr">
        <is>
          <t>ÖSTERGÖTLANDS LÄN</t>
        </is>
      </c>
      <c r="E5219" t="inlineStr">
        <is>
          <t>FINSPÅNG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56056-2022</t>
        </is>
      </c>
      <c r="B5220" s="1" t="n">
        <v>44889</v>
      </c>
      <c r="C5220" s="1" t="n">
        <v>45710</v>
      </c>
      <c r="D5220" t="inlineStr">
        <is>
          <t>ÖSTERGÖTLANDS LÄN</t>
        </is>
      </c>
      <c r="E5220" t="inlineStr">
        <is>
          <t>FINSPÅNG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56054-2022</t>
        </is>
      </c>
      <c r="B5221" s="1" t="n">
        <v>44889</v>
      </c>
      <c r="C5221" s="1" t="n">
        <v>45710</v>
      </c>
      <c r="D5221" t="inlineStr">
        <is>
          <t>ÖSTERGÖTLANDS LÄN</t>
        </is>
      </c>
      <c r="E5221" t="inlineStr">
        <is>
          <t>FINSPÅNG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56058-2022</t>
        </is>
      </c>
      <c r="B5222" s="1" t="n">
        <v>44889</v>
      </c>
      <c r="C5222" s="1" t="n">
        <v>45710</v>
      </c>
      <c r="D5222" t="inlineStr">
        <is>
          <t>ÖSTERGÖTLANDS LÄN</t>
        </is>
      </c>
      <c r="E5222" t="inlineStr">
        <is>
          <t>FINSPÅNG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56032-2022</t>
        </is>
      </c>
      <c r="B5223" s="1" t="n">
        <v>44889</v>
      </c>
      <c r="C5223" s="1" t="n">
        <v>45710</v>
      </c>
      <c r="D5223" t="inlineStr">
        <is>
          <t>ÖSTERGÖTLANDS LÄN</t>
        </is>
      </c>
      <c r="E5223" t="inlineStr">
        <is>
          <t>NORRKÖPING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56052-2022</t>
        </is>
      </c>
      <c r="B5224" s="1" t="n">
        <v>44889</v>
      </c>
      <c r="C5224" s="1" t="n">
        <v>45710</v>
      </c>
      <c r="D5224" t="inlineStr">
        <is>
          <t>ÖSTERGÖTLANDS LÄN</t>
        </is>
      </c>
      <c r="E5224" t="inlineStr">
        <is>
          <t>FINSPÅNG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56057-2022</t>
        </is>
      </c>
      <c r="B5225" s="1" t="n">
        <v>44889</v>
      </c>
      <c r="C5225" s="1" t="n">
        <v>45710</v>
      </c>
      <c r="D5225" t="inlineStr">
        <is>
          <t>ÖSTERGÖTLANDS LÄN</t>
        </is>
      </c>
      <c r="E5225" t="inlineStr">
        <is>
          <t>FINSPÅNG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56062-2022</t>
        </is>
      </c>
      <c r="B5226" s="1" t="n">
        <v>44889</v>
      </c>
      <c r="C5226" s="1" t="n">
        <v>45710</v>
      </c>
      <c r="D5226" t="inlineStr">
        <is>
          <t>ÖSTERGÖTLANDS LÄN</t>
        </is>
      </c>
      <c r="E5226" t="inlineStr">
        <is>
          <t>LINKÖPING</t>
        </is>
      </c>
      <c r="F5226" t="inlineStr">
        <is>
          <t>Sveaskog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56114-2022</t>
        </is>
      </c>
      <c r="B5227" s="1" t="n">
        <v>44889</v>
      </c>
      <c r="C5227" s="1" t="n">
        <v>45710</v>
      </c>
      <c r="D5227" t="inlineStr">
        <is>
          <t>ÖSTERGÖTLANDS LÄN</t>
        </is>
      </c>
      <c r="E5227" t="inlineStr">
        <is>
          <t>FINSPÅNG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56018-2022</t>
        </is>
      </c>
      <c r="B5228" s="1" t="n">
        <v>44889</v>
      </c>
      <c r="C5228" s="1" t="n">
        <v>45710</v>
      </c>
      <c r="D5228" t="inlineStr">
        <is>
          <t>ÖSTERGÖTLANDS LÄN</t>
        </is>
      </c>
      <c r="E5228" t="inlineStr">
        <is>
          <t>KINDA</t>
        </is>
      </c>
      <c r="G5228" t="n">
        <v>5.4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56064-2022</t>
        </is>
      </c>
      <c r="B5229" s="1" t="n">
        <v>44889</v>
      </c>
      <c r="C5229" s="1" t="n">
        <v>45710</v>
      </c>
      <c r="D5229" t="inlineStr">
        <is>
          <t>ÖSTERGÖTLANDS LÄN</t>
        </is>
      </c>
      <c r="E5229" t="inlineStr">
        <is>
          <t>LINKÖPING</t>
        </is>
      </c>
      <c r="F5229" t="inlineStr">
        <is>
          <t>Sveaskog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55933-2022</t>
        </is>
      </c>
      <c r="B5230" s="1" t="n">
        <v>44889</v>
      </c>
      <c r="C5230" s="1" t="n">
        <v>45710</v>
      </c>
      <c r="D5230" t="inlineStr">
        <is>
          <t>ÖSTERGÖTLANDS LÄN</t>
        </is>
      </c>
      <c r="E5230" t="inlineStr">
        <is>
          <t>KINDA</t>
        </is>
      </c>
      <c r="G5230" t="n">
        <v>8.300000000000001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55964-2022</t>
        </is>
      </c>
      <c r="B5231" s="1" t="n">
        <v>44889</v>
      </c>
      <c r="C5231" s="1" t="n">
        <v>45710</v>
      </c>
      <c r="D5231" t="inlineStr">
        <is>
          <t>ÖSTERGÖTLANDS LÄN</t>
        </is>
      </c>
      <c r="E5231" t="inlineStr">
        <is>
          <t>VALDEMARSVIK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55966-2022</t>
        </is>
      </c>
      <c r="B5232" s="1" t="n">
        <v>44889</v>
      </c>
      <c r="C5232" s="1" t="n">
        <v>45710</v>
      </c>
      <c r="D5232" t="inlineStr">
        <is>
          <t>ÖSTERGÖTLANDS LÄN</t>
        </is>
      </c>
      <c r="E5232" t="inlineStr">
        <is>
          <t>MOTALA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55941-2022</t>
        </is>
      </c>
      <c r="B5233" s="1" t="n">
        <v>44889</v>
      </c>
      <c r="C5233" s="1" t="n">
        <v>45710</v>
      </c>
      <c r="D5233" t="inlineStr">
        <is>
          <t>ÖSTERGÖTLANDS LÄN</t>
        </is>
      </c>
      <c r="E5233" t="inlineStr">
        <is>
          <t>NORRKÖPING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55945-2022</t>
        </is>
      </c>
      <c r="B5234" s="1" t="n">
        <v>44889</v>
      </c>
      <c r="C5234" s="1" t="n">
        <v>45710</v>
      </c>
      <c r="D5234" t="inlineStr">
        <is>
          <t>ÖSTERGÖTLANDS LÄN</t>
        </is>
      </c>
      <c r="E5234" t="inlineStr">
        <is>
          <t>NORRKÖPING</t>
        </is>
      </c>
      <c r="G5234" t="n">
        <v>3.3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55954-2022</t>
        </is>
      </c>
      <c r="B5235" s="1" t="n">
        <v>44889</v>
      </c>
      <c r="C5235" s="1" t="n">
        <v>45710</v>
      </c>
      <c r="D5235" t="inlineStr">
        <is>
          <t>ÖSTERGÖTLANDS LÄN</t>
        </is>
      </c>
      <c r="E5235" t="inlineStr">
        <is>
          <t>NORRKÖPING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56199-2022</t>
        </is>
      </c>
      <c r="B5236" s="1" t="n">
        <v>44890</v>
      </c>
      <c r="C5236" s="1" t="n">
        <v>45710</v>
      </c>
      <c r="D5236" t="inlineStr">
        <is>
          <t>ÖSTERGÖTLANDS LÄN</t>
        </is>
      </c>
      <c r="E5236" t="inlineStr">
        <is>
          <t>FINSPÅNG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56219-2022</t>
        </is>
      </c>
      <c r="B5237" s="1" t="n">
        <v>44890</v>
      </c>
      <c r="C5237" s="1" t="n">
        <v>45710</v>
      </c>
      <c r="D5237" t="inlineStr">
        <is>
          <t>ÖSTERGÖTLANDS LÄN</t>
        </is>
      </c>
      <c r="E5237" t="inlineStr">
        <is>
          <t>SÖDERKÖPING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56228-2022</t>
        </is>
      </c>
      <c r="B5238" s="1" t="n">
        <v>44890</v>
      </c>
      <c r="C5238" s="1" t="n">
        <v>45710</v>
      </c>
      <c r="D5238" t="inlineStr">
        <is>
          <t>ÖSTERGÖTLANDS LÄN</t>
        </is>
      </c>
      <c r="E5238" t="inlineStr">
        <is>
          <t>FINSPÅNG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56275-2022</t>
        </is>
      </c>
      <c r="B5239" s="1" t="n">
        <v>44890</v>
      </c>
      <c r="C5239" s="1" t="n">
        <v>45710</v>
      </c>
      <c r="D5239" t="inlineStr">
        <is>
          <t>ÖSTERGÖTLANDS LÄN</t>
        </is>
      </c>
      <c r="E5239" t="inlineStr">
        <is>
          <t>MOTALA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56213-2022</t>
        </is>
      </c>
      <c r="B5240" s="1" t="n">
        <v>44890</v>
      </c>
      <c r="C5240" s="1" t="n">
        <v>45710</v>
      </c>
      <c r="D5240" t="inlineStr">
        <is>
          <t>ÖSTERGÖTLANDS LÄN</t>
        </is>
      </c>
      <c r="E5240" t="inlineStr">
        <is>
          <t>SÖDERKÖPING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56230-2022</t>
        </is>
      </c>
      <c r="B5241" s="1" t="n">
        <v>44890</v>
      </c>
      <c r="C5241" s="1" t="n">
        <v>45710</v>
      </c>
      <c r="D5241" t="inlineStr">
        <is>
          <t>ÖSTERGÖTLANDS LÄN</t>
        </is>
      </c>
      <c r="E5241" t="inlineStr">
        <is>
          <t>FINSPÅNG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56331-2022</t>
        </is>
      </c>
      <c r="B5242" s="1" t="n">
        <v>44890</v>
      </c>
      <c r="C5242" s="1" t="n">
        <v>45710</v>
      </c>
      <c r="D5242" t="inlineStr">
        <is>
          <t>ÖSTERGÖTLANDS LÄN</t>
        </is>
      </c>
      <c r="E5242" t="inlineStr">
        <is>
          <t>NORRKÖPING</t>
        </is>
      </c>
      <c r="F5242" t="inlineStr">
        <is>
          <t>Holmen skog AB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56387-2022</t>
        </is>
      </c>
      <c r="B5243" s="1" t="n">
        <v>44890</v>
      </c>
      <c r="C5243" s="1" t="n">
        <v>45710</v>
      </c>
      <c r="D5243" t="inlineStr">
        <is>
          <t>ÖSTERGÖTLANDS LÄN</t>
        </is>
      </c>
      <c r="E5243" t="inlineStr">
        <is>
          <t>FINSPÅNG</t>
        </is>
      </c>
      <c r="G5243" t="n">
        <v>18.5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56335-2022</t>
        </is>
      </c>
      <c r="B5244" s="1" t="n">
        <v>44890</v>
      </c>
      <c r="C5244" s="1" t="n">
        <v>45710</v>
      </c>
      <c r="D5244" t="inlineStr">
        <is>
          <t>ÖSTERGÖTLANDS LÄN</t>
        </is>
      </c>
      <c r="E5244" t="inlineStr">
        <is>
          <t>KINDA</t>
        </is>
      </c>
      <c r="F5244" t="inlineStr">
        <is>
          <t>Kyrkan</t>
        </is>
      </c>
      <c r="G5244" t="n">
        <v>2.8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56383-2022</t>
        </is>
      </c>
      <c r="B5245" s="1" t="n">
        <v>44890</v>
      </c>
      <c r="C5245" s="1" t="n">
        <v>45710</v>
      </c>
      <c r="D5245" t="inlineStr">
        <is>
          <t>ÖSTERGÖTLANDS LÄN</t>
        </is>
      </c>
      <c r="E5245" t="inlineStr">
        <is>
          <t>FINSPÅNG</t>
        </is>
      </c>
      <c r="G5245" t="n">
        <v>5.2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56425-2022</t>
        </is>
      </c>
      <c r="B5246" s="1" t="n">
        <v>44891</v>
      </c>
      <c r="C5246" s="1" t="n">
        <v>45710</v>
      </c>
      <c r="D5246" t="inlineStr">
        <is>
          <t>ÖSTERGÖTLANDS LÄN</t>
        </is>
      </c>
      <c r="E5246" t="inlineStr">
        <is>
          <t>FINSPÅNG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56490-2022</t>
        </is>
      </c>
      <c r="B5247" s="1" t="n">
        <v>44893</v>
      </c>
      <c r="C5247" s="1" t="n">
        <v>45710</v>
      </c>
      <c r="D5247" t="inlineStr">
        <is>
          <t>ÖSTERGÖTLANDS LÄN</t>
        </is>
      </c>
      <c r="E5247" t="inlineStr">
        <is>
          <t>SÖDERKÖPING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58344-2022</t>
        </is>
      </c>
      <c r="B5248" s="1" t="n">
        <v>44893</v>
      </c>
      <c r="C5248" s="1" t="n">
        <v>45710</v>
      </c>
      <c r="D5248" t="inlineStr">
        <is>
          <t>ÖSTERGÖTLANDS LÄN</t>
        </is>
      </c>
      <c r="E5248" t="inlineStr">
        <is>
          <t>MOTALA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58341-2022</t>
        </is>
      </c>
      <c r="B5249" s="1" t="n">
        <v>44893</v>
      </c>
      <c r="C5249" s="1" t="n">
        <v>45710</v>
      </c>
      <c r="D5249" t="inlineStr">
        <is>
          <t>ÖSTERGÖTLANDS LÄN</t>
        </is>
      </c>
      <c r="E5249" t="inlineStr">
        <is>
          <t>MOTALA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56751-2022</t>
        </is>
      </c>
      <c r="B5250" s="1" t="n">
        <v>44894</v>
      </c>
      <c r="C5250" s="1" t="n">
        <v>45710</v>
      </c>
      <c r="D5250" t="inlineStr">
        <is>
          <t>ÖSTERGÖTLANDS LÄN</t>
        </is>
      </c>
      <c r="E5250" t="inlineStr">
        <is>
          <t>KINDA</t>
        </is>
      </c>
      <c r="F5250" t="inlineStr">
        <is>
          <t>Övriga Aktiebolag</t>
        </is>
      </c>
      <c r="G5250" t="n">
        <v>4.1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56841-2022</t>
        </is>
      </c>
      <c r="B5251" s="1" t="n">
        <v>44894</v>
      </c>
      <c r="C5251" s="1" t="n">
        <v>45710</v>
      </c>
      <c r="D5251" t="inlineStr">
        <is>
          <t>ÖSTERGÖTLANDS LÄN</t>
        </is>
      </c>
      <c r="E5251" t="inlineStr">
        <is>
          <t>ÖDESHÖG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56866-2022</t>
        </is>
      </c>
      <c r="B5252" s="1" t="n">
        <v>44894</v>
      </c>
      <c r="C5252" s="1" t="n">
        <v>45710</v>
      </c>
      <c r="D5252" t="inlineStr">
        <is>
          <t>ÖSTERGÖTLANDS LÄN</t>
        </is>
      </c>
      <c r="E5252" t="inlineStr">
        <is>
          <t>MOTALA</t>
        </is>
      </c>
      <c r="F5252" t="inlineStr">
        <is>
          <t>Sveaskog</t>
        </is>
      </c>
      <c r="G5252" t="n">
        <v>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56900-2022</t>
        </is>
      </c>
      <c r="B5253" s="1" t="n">
        <v>44894</v>
      </c>
      <c r="C5253" s="1" t="n">
        <v>45710</v>
      </c>
      <c r="D5253" t="inlineStr">
        <is>
          <t>ÖSTERGÖTLANDS LÄN</t>
        </is>
      </c>
      <c r="E5253" t="inlineStr">
        <is>
          <t>YDRE</t>
        </is>
      </c>
      <c r="G5253" t="n">
        <v>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56867-2022</t>
        </is>
      </c>
      <c r="B5254" s="1" t="n">
        <v>44894</v>
      </c>
      <c r="C5254" s="1" t="n">
        <v>45710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Sveaskog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56885-2022</t>
        </is>
      </c>
      <c r="B5255" s="1" t="n">
        <v>44894</v>
      </c>
      <c r="C5255" s="1" t="n">
        <v>45710</v>
      </c>
      <c r="D5255" t="inlineStr">
        <is>
          <t>ÖSTERGÖTLANDS LÄN</t>
        </is>
      </c>
      <c r="E5255" t="inlineStr">
        <is>
          <t>YDRE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56901-2022</t>
        </is>
      </c>
      <c r="B5256" s="1" t="n">
        <v>44894</v>
      </c>
      <c r="C5256" s="1" t="n">
        <v>45710</v>
      </c>
      <c r="D5256" t="inlineStr">
        <is>
          <t>ÖSTERGÖTLANDS LÄN</t>
        </is>
      </c>
      <c r="E5256" t="inlineStr">
        <is>
          <t>YDRE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56917-2022</t>
        </is>
      </c>
      <c r="B5257" s="1" t="n">
        <v>44894</v>
      </c>
      <c r="C5257" s="1" t="n">
        <v>45710</v>
      </c>
      <c r="D5257" t="inlineStr">
        <is>
          <t>ÖSTERGÖTLANDS LÄN</t>
        </is>
      </c>
      <c r="E5257" t="inlineStr">
        <is>
          <t>LINKÖPING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58262-2022</t>
        </is>
      </c>
      <c r="B5258" s="1" t="n">
        <v>44894</v>
      </c>
      <c r="C5258" s="1" t="n">
        <v>45710</v>
      </c>
      <c r="D5258" t="inlineStr">
        <is>
          <t>ÖSTERGÖTLANDS LÄN</t>
        </is>
      </c>
      <c r="E5258" t="inlineStr">
        <is>
          <t>VALDEMARSVIK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57029-2022</t>
        </is>
      </c>
      <c r="B5259" s="1" t="n">
        <v>44895</v>
      </c>
      <c r="C5259" s="1" t="n">
        <v>45710</v>
      </c>
      <c r="D5259" t="inlineStr">
        <is>
          <t>ÖSTERGÖTLANDS LÄN</t>
        </is>
      </c>
      <c r="E5259" t="inlineStr">
        <is>
          <t>ÅTVIDABERG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57493-2022</t>
        </is>
      </c>
      <c r="B5260" s="1" t="n">
        <v>44896</v>
      </c>
      <c r="C5260" s="1" t="n">
        <v>45710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5.2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57413-2022</t>
        </is>
      </c>
      <c r="B5261" s="1" t="n">
        <v>44896</v>
      </c>
      <c r="C5261" s="1" t="n">
        <v>45710</v>
      </c>
      <c r="D5261" t="inlineStr">
        <is>
          <t>ÖSTERGÖTLANDS LÄN</t>
        </is>
      </c>
      <c r="E5261" t="inlineStr">
        <is>
          <t>NORRKÖPING</t>
        </is>
      </c>
      <c r="F5261" t="inlineStr">
        <is>
          <t>Holmen skog AB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57513-2022</t>
        </is>
      </c>
      <c r="B5262" s="1" t="n">
        <v>44896</v>
      </c>
      <c r="C5262" s="1" t="n">
        <v>45710</v>
      </c>
      <c r="D5262" t="inlineStr">
        <is>
          <t>ÖSTERGÖTLANDS LÄN</t>
        </is>
      </c>
      <c r="E5262" t="inlineStr">
        <is>
          <t>VALDEMARSVIK</t>
        </is>
      </c>
      <c r="G5262" t="n">
        <v>5.6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57520-2022</t>
        </is>
      </c>
      <c r="B5263" s="1" t="n">
        <v>44896</v>
      </c>
      <c r="C5263" s="1" t="n">
        <v>45710</v>
      </c>
      <c r="D5263" t="inlineStr">
        <is>
          <t>ÖSTERGÖTLANDS LÄN</t>
        </is>
      </c>
      <c r="E5263" t="inlineStr">
        <is>
          <t>NORRKÖPING</t>
        </is>
      </c>
      <c r="F5263" t="inlineStr">
        <is>
          <t>Holmen skog AB</t>
        </is>
      </c>
      <c r="G5263" t="n">
        <v>8.5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57502-2022</t>
        </is>
      </c>
      <c r="B5264" s="1" t="n">
        <v>44896</v>
      </c>
      <c r="C5264" s="1" t="n">
        <v>45710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57662-2022</t>
        </is>
      </c>
      <c r="B5265" s="1" t="n">
        <v>44897</v>
      </c>
      <c r="C5265" s="1" t="n">
        <v>45710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57748-2022</t>
        </is>
      </c>
      <c r="B5266" s="1" t="n">
        <v>44897</v>
      </c>
      <c r="C5266" s="1" t="n">
        <v>45710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4.8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57657-2022</t>
        </is>
      </c>
      <c r="B5267" s="1" t="n">
        <v>44897</v>
      </c>
      <c r="C5267" s="1" t="n">
        <v>45710</v>
      </c>
      <c r="D5267" t="inlineStr">
        <is>
          <t>ÖSTERGÖTLANDS LÄN</t>
        </is>
      </c>
      <c r="E5267" t="inlineStr">
        <is>
          <t>ÅTVIDABERG</t>
        </is>
      </c>
      <c r="G5267" t="n">
        <v>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57738-2022</t>
        </is>
      </c>
      <c r="B5268" s="1" t="n">
        <v>44897</v>
      </c>
      <c r="C5268" s="1" t="n">
        <v>45710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57745-2022</t>
        </is>
      </c>
      <c r="B5269" s="1" t="n">
        <v>44897</v>
      </c>
      <c r="C5269" s="1" t="n">
        <v>45710</v>
      </c>
      <c r="D5269" t="inlineStr">
        <is>
          <t>ÖSTERGÖTLANDS LÄN</t>
        </is>
      </c>
      <c r="E5269" t="inlineStr">
        <is>
          <t>LINKÖPING</t>
        </is>
      </c>
      <c r="F5269" t="inlineStr">
        <is>
          <t>Sveaskog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57750-2022</t>
        </is>
      </c>
      <c r="B5270" s="1" t="n">
        <v>44897</v>
      </c>
      <c r="C5270" s="1" t="n">
        <v>45710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6.2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57680-2022</t>
        </is>
      </c>
      <c r="B5271" s="1" t="n">
        <v>44897</v>
      </c>
      <c r="C5271" s="1" t="n">
        <v>45710</v>
      </c>
      <c r="D5271" t="inlineStr">
        <is>
          <t>ÖSTERGÖTLANDS LÄN</t>
        </is>
      </c>
      <c r="E5271" t="inlineStr">
        <is>
          <t>VALDEMARSVIK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57712-2022</t>
        </is>
      </c>
      <c r="B5272" s="1" t="n">
        <v>44897</v>
      </c>
      <c r="C5272" s="1" t="n">
        <v>45710</v>
      </c>
      <c r="D5272" t="inlineStr">
        <is>
          <t>ÖSTERGÖTLANDS LÄN</t>
        </is>
      </c>
      <c r="E5272" t="inlineStr">
        <is>
          <t>KINDA</t>
        </is>
      </c>
      <c r="F5272" t="inlineStr">
        <is>
          <t>Sveaskog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57767-2022</t>
        </is>
      </c>
      <c r="B5273" s="1" t="n">
        <v>44897</v>
      </c>
      <c r="C5273" s="1" t="n">
        <v>45710</v>
      </c>
      <c r="D5273" t="inlineStr">
        <is>
          <t>ÖSTERGÖTLANDS LÄN</t>
        </is>
      </c>
      <c r="E5273" t="inlineStr">
        <is>
          <t>KINDA</t>
        </is>
      </c>
      <c r="G5273" t="n">
        <v>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57772-2022</t>
        </is>
      </c>
      <c r="B5274" s="1" t="n">
        <v>44897</v>
      </c>
      <c r="C5274" s="1" t="n">
        <v>45710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57854-2022</t>
        </is>
      </c>
      <c r="B5275" s="1" t="n">
        <v>44898</v>
      </c>
      <c r="C5275" s="1" t="n">
        <v>45710</v>
      </c>
      <c r="D5275" t="inlineStr">
        <is>
          <t>ÖSTERGÖTLANDS LÄN</t>
        </is>
      </c>
      <c r="E5275" t="inlineStr">
        <is>
          <t>FINSPÅNG</t>
        </is>
      </c>
      <c r="G5275" t="n">
        <v>0.2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57864-2022</t>
        </is>
      </c>
      <c r="B5276" s="1" t="n">
        <v>44899</v>
      </c>
      <c r="C5276" s="1" t="n">
        <v>45710</v>
      </c>
      <c r="D5276" t="inlineStr">
        <is>
          <t>ÖSTERGÖTLANDS LÄN</t>
        </is>
      </c>
      <c r="E5276" t="inlineStr">
        <is>
          <t>VALDEMARSVIK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57888-2022</t>
        </is>
      </c>
      <c r="B5277" s="1" t="n">
        <v>44900</v>
      </c>
      <c r="C5277" s="1" t="n">
        <v>45710</v>
      </c>
      <c r="D5277" t="inlineStr">
        <is>
          <t>ÖSTERGÖTLANDS LÄN</t>
        </is>
      </c>
      <c r="E5277" t="inlineStr">
        <is>
          <t>SÖDERKÖPING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57979-2022</t>
        </is>
      </c>
      <c r="B5278" s="1" t="n">
        <v>44900</v>
      </c>
      <c r="C5278" s="1" t="n">
        <v>45710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58141-2022</t>
        </is>
      </c>
      <c r="B5279" s="1" t="n">
        <v>44900</v>
      </c>
      <c r="C5279" s="1" t="n">
        <v>45710</v>
      </c>
      <c r="D5279" t="inlineStr">
        <is>
          <t>ÖSTERGÖTLANDS LÄN</t>
        </is>
      </c>
      <c r="E5279" t="inlineStr">
        <is>
          <t>FINSPÅNG</t>
        </is>
      </c>
      <c r="G5279" t="n">
        <v>4.5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58142-2022</t>
        </is>
      </c>
      <c r="B5280" s="1" t="n">
        <v>44900</v>
      </c>
      <c r="C5280" s="1" t="n">
        <v>45710</v>
      </c>
      <c r="D5280" t="inlineStr">
        <is>
          <t>ÖSTERGÖTLANDS LÄN</t>
        </is>
      </c>
      <c r="E5280" t="inlineStr">
        <is>
          <t>FINSPÅNG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58227-2022</t>
        </is>
      </c>
      <c r="B5281" s="1" t="n">
        <v>44901</v>
      </c>
      <c r="C5281" s="1" t="n">
        <v>45710</v>
      </c>
      <c r="D5281" t="inlineStr">
        <is>
          <t>ÖSTERGÖTLANDS LÄN</t>
        </is>
      </c>
      <c r="E5281" t="inlineStr">
        <is>
          <t>SÖDERKÖPING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58223-2022</t>
        </is>
      </c>
      <c r="B5282" s="1" t="n">
        <v>44901</v>
      </c>
      <c r="C5282" s="1" t="n">
        <v>45710</v>
      </c>
      <c r="D5282" t="inlineStr">
        <is>
          <t>ÖSTERGÖTLANDS LÄN</t>
        </is>
      </c>
      <c r="E5282" t="inlineStr">
        <is>
          <t>SÖDERKÖPING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58331-2022</t>
        </is>
      </c>
      <c r="B5283" s="1" t="n">
        <v>44901</v>
      </c>
      <c r="C5283" s="1" t="n">
        <v>45710</v>
      </c>
      <c r="D5283" t="inlineStr">
        <is>
          <t>ÖSTERGÖTLANDS LÄN</t>
        </is>
      </c>
      <c r="E5283" t="inlineStr">
        <is>
          <t>MOTALA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58564-2022</t>
        </is>
      </c>
      <c r="B5284" s="1" t="n">
        <v>44902</v>
      </c>
      <c r="C5284" s="1" t="n">
        <v>45710</v>
      </c>
      <c r="D5284" t="inlineStr">
        <is>
          <t>ÖSTERGÖTLANDS LÄN</t>
        </is>
      </c>
      <c r="E5284" t="inlineStr">
        <is>
          <t>ÅTVIDABERG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58563-2022</t>
        </is>
      </c>
      <c r="B5285" s="1" t="n">
        <v>44902</v>
      </c>
      <c r="C5285" s="1" t="n">
        <v>45710</v>
      </c>
      <c r="D5285" t="inlineStr">
        <is>
          <t>ÖSTERGÖTLANDS LÄN</t>
        </is>
      </c>
      <c r="E5285" t="inlineStr">
        <is>
          <t>ÅTVIDABERG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58798-2022</t>
        </is>
      </c>
      <c r="B5286" s="1" t="n">
        <v>44903</v>
      </c>
      <c r="C5286" s="1" t="n">
        <v>45710</v>
      </c>
      <c r="D5286" t="inlineStr">
        <is>
          <t>ÖSTERGÖTLANDS LÄN</t>
        </is>
      </c>
      <c r="E5286" t="inlineStr">
        <is>
          <t>MJÖLBY</t>
        </is>
      </c>
      <c r="G5286" t="n">
        <v>4.8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58984-2022</t>
        </is>
      </c>
      <c r="B5287" s="1" t="n">
        <v>44903</v>
      </c>
      <c r="C5287" s="1" t="n">
        <v>45710</v>
      </c>
      <c r="D5287" t="inlineStr">
        <is>
          <t>ÖSTERGÖTLANDS LÄN</t>
        </is>
      </c>
      <c r="E5287" t="inlineStr">
        <is>
          <t>FINSPÅNG</t>
        </is>
      </c>
      <c r="F5287" t="inlineStr">
        <is>
          <t>Holmen skog AB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58979-2022</t>
        </is>
      </c>
      <c r="B5288" s="1" t="n">
        <v>44903</v>
      </c>
      <c r="C5288" s="1" t="n">
        <v>45710</v>
      </c>
      <c r="D5288" t="inlineStr">
        <is>
          <t>ÖSTERGÖTLANDS LÄN</t>
        </is>
      </c>
      <c r="E5288" t="inlineStr">
        <is>
          <t>VALDEMARSVIK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58800-2022</t>
        </is>
      </c>
      <c r="B5289" s="1" t="n">
        <v>44903</v>
      </c>
      <c r="C5289" s="1" t="n">
        <v>45710</v>
      </c>
      <c r="D5289" t="inlineStr">
        <is>
          <t>ÖSTERGÖTLANDS LÄN</t>
        </is>
      </c>
      <c r="E5289" t="inlineStr">
        <is>
          <t>MJÖLBY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58806-2022</t>
        </is>
      </c>
      <c r="B5290" s="1" t="n">
        <v>44903</v>
      </c>
      <c r="C5290" s="1" t="n">
        <v>45710</v>
      </c>
      <c r="D5290" t="inlineStr">
        <is>
          <t>ÖSTERGÖTLANDS LÄN</t>
        </is>
      </c>
      <c r="E5290" t="inlineStr">
        <is>
          <t>FINSPÅNG</t>
        </is>
      </c>
      <c r="G5290" t="n">
        <v>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58997-2022</t>
        </is>
      </c>
      <c r="B5291" s="1" t="n">
        <v>44903</v>
      </c>
      <c r="C5291" s="1" t="n">
        <v>45710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Allmännings- och besparingsskogar</t>
        </is>
      </c>
      <c r="G5291" t="n">
        <v>37.7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58810-2022</t>
        </is>
      </c>
      <c r="B5292" s="1" t="n">
        <v>44903</v>
      </c>
      <c r="C5292" s="1" t="n">
        <v>45710</v>
      </c>
      <c r="D5292" t="inlineStr">
        <is>
          <t>ÖSTERGÖTLANDS LÄN</t>
        </is>
      </c>
      <c r="E5292" t="inlineStr">
        <is>
          <t>FINSPÅNG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58831-2022</t>
        </is>
      </c>
      <c r="B5293" s="1" t="n">
        <v>44903</v>
      </c>
      <c r="C5293" s="1" t="n">
        <v>45710</v>
      </c>
      <c r="D5293" t="inlineStr">
        <is>
          <t>ÖSTERGÖTLANDS LÄN</t>
        </is>
      </c>
      <c r="E5293" t="inlineStr">
        <is>
          <t>YDRE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58925-2022</t>
        </is>
      </c>
      <c r="B5294" s="1" t="n">
        <v>44903</v>
      </c>
      <c r="C5294" s="1" t="n">
        <v>45710</v>
      </c>
      <c r="D5294" t="inlineStr">
        <is>
          <t>ÖSTERGÖTLANDS LÄN</t>
        </is>
      </c>
      <c r="E5294" t="inlineStr">
        <is>
          <t>SÖDERKÖPING</t>
        </is>
      </c>
      <c r="G5294" t="n">
        <v>6.7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58947-2022</t>
        </is>
      </c>
      <c r="B5295" s="1" t="n">
        <v>44903</v>
      </c>
      <c r="C5295" s="1" t="n">
        <v>45710</v>
      </c>
      <c r="D5295" t="inlineStr">
        <is>
          <t>ÖSTERGÖTLANDS LÄN</t>
        </is>
      </c>
      <c r="E5295" t="inlineStr">
        <is>
          <t>LINKÖPING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59056-2022</t>
        </is>
      </c>
      <c r="B5296" s="1" t="n">
        <v>44904</v>
      </c>
      <c r="C5296" s="1" t="n">
        <v>45710</v>
      </c>
      <c r="D5296" t="inlineStr">
        <is>
          <t>ÖSTERGÖTLANDS LÄN</t>
        </is>
      </c>
      <c r="E5296" t="inlineStr">
        <is>
          <t>YDRE</t>
        </is>
      </c>
      <c r="F5296" t="inlineStr">
        <is>
          <t>Övriga Aktiebolag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59061-2022</t>
        </is>
      </c>
      <c r="B5297" s="1" t="n">
        <v>44904</v>
      </c>
      <c r="C5297" s="1" t="n">
        <v>45710</v>
      </c>
      <c r="D5297" t="inlineStr">
        <is>
          <t>ÖSTERGÖTLANDS LÄN</t>
        </is>
      </c>
      <c r="E5297" t="inlineStr">
        <is>
          <t>SÖDERKÖPING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59123-2022</t>
        </is>
      </c>
      <c r="B5298" s="1" t="n">
        <v>44904</v>
      </c>
      <c r="C5298" s="1" t="n">
        <v>45710</v>
      </c>
      <c r="D5298" t="inlineStr">
        <is>
          <t>ÖSTERGÖTLANDS LÄN</t>
        </is>
      </c>
      <c r="E5298" t="inlineStr">
        <is>
          <t>BOXHOLM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59058-2022</t>
        </is>
      </c>
      <c r="B5299" s="1" t="n">
        <v>44904</v>
      </c>
      <c r="C5299" s="1" t="n">
        <v>45710</v>
      </c>
      <c r="D5299" t="inlineStr">
        <is>
          <t>ÖSTERGÖTLANDS LÄN</t>
        </is>
      </c>
      <c r="E5299" t="inlineStr">
        <is>
          <t>SÖDERKÖPING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59234-2022</t>
        </is>
      </c>
      <c r="B5300" s="1" t="n">
        <v>44904</v>
      </c>
      <c r="C5300" s="1" t="n">
        <v>45710</v>
      </c>
      <c r="D5300" t="inlineStr">
        <is>
          <t>ÖSTERGÖTLANDS LÄN</t>
        </is>
      </c>
      <c r="E5300" t="inlineStr">
        <is>
          <t>MJÖLBY</t>
        </is>
      </c>
      <c r="F5300" t="inlineStr">
        <is>
          <t>Övriga Aktiebolag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59315-2022</t>
        </is>
      </c>
      <c r="B5301" s="1" t="n">
        <v>44904</v>
      </c>
      <c r="C5301" s="1" t="n">
        <v>45710</v>
      </c>
      <c r="D5301" t="inlineStr">
        <is>
          <t>ÖSTERGÖTLANDS LÄN</t>
        </is>
      </c>
      <c r="E5301" t="inlineStr">
        <is>
          <t>SÖDERKÖPING</t>
        </is>
      </c>
      <c r="G5301" t="n">
        <v>5.2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59125-2022</t>
        </is>
      </c>
      <c r="B5302" s="1" t="n">
        <v>44904</v>
      </c>
      <c r="C5302" s="1" t="n">
        <v>45710</v>
      </c>
      <c r="D5302" t="inlineStr">
        <is>
          <t>ÖSTERGÖTLANDS LÄN</t>
        </is>
      </c>
      <c r="E5302" t="inlineStr">
        <is>
          <t>BOXHOLM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59240-2022</t>
        </is>
      </c>
      <c r="B5303" s="1" t="n">
        <v>44904</v>
      </c>
      <c r="C5303" s="1" t="n">
        <v>45710</v>
      </c>
      <c r="D5303" t="inlineStr">
        <is>
          <t>ÖSTERGÖTLANDS LÄN</t>
        </is>
      </c>
      <c r="E5303" t="inlineStr">
        <is>
          <t>LINKÖPING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59410-2022</t>
        </is>
      </c>
      <c r="B5304" s="1" t="n">
        <v>44907</v>
      </c>
      <c r="C5304" s="1" t="n">
        <v>45710</v>
      </c>
      <c r="D5304" t="inlineStr">
        <is>
          <t>ÖSTERGÖTLANDS LÄN</t>
        </is>
      </c>
      <c r="E5304" t="inlineStr">
        <is>
          <t>MJÖLBY</t>
        </is>
      </c>
      <c r="F5304" t="inlineStr">
        <is>
          <t>Övriga Aktiebolag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59411-2022</t>
        </is>
      </c>
      <c r="B5305" s="1" t="n">
        <v>44907</v>
      </c>
      <c r="C5305" s="1" t="n">
        <v>45710</v>
      </c>
      <c r="D5305" t="inlineStr">
        <is>
          <t>ÖSTERGÖTLANDS LÄN</t>
        </is>
      </c>
      <c r="E5305" t="inlineStr">
        <is>
          <t>MJÖLBY</t>
        </is>
      </c>
      <c r="F5305" t="inlineStr">
        <is>
          <t>Övriga Aktiebolag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59573-2022</t>
        </is>
      </c>
      <c r="B5306" s="1" t="n">
        <v>44907</v>
      </c>
      <c r="C5306" s="1" t="n">
        <v>45710</v>
      </c>
      <c r="D5306" t="inlineStr">
        <is>
          <t>ÖSTERGÖTLANDS LÄN</t>
        </is>
      </c>
      <c r="E5306" t="inlineStr">
        <is>
          <t>KINDA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59586-2022</t>
        </is>
      </c>
      <c r="B5307" s="1" t="n">
        <v>44907</v>
      </c>
      <c r="C5307" s="1" t="n">
        <v>45710</v>
      </c>
      <c r="D5307" t="inlineStr">
        <is>
          <t>ÖSTERGÖTLANDS LÄN</t>
        </is>
      </c>
      <c r="E5307" t="inlineStr">
        <is>
          <t>NORRKÖPING</t>
        </is>
      </c>
      <c r="G5307" t="n">
        <v>2.9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59570-2022</t>
        </is>
      </c>
      <c r="B5308" s="1" t="n">
        <v>44907</v>
      </c>
      <c r="C5308" s="1" t="n">
        <v>45710</v>
      </c>
      <c r="D5308" t="inlineStr">
        <is>
          <t>ÖSTERGÖTLANDS LÄN</t>
        </is>
      </c>
      <c r="E5308" t="inlineStr">
        <is>
          <t>MOTALA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59658-2022</t>
        </is>
      </c>
      <c r="B5309" s="1" t="n">
        <v>44908</v>
      </c>
      <c r="C5309" s="1" t="n">
        <v>45710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59806-2022</t>
        </is>
      </c>
      <c r="B5310" s="1" t="n">
        <v>44908</v>
      </c>
      <c r="C5310" s="1" t="n">
        <v>45710</v>
      </c>
      <c r="D5310" t="inlineStr">
        <is>
          <t>ÖSTERGÖTLANDS LÄN</t>
        </is>
      </c>
      <c r="E5310" t="inlineStr">
        <is>
          <t>YDRE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59812-2022</t>
        </is>
      </c>
      <c r="B5311" s="1" t="n">
        <v>44908</v>
      </c>
      <c r="C5311" s="1" t="n">
        <v>45710</v>
      </c>
      <c r="D5311" t="inlineStr">
        <is>
          <t>ÖSTERGÖTLANDS LÄN</t>
        </is>
      </c>
      <c r="E5311" t="inlineStr">
        <is>
          <t>YDRE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59779-2022</t>
        </is>
      </c>
      <c r="B5312" s="1" t="n">
        <v>44908</v>
      </c>
      <c r="C5312" s="1" t="n">
        <v>45710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59805-2022</t>
        </is>
      </c>
      <c r="B5313" s="1" t="n">
        <v>44908</v>
      </c>
      <c r="C5313" s="1" t="n">
        <v>45710</v>
      </c>
      <c r="D5313" t="inlineStr">
        <is>
          <t>ÖSTERGÖTLANDS LÄN</t>
        </is>
      </c>
      <c r="E5313" t="inlineStr">
        <is>
          <t>YDRE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59811-2022</t>
        </is>
      </c>
      <c r="B5314" s="1" t="n">
        <v>44908</v>
      </c>
      <c r="C5314" s="1" t="n">
        <v>45710</v>
      </c>
      <c r="D5314" t="inlineStr">
        <is>
          <t>ÖSTERGÖTLANDS LÄN</t>
        </is>
      </c>
      <c r="E5314" t="inlineStr">
        <is>
          <t>YDRE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60917-2022</t>
        </is>
      </c>
      <c r="B5315" s="1" t="n">
        <v>44908</v>
      </c>
      <c r="C5315" s="1" t="n">
        <v>45710</v>
      </c>
      <c r="D5315" t="inlineStr">
        <is>
          <t>ÖSTERGÖTLANDS LÄN</t>
        </is>
      </c>
      <c r="E5315" t="inlineStr">
        <is>
          <t>MJÖLBY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59816-2022</t>
        </is>
      </c>
      <c r="B5316" s="1" t="n">
        <v>44908</v>
      </c>
      <c r="C5316" s="1" t="n">
        <v>45710</v>
      </c>
      <c r="D5316" t="inlineStr">
        <is>
          <t>ÖSTERGÖTLANDS LÄN</t>
        </is>
      </c>
      <c r="E5316" t="inlineStr">
        <is>
          <t>YDRE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59813-2022</t>
        </is>
      </c>
      <c r="B5317" s="1" t="n">
        <v>44908</v>
      </c>
      <c r="C5317" s="1" t="n">
        <v>45710</v>
      </c>
      <c r="D5317" t="inlineStr">
        <is>
          <t>ÖSTERGÖTLANDS LÄN</t>
        </is>
      </c>
      <c r="E5317" t="inlineStr">
        <is>
          <t>NORRKÖPING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59859-2022</t>
        </is>
      </c>
      <c r="B5318" s="1" t="n">
        <v>44908</v>
      </c>
      <c r="C5318" s="1" t="n">
        <v>45710</v>
      </c>
      <c r="D5318" t="inlineStr">
        <is>
          <t>ÖSTERGÖTLANDS LÄN</t>
        </is>
      </c>
      <c r="E5318" t="inlineStr">
        <is>
          <t>KINDA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59887-2022</t>
        </is>
      </c>
      <c r="B5319" s="1" t="n">
        <v>44908</v>
      </c>
      <c r="C5319" s="1" t="n">
        <v>45710</v>
      </c>
      <c r="D5319" t="inlineStr">
        <is>
          <t>ÖSTERGÖTLANDS LÄN</t>
        </is>
      </c>
      <c r="E5319" t="inlineStr">
        <is>
          <t>NORRKÖPING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59948-2022</t>
        </is>
      </c>
      <c r="B5320" s="1" t="n">
        <v>44909</v>
      </c>
      <c r="C5320" s="1" t="n">
        <v>45710</v>
      </c>
      <c r="D5320" t="inlineStr">
        <is>
          <t>ÖSTERGÖTLANDS LÄN</t>
        </is>
      </c>
      <c r="E5320" t="inlineStr">
        <is>
          <t>LINKÖPING</t>
        </is>
      </c>
      <c r="G5320" t="n">
        <v>6.7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60004-2022</t>
        </is>
      </c>
      <c r="B5321" s="1" t="n">
        <v>44909</v>
      </c>
      <c r="C5321" s="1" t="n">
        <v>45710</v>
      </c>
      <c r="D5321" t="inlineStr">
        <is>
          <t>ÖSTERGÖTLANDS LÄN</t>
        </is>
      </c>
      <c r="E5321" t="inlineStr">
        <is>
          <t>LINKÖPING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60013-2022</t>
        </is>
      </c>
      <c r="B5322" s="1" t="n">
        <v>44909</v>
      </c>
      <c r="C5322" s="1" t="n">
        <v>45710</v>
      </c>
      <c r="D5322" t="inlineStr">
        <is>
          <t>ÖSTERGÖTLANDS LÄN</t>
        </is>
      </c>
      <c r="E5322" t="inlineStr">
        <is>
          <t>LINKÖPING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60001-2022</t>
        </is>
      </c>
      <c r="B5323" s="1" t="n">
        <v>44909</v>
      </c>
      <c r="C5323" s="1" t="n">
        <v>45710</v>
      </c>
      <c r="D5323" t="inlineStr">
        <is>
          <t>ÖSTERGÖTLANDS LÄN</t>
        </is>
      </c>
      <c r="E5323" t="inlineStr">
        <is>
          <t>LINKÖPING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60007-2022</t>
        </is>
      </c>
      <c r="B5324" s="1" t="n">
        <v>44909</v>
      </c>
      <c r="C5324" s="1" t="n">
        <v>45710</v>
      </c>
      <c r="D5324" t="inlineStr">
        <is>
          <t>ÖSTERGÖTLANDS LÄN</t>
        </is>
      </c>
      <c r="E5324" t="inlineStr">
        <is>
          <t>LINKÖPING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60010-2022</t>
        </is>
      </c>
      <c r="B5325" s="1" t="n">
        <v>44909</v>
      </c>
      <c r="C5325" s="1" t="n">
        <v>45710</v>
      </c>
      <c r="D5325" t="inlineStr">
        <is>
          <t>ÖSTERGÖTLANDS LÄN</t>
        </is>
      </c>
      <c r="E5325" t="inlineStr">
        <is>
          <t>LINKÖPING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61433-2022</t>
        </is>
      </c>
      <c r="B5326" s="1" t="n">
        <v>44909</v>
      </c>
      <c r="C5326" s="1" t="n">
        <v>45710</v>
      </c>
      <c r="D5326" t="inlineStr">
        <is>
          <t>ÖSTERGÖTLANDS LÄN</t>
        </is>
      </c>
      <c r="E5326" t="inlineStr">
        <is>
          <t>MJÖLBY</t>
        </is>
      </c>
      <c r="G5326" t="n">
        <v>3.2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60233-2022</t>
        </is>
      </c>
      <c r="B5327" s="1" t="n">
        <v>44910</v>
      </c>
      <c r="C5327" s="1" t="n">
        <v>45710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60242-2022</t>
        </is>
      </c>
      <c r="B5328" s="1" t="n">
        <v>44910</v>
      </c>
      <c r="C5328" s="1" t="n">
        <v>45710</v>
      </c>
      <c r="D5328" t="inlineStr">
        <is>
          <t>ÖSTERGÖTLANDS LÄN</t>
        </is>
      </c>
      <c r="E5328" t="inlineStr">
        <is>
          <t>VALDEMARSVIK</t>
        </is>
      </c>
      <c r="G5328" t="n">
        <v>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60472-2022</t>
        </is>
      </c>
      <c r="B5329" s="1" t="n">
        <v>44911</v>
      </c>
      <c r="C5329" s="1" t="n">
        <v>45710</v>
      </c>
      <c r="D5329" t="inlineStr">
        <is>
          <t>ÖSTERGÖTLANDS LÄN</t>
        </is>
      </c>
      <c r="E5329" t="inlineStr">
        <is>
          <t>LINKÖPING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60603-2022</t>
        </is>
      </c>
      <c r="B5330" s="1" t="n">
        <v>44911</v>
      </c>
      <c r="C5330" s="1" t="n">
        <v>45710</v>
      </c>
      <c r="D5330" t="inlineStr">
        <is>
          <t>ÖSTERGÖTLANDS LÄN</t>
        </is>
      </c>
      <c r="E5330" t="inlineStr">
        <is>
          <t>MOTALA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60610-2022</t>
        </is>
      </c>
      <c r="B5331" s="1" t="n">
        <v>44911</v>
      </c>
      <c r="C5331" s="1" t="n">
        <v>45710</v>
      </c>
      <c r="D5331" t="inlineStr">
        <is>
          <t>ÖSTERGÖTLANDS LÄN</t>
        </is>
      </c>
      <c r="E5331" t="inlineStr">
        <is>
          <t>MOTALA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60640-2022</t>
        </is>
      </c>
      <c r="B5332" s="1" t="n">
        <v>44911</v>
      </c>
      <c r="C5332" s="1" t="n">
        <v>45710</v>
      </c>
      <c r="D5332" t="inlineStr">
        <is>
          <t>ÖSTERGÖTLANDS LÄN</t>
        </is>
      </c>
      <c r="E5332" t="inlineStr">
        <is>
          <t>SÖDERKÖPING</t>
        </is>
      </c>
      <c r="F5332" t="inlineStr">
        <is>
          <t>Allmännings- och besparingsskogar</t>
        </is>
      </c>
      <c r="G5332" t="n">
        <v>10.8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60605-2022</t>
        </is>
      </c>
      <c r="B5333" s="1" t="n">
        <v>44911</v>
      </c>
      <c r="C5333" s="1" t="n">
        <v>45710</v>
      </c>
      <c r="D5333" t="inlineStr">
        <is>
          <t>ÖSTERGÖTLANDS LÄN</t>
        </is>
      </c>
      <c r="E5333" t="inlineStr">
        <is>
          <t>SÖDERKÖPING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60749-2022</t>
        </is>
      </c>
      <c r="B5334" s="1" t="n">
        <v>44914</v>
      </c>
      <c r="C5334" s="1" t="n">
        <v>45710</v>
      </c>
      <c r="D5334" t="inlineStr">
        <is>
          <t>ÖSTERGÖTLANDS LÄN</t>
        </is>
      </c>
      <c r="E5334" t="inlineStr">
        <is>
          <t>FINSPÅNG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60802-2022</t>
        </is>
      </c>
      <c r="B5335" s="1" t="n">
        <v>44914</v>
      </c>
      <c r="C5335" s="1" t="n">
        <v>45710</v>
      </c>
      <c r="D5335" t="inlineStr">
        <is>
          <t>ÖSTERGÖTLANDS LÄN</t>
        </is>
      </c>
      <c r="E5335" t="inlineStr">
        <is>
          <t>FINSPÅNG</t>
        </is>
      </c>
      <c r="F5335" t="inlineStr">
        <is>
          <t>Holmen skog AB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60827-2022</t>
        </is>
      </c>
      <c r="B5336" s="1" t="n">
        <v>44914</v>
      </c>
      <c r="C5336" s="1" t="n">
        <v>45710</v>
      </c>
      <c r="D5336" t="inlineStr">
        <is>
          <t>ÖSTERGÖTLANDS LÄN</t>
        </is>
      </c>
      <c r="E5336" t="inlineStr">
        <is>
          <t>BOXHOLM</t>
        </is>
      </c>
      <c r="F5336" t="inlineStr">
        <is>
          <t>Övriga Aktiebolag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60867-2022</t>
        </is>
      </c>
      <c r="B5337" s="1" t="n">
        <v>44914</v>
      </c>
      <c r="C5337" s="1" t="n">
        <v>45710</v>
      </c>
      <c r="D5337" t="inlineStr">
        <is>
          <t>ÖSTERGÖTLANDS LÄN</t>
        </is>
      </c>
      <c r="E5337" t="inlineStr">
        <is>
          <t>BOXHOLM</t>
        </is>
      </c>
      <c r="F5337" t="inlineStr">
        <is>
          <t>Övriga Aktiebolag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60998-2022</t>
        </is>
      </c>
      <c r="B5338" s="1" t="n">
        <v>44914</v>
      </c>
      <c r="C5338" s="1" t="n">
        <v>45710</v>
      </c>
      <c r="D5338" t="inlineStr">
        <is>
          <t>ÖSTERGÖTLANDS LÄN</t>
        </is>
      </c>
      <c r="E5338" t="inlineStr">
        <is>
          <t>LINKÖPING</t>
        </is>
      </c>
      <c r="G5338" t="n">
        <v>8.4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61003-2022</t>
        </is>
      </c>
      <c r="B5339" s="1" t="n">
        <v>44914</v>
      </c>
      <c r="C5339" s="1" t="n">
        <v>45710</v>
      </c>
      <c r="D5339" t="inlineStr">
        <is>
          <t>ÖSTERGÖTLANDS LÄN</t>
        </is>
      </c>
      <c r="E5339" t="inlineStr">
        <is>
          <t>NORRKÖPING</t>
        </is>
      </c>
      <c r="G5339" t="n">
        <v>4.2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61012-2022</t>
        </is>
      </c>
      <c r="B5340" s="1" t="n">
        <v>44914</v>
      </c>
      <c r="C5340" s="1" t="n">
        <v>45710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61002-2022</t>
        </is>
      </c>
      <c r="B5341" s="1" t="n">
        <v>44914</v>
      </c>
      <c r="C5341" s="1" t="n">
        <v>45710</v>
      </c>
      <c r="D5341" t="inlineStr">
        <is>
          <t>ÖSTERGÖTLANDS LÄN</t>
        </is>
      </c>
      <c r="E5341" t="inlineStr">
        <is>
          <t>MOTALA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62192-2022</t>
        </is>
      </c>
      <c r="B5342" s="1" t="n">
        <v>44914</v>
      </c>
      <c r="C5342" s="1" t="n">
        <v>45710</v>
      </c>
      <c r="D5342" t="inlineStr">
        <is>
          <t>ÖSTERGÖTLANDS LÄN</t>
        </is>
      </c>
      <c r="E5342" t="inlineStr">
        <is>
          <t>BOXHOLM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62195-2022</t>
        </is>
      </c>
      <c r="B5343" s="1" t="n">
        <v>44914</v>
      </c>
      <c r="C5343" s="1" t="n">
        <v>45710</v>
      </c>
      <c r="D5343" t="inlineStr">
        <is>
          <t>ÖSTERGÖTLANDS LÄN</t>
        </is>
      </c>
      <c r="E5343" t="inlineStr">
        <is>
          <t>BOXHOLM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61084-2022</t>
        </is>
      </c>
      <c r="B5344" s="1" t="n">
        <v>44915</v>
      </c>
      <c r="C5344" s="1" t="n">
        <v>45710</v>
      </c>
      <c r="D5344" t="inlineStr">
        <is>
          <t>ÖSTERGÖTLANDS LÄN</t>
        </is>
      </c>
      <c r="E5344" t="inlineStr">
        <is>
          <t>FINSPÅNG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61254-2022</t>
        </is>
      </c>
      <c r="B5345" s="1" t="n">
        <v>44915</v>
      </c>
      <c r="C5345" s="1" t="n">
        <v>45710</v>
      </c>
      <c r="D5345" t="inlineStr">
        <is>
          <t>ÖSTERGÖTLANDS LÄN</t>
        </is>
      </c>
      <c r="E5345" t="inlineStr">
        <is>
          <t>FINSPÅNG</t>
        </is>
      </c>
      <c r="F5345" t="inlineStr">
        <is>
          <t>Holmen skog AB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61092-2022</t>
        </is>
      </c>
      <c r="B5346" s="1" t="n">
        <v>44915</v>
      </c>
      <c r="C5346" s="1" t="n">
        <v>45710</v>
      </c>
      <c r="D5346" t="inlineStr">
        <is>
          <t>ÖSTERGÖTLANDS LÄN</t>
        </is>
      </c>
      <c r="E5346" t="inlineStr">
        <is>
          <t>FINSPÅNG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61088-2022</t>
        </is>
      </c>
      <c r="B5347" s="1" t="n">
        <v>44915</v>
      </c>
      <c r="C5347" s="1" t="n">
        <v>45710</v>
      </c>
      <c r="D5347" t="inlineStr">
        <is>
          <t>ÖSTERGÖTLANDS LÄN</t>
        </is>
      </c>
      <c r="E5347" t="inlineStr">
        <is>
          <t>FINSPÅNG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61182-2022</t>
        </is>
      </c>
      <c r="B5348" s="1" t="n">
        <v>44915</v>
      </c>
      <c r="C5348" s="1" t="n">
        <v>45710</v>
      </c>
      <c r="D5348" t="inlineStr">
        <is>
          <t>ÖSTERGÖTLANDS LÄN</t>
        </is>
      </c>
      <c r="E5348" t="inlineStr">
        <is>
          <t>ÅTVIDABERG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61426-2022</t>
        </is>
      </c>
      <c r="B5349" s="1" t="n">
        <v>44916</v>
      </c>
      <c r="C5349" s="1" t="n">
        <v>45710</v>
      </c>
      <c r="D5349" t="inlineStr">
        <is>
          <t>ÖSTERGÖTLANDS LÄN</t>
        </is>
      </c>
      <c r="E5349" t="inlineStr">
        <is>
          <t>VALDEMARSVIK</t>
        </is>
      </c>
      <c r="G5349" t="n">
        <v>5.9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61436-2022</t>
        </is>
      </c>
      <c r="B5350" s="1" t="n">
        <v>44916</v>
      </c>
      <c r="C5350" s="1" t="n">
        <v>45710</v>
      </c>
      <c r="D5350" t="inlineStr">
        <is>
          <t>ÖSTERGÖTLANDS LÄN</t>
        </is>
      </c>
      <c r="E5350" t="inlineStr">
        <is>
          <t>VALDEMARSVIK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61589-2022</t>
        </is>
      </c>
      <c r="B5351" s="1" t="n">
        <v>44916</v>
      </c>
      <c r="C5351" s="1" t="n">
        <v>45710</v>
      </c>
      <c r="D5351" t="inlineStr">
        <is>
          <t>ÖSTERGÖTLANDS LÄN</t>
        </is>
      </c>
      <c r="E5351" t="inlineStr">
        <is>
          <t>YDRE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62228-2022</t>
        </is>
      </c>
      <c r="B5352" s="1" t="n">
        <v>44916</v>
      </c>
      <c r="C5352" s="1" t="n">
        <v>45710</v>
      </c>
      <c r="D5352" t="inlineStr">
        <is>
          <t>ÖSTERGÖTLANDS LÄN</t>
        </is>
      </c>
      <c r="E5352" t="inlineStr">
        <is>
          <t>YDRE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62321-2022</t>
        </is>
      </c>
      <c r="B5353" s="1" t="n">
        <v>44916</v>
      </c>
      <c r="C5353" s="1" t="n">
        <v>45710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Kommuner</t>
        </is>
      </c>
      <c r="G5353" t="n">
        <v>5.3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61802-2022</t>
        </is>
      </c>
      <c r="B5354" s="1" t="n">
        <v>44917</v>
      </c>
      <c r="C5354" s="1" t="n">
        <v>45710</v>
      </c>
      <c r="D5354" t="inlineStr">
        <is>
          <t>ÖSTERGÖTLANDS LÄN</t>
        </is>
      </c>
      <c r="E5354" t="inlineStr">
        <is>
          <t>SÖDERKÖPING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61670-2022</t>
        </is>
      </c>
      <c r="B5355" s="1" t="n">
        <v>44917</v>
      </c>
      <c r="C5355" s="1" t="n">
        <v>45710</v>
      </c>
      <c r="D5355" t="inlineStr">
        <is>
          <t>ÖSTERGÖTLANDS LÄN</t>
        </is>
      </c>
      <c r="E5355" t="inlineStr">
        <is>
          <t>ÅTVIDABERG</t>
        </is>
      </c>
      <c r="G5355" t="n">
        <v>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61812-2022</t>
        </is>
      </c>
      <c r="B5356" s="1" t="n">
        <v>44917</v>
      </c>
      <c r="C5356" s="1" t="n">
        <v>45710</v>
      </c>
      <c r="D5356" t="inlineStr">
        <is>
          <t>ÖSTERGÖTLANDS LÄN</t>
        </is>
      </c>
      <c r="E5356" t="inlineStr">
        <is>
          <t>NORRKÖPING</t>
        </is>
      </c>
      <c r="G5356" t="n">
        <v>8.4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61950-2022</t>
        </is>
      </c>
      <c r="B5357" s="1" t="n">
        <v>44918</v>
      </c>
      <c r="C5357" s="1" t="n">
        <v>45710</v>
      </c>
      <c r="D5357" t="inlineStr">
        <is>
          <t>ÖSTERGÖTLANDS LÄN</t>
        </is>
      </c>
      <c r="E5357" t="inlineStr">
        <is>
          <t>KINDA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61955-2022</t>
        </is>
      </c>
      <c r="B5358" s="1" t="n">
        <v>44918</v>
      </c>
      <c r="C5358" s="1" t="n">
        <v>45710</v>
      </c>
      <c r="D5358" t="inlineStr">
        <is>
          <t>ÖSTERGÖTLANDS LÄN</t>
        </is>
      </c>
      <c r="E5358" t="inlineStr">
        <is>
          <t>KINDA</t>
        </is>
      </c>
      <c r="G5358" t="n">
        <v>6.4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61961-2022</t>
        </is>
      </c>
      <c r="B5359" s="1" t="n">
        <v>44918</v>
      </c>
      <c r="C5359" s="1" t="n">
        <v>45710</v>
      </c>
      <c r="D5359" t="inlineStr">
        <is>
          <t>ÖSTERGÖTLANDS LÄN</t>
        </is>
      </c>
      <c r="E5359" t="inlineStr">
        <is>
          <t>KINDA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61946-2022</t>
        </is>
      </c>
      <c r="B5360" s="1" t="n">
        <v>44918</v>
      </c>
      <c r="C5360" s="1" t="n">
        <v>45710</v>
      </c>
      <c r="D5360" t="inlineStr">
        <is>
          <t>ÖSTERGÖTLANDS LÄN</t>
        </is>
      </c>
      <c r="E5360" t="inlineStr">
        <is>
          <t>KINDA</t>
        </is>
      </c>
      <c r="G5360" t="n">
        <v>11.6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61956-2022</t>
        </is>
      </c>
      <c r="B5361" s="1" t="n">
        <v>44918</v>
      </c>
      <c r="C5361" s="1" t="n">
        <v>45710</v>
      </c>
      <c r="D5361" t="inlineStr">
        <is>
          <t>ÖSTERGÖTLANDS LÄN</t>
        </is>
      </c>
      <c r="E5361" t="inlineStr">
        <is>
          <t>KINDA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61962-2022</t>
        </is>
      </c>
      <c r="B5362" s="1" t="n">
        <v>44918</v>
      </c>
      <c r="C5362" s="1" t="n">
        <v>45710</v>
      </c>
      <c r="D5362" t="inlineStr">
        <is>
          <t>ÖSTERGÖTLANDS LÄN</t>
        </is>
      </c>
      <c r="E5362" t="inlineStr">
        <is>
          <t>KINDA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62004-2022</t>
        </is>
      </c>
      <c r="B5363" s="1" t="n">
        <v>44918</v>
      </c>
      <c r="C5363" s="1" t="n">
        <v>45710</v>
      </c>
      <c r="D5363" t="inlineStr">
        <is>
          <t>ÖSTERGÖTLANDS LÄN</t>
        </is>
      </c>
      <c r="E5363" t="inlineStr">
        <is>
          <t>VALDEMARSVIK</t>
        </is>
      </c>
      <c r="G5363" t="n">
        <v>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61998-2022</t>
        </is>
      </c>
      <c r="B5364" s="1" t="n">
        <v>44918</v>
      </c>
      <c r="C5364" s="1" t="n">
        <v>45710</v>
      </c>
      <c r="D5364" t="inlineStr">
        <is>
          <t>ÖSTERGÖTLANDS LÄN</t>
        </is>
      </c>
      <c r="E5364" t="inlineStr">
        <is>
          <t>FINSPÅNG</t>
        </is>
      </c>
      <c r="F5364" t="inlineStr">
        <is>
          <t>Holmen skog AB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62048-2022</t>
        </is>
      </c>
      <c r="B5365" s="1" t="n">
        <v>44918</v>
      </c>
      <c r="C5365" s="1" t="n">
        <v>45710</v>
      </c>
      <c r="D5365" t="inlineStr">
        <is>
          <t>ÖSTERGÖTLANDS LÄN</t>
        </is>
      </c>
      <c r="E5365" t="inlineStr">
        <is>
          <t>VALDEMARSVIK</t>
        </is>
      </c>
      <c r="G5365" t="n">
        <v>5.5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61949-2022</t>
        </is>
      </c>
      <c r="B5366" s="1" t="n">
        <v>44918</v>
      </c>
      <c r="C5366" s="1" t="n">
        <v>45710</v>
      </c>
      <c r="D5366" t="inlineStr">
        <is>
          <t>ÖSTERGÖTLANDS LÄN</t>
        </is>
      </c>
      <c r="E5366" t="inlineStr">
        <is>
          <t>KINDA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61954-2022</t>
        </is>
      </c>
      <c r="B5367" s="1" t="n">
        <v>44918</v>
      </c>
      <c r="C5367" s="1" t="n">
        <v>45710</v>
      </c>
      <c r="D5367" t="inlineStr">
        <is>
          <t>ÖSTERGÖTLANDS LÄN</t>
        </is>
      </c>
      <c r="E5367" t="inlineStr">
        <is>
          <t>KINDA</t>
        </is>
      </c>
      <c r="G5367" t="n">
        <v>6.2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61960-2022</t>
        </is>
      </c>
      <c r="B5368" s="1" t="n">
        <v>44918</v>
      </c>
      <c r="C5368" s="1" t="n">
        <v>45710</v>
      </c>
      <c r="D5368" t="inlineStr">
        <is>
          <t>ÖSTERGÖTLANDS LÄN</t>
        </is>
      </c>
      <c r="E5368" t="inlineStr">
        <is>
          <t>KINDA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61994-2022</t>
        </is>
      </c>
      <c r="B5369" s="1" t="n">
        <v>44918</v>
      </c>
      <c r="C5369" s="1" t="n">
        <v>45710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62058-2022</t>
        </is>
      </c>
      <c r="B5370" s="1" t="n">
        <v>44918</v>
      </c>
      <c r="C5370" s="1" t="n">
        <v>45710</v>
      </c>
      <c r="D5370" t="inlineStr">
        <is>
          <t>ÖSTERGÖTLANDS LÄN</t>
        </is>
      </c>
      <c r="E5370" t="inlineStr">
        <is>
          <t>VALDEMARSVIK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61947-2022</t>
        </is>
      </c>
      <c r="B5371" s="1" t="n">
        <v>44918</v>
      </c>
      <c r="C5371" s="1" t="n">
        <v>45710</v>
      </c>
      <c r="D5371" t="inlineStr">
        <is>
          <t>ÖSTERGÖTLANDS LÄN</t>
        </is>
      </c>
      <c r="E5371" t="inlineStr">
        <is>
          <t>VALDEMARSVIK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61953-2022</t>
        </is>
      </c>
      <c r="B5372" s="1" t="n">
        <v>44918</v>
      </c>
      <c r="C5372" s="1" t="n">
        <v>45710</v>
      </c>
      <c r="D5372" t="inlineStr">
        <is>
          <t>ÖSTERGÖTLANDS LÄN</t>
        </is>
      </c>
      <c r="E5372" t="inlineStr">
        <is>
          <t>KINDA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61957-2022</t>
        </is>
      </c>
      <c r="B5373" s="1" t="n">
        <v>44918</v>
      </c>
      <c r="C5373" s="1" t="n">
        <v>45710</v>
      </c>
      <c r="D5373" t="inlineStr">
        <is>
          <t>ÖSTERGÖTLANDS LÄN</t>
        </is>
      </c>
      <c r="E5373" t="inlineStr">
        <is>
          <t>KINDA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62235-2022</t>
        </is>
      </c>
      <c r="B5374" s="1" t="n">
        <v>44922</v>
      </c>
      <c r="C5374" s="1" t="n">
        <v>45710</v>
      </c>
      <c r="D5374" t="inlineStr">
        <is>
          <t>ÖSTERGÖTLANDS LÄN</t>
        </is>
      </c>
      <c r="E5374" t="inlineStr">
        <is>
          <t>LINKÖPING</t>
        </is>
      </c>
      <c r="G5374" t="n">
        <v>3.8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62243-2022</t>
        </is>
      </c>
      <c r="B5375" s="1" t="n">
        <v>44922</v>
      </c>
      <c r="C5375" s="1" t="n">
        <v>45710</v>
      </c>
      <c r="D5375" t="inlineStr">
        <is>
          <t>ÖSTERGÖTLANDS LÄN</t>
        </is>
      </c>
      <c r="E5375" t="inlineStr">
        <is>
          <t>LINKÖPING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62253-2022</t>
        </is>
      </c>
      <c r="B5376" s="1" t="n">
        <v>44922</v>
      </c>
      <c r="C5376" s="1" t="n">
        <v>45710</v>
      </c>
      <c r="D5376" t="inlineStr">
        <is>
          <t>ÖSTERGÖTLANDS LÄN</t>
        </is>
      </c>
      <c r="E5376" t="inlineStr">
        <is>
          <t>LINKÖPING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62158-2022</t>
        </is>
      </c>
      <c r="B5377" s="1" t="n">
        <v>44922</v>
      </c>
      <c r="C5377" s="1" t="n">
        <v>45710</v>
      </c>
      <c r="D5377" t="inlineStr">
        <is>
          <t>ÖSTERGÖTLANDS LÄN</t>
        </is>
      </c>
      <c r="E5377" t="inlineStr">
        <is>
          <t>FINSPÅNG</t>
        </is>
      </c>
      <c r="F5377" t="inlineStr">
        <is>
          <t>Holmen skog AB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62236-2022</t>
        </is>
      </c>
      <c r="B5378" s="1" t="n">
        <v>44922</v>
      </c>
      <c r="C5378" s="1" t="n">
        <v>45710</v>
      </c>
      <c r="D5378" t="inlineStr">
        <is>
          <t>ÖSTERGÖTLANDS LÄN</t>
        </is>
      </c>
      <c r="E5378" t="inlineStr">
        <is>
          <t>ÅTVIDABERG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62141-2022</t>
        </is>
      </c>
      <c r="B5379" s="1" t="n">
        <v>44922</v>
      </c>
      <c r="C5379" s="1" t="n">
        <v>45710</v>
      </c>
      <c r="D5379" t="inlineStr">
        <is>
          <t>ÖSTERGÖTLANDS LÄN</t>
        </is>
      </c>
      <c r="E5379" t="inlineStr">
        <is>
          <t>LINKÖPING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62168-2022</t>
        </is>
      </c>
      <c r="B5380" s="1" t="n">
        <v>44922</v>
      </c>
      <c r="C5380" s="1" t="n">
        <v>45710</v>
      </c>
      <c r="D5380" t="inlineStr">
        <is>
          <t>ÖSTERGÖTLANDS LÄN</t>
        </is>
      </c>
      <c r="E5380" t="inlineStr">
        <is>
          <t>FINSPÅNG</t>
        </is>
      </c>
      <c r="F5380" t="inlineStr">
        <is>
          <t>Holmen skog AB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252-2023</t>
        </is>
      </c>
      <c r="B5381" s="1" t="n">
        <v>44922</v>
      </c>
      <c r="C5381" s="1" t="n">
        <v>45710</v>
      </c>
      <c r="D5381" t="inlineStr">
        <is>
          <t>ÖSTERGÖTLANDS LÄN</t>
        </is>
      </c>
      <c r="E5381" t="inlineStr">
        <is>
          <t>VALDEMARSVIK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62353-2022</t>
        </is>
      </c>
      <c r="B5382" s="1" t="n">
        <v>44923</v>
      </c>
      <c r="C5382" s="1" t="n">
        <v>45710</v>
      </c>
      <c r="D5382" t="inlineStr">
        <is>
          <t>ÖSTERGÖTLANDS LÄN</t>
        </is>
      </c>
      <c r="E5382" t="inlineStr">
        <is>
          <t>LINKÖPING</t>
        </is>
      </c>
      <c r="F5382" t="inlineStr">
        <is>
          <t>Allmännings- och besparingsskogar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62373-2022</t>
        </is>
      </c>
      <c r="B5383" s="1" t="n">
        <v>44923</v>
      </c>
      <c r="C5383" s="1" t="n">
        <v>45710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3.4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62386-2022</t>
        </is>
      </c>
      <c r="B5384" s="1" t="n">
        <v>44923</v>
      </c>
      <c r="C5384" s="1" t="n">
        <v>45710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8.699999999999999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62376-2022</t>
        </is>
      </c>
      <c r="B5385" s="1" t="n">
        <v>44923</v>
      </c>
      <c r="C5385" s="1" t="n">
        <v>45710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62381-2022</t>
        </is>
      </c>
      <c r="B5386" s="1" t="n">
        <v>44923</v>
      </c>
      <c r="C5386" s="1" t="n">
        <v>45710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62387-2022</t>
        </is>
      </c>
      <c r="B5387" s="1" t="n">
        <v>44923</v>
      </c>
      <c r="C5387" s="1" t="n">
        <v>45710</v>
      </c>
      <c r="D5387" t="inlineStr">
        <is>
          <t>ÖSTERGÖTLANDS LÄN</t>
        </is>
      </c>
      <c r="E5387" t="inlineStr">
        <is>
          <t>ÅTVIDABERG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62286-2022</t>
        </is>
      </c>
      <c r="B5388" s="1" t="n">
        <v>44923</v>
      </c>
      <c r="C5388" s="1" t="n">
        <v>45710</v>
      </c>
      <c r="D5388" t="inlineStr">
        <is>
          <t>ÖSTERGÖTLANDS LÄN</t>
        </is>
      </c>
      <c r="E5388" t="inlineStr">
        <is>
          <t>KINDA</t>
        </is>
      </c>
      <c r="F5388" t="inlineStr">
        <is>
          <t>Allmännings- och besparingsskogar</t>
        </is>
      </c>
      <c r="G5388" t="n">
        <v>4.7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62389-2022</t>
        </is>
      </c>
      <c r="B5389" s="1" t="n">
        <v>44923</v>
      </c>
      <c r="C5389" s="1" t="n">
        <v>45710</v>
      </c>
      <c r="D5389" t="inlineStr">
        <is>
          <t>ÖSTERGÖTLANDS LÄN</t>
        </is>
      </c>
      <c r="E5389" t="inlineStr">
        <is>
          <t>ÅTVIDABERG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62464-2022</t>
        </is>
      </c>
      <c r="B5390" s="1" t="n">
        <v>44924</v>
      </c>
      <c r="C5390" s="1" t="n">
        <v>45710</v>
      </c>
      <c r="D5390" t="inlineStr">
        <is>
          <t>ÖSTERGÖTLANDS LÄN</t>
        </is>
      </c>
      <c r="E5390" t="inlineStr">
        <is>
          <t>KINDA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62709-2022</t>
        </is>
      </c>
      <c r="B5391" s="1" t="n">
        <v>44925</v>
      </c>
      <c r="C5391" s="1" t="n">
        <v>45710</v>
      </c>
      <c r="D5391" t="inlineStr">
        <is>
          <t>ÖSTERGÖTLANDS LÄN</t>
        </is>
      </c>
      <c r="E5391" t="inlineStr">
        <is>
          <t>SÖDERKÖPING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62604-2022</t>
        </is>
      </c>
      <c r="B5392" s="1" t="n">
        <v>44925</v>
      </c>
      <c r="C5392" s="1" t="n">
        <v>45710</v>
      </c>
      <c r="D5392" t="inlineStr">
        <is>
          <t>ÖSTERGÖTLANDS LÄN</t>
        </is>
      </c>
      <c r="E5392" t="inlineStr">
        <is>
          <t>KINDA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62737-2022</t>
        </is>
      </c>
      <c r="B5393" s="1" t="n">
        <v>44925</v>
      </c>
      <c r="C5393" s="1" t="n">
        <v>45710</v>
      </c>
      <c r="D5393" t="inlineStr">
        <is>
          <t>ÖSTERGÖTLANDS LÄN</t>
        </is>
      </c>
      <c r="E5393" t="inlineStr">
        <is>
          <t>SÖDERKÖPING</t>
        </is>
      </c>
      <c r="G5393" t="n">
        <v>3.8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72-2023</t>
        </is>
      </c>
      <c r="B5394" s="1" t="n">
        <v>44928</v>
      </c>
      <c r="C5394" s="1" t="n">
        <v>45710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225-2023</t>
        </is>
      </c>
      <c r="B5395" s="1" t="n">
        <v>44928</v>
      </c>
      <c r="C5395" s="1" t="n">
        <v>45710</v>
      </c>
      <c r="D5395" t="inlineStr">
        <is>
          <t>ÖSTERGÖTLANDS LÄN</t>
        </is>
      </c>
      <c r="E5395" t="inlineStr">
        <is>
          <t>SÖDERKÖPING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267-2023</t>
        </is>
      </c>
      <c r="B5396" s="1" t="n">
        <v>44928</v>
      </c>
      <c r="C5396" s="1" t="n">
        <v>45710</v>
      </c>
      <c r="D5396" t="inlineStr">
        <is>
          <t>ÖSTERGÖTLANDS LÄN</t>
        </is>
      </c>
      <c r="E5396" t="inlineStr">
        <is>
          <t>LINKÖPING</t>
        </is>
      </c>
      <c r="G5396" t="n">
        <v>2.7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231-2023</t>
        </is>
      </c>
      <c r="B5397" s="1" t="n">
        <v>44928</v>
      </c>
      <c r="C5397" s="1" t="n">
        <v>45710</v>
      </c>
      <c r="D5397" t="inlineStr">
        <is>
          <t>ÖSTERGÖTLANDS LÄN</t>
        </is>
      </c>
      <c r="E5397" t="inlineStr">
        <is>
          <t>SÖDERKÖPING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410-2023</t>
        </is>
      </c>
      <c r="B5398" s="1" t="n">
        <v>44929</v>
      </c>
      <c r="C5398" s="1" t="n">
        <v>45710</v>
      </c>
      <c r="D5398" t="inlineStr">
        <is>
          <t>ÖSTERGÖTLANDS LÄN</t>
        </is>
      </c>
      <c r="E5398" t="inlineStr">
        <is>
          <t>NORRKÖPING</t>
        </is>
      </c>
      <c r="G5398" t="n">
        <v>3.9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450-2023</t>
        </is>
      </c>
      <c r="B5399" s="1" t="n">
        <v>44929</v>
      </c>
      <c r="C5399" s="1" t="n">
        <v>45710</v>
      </c>
      <c r="D5399" t="inlineStr">
        <is>
          <t>ÖSTERGÖTLANDS LÄN</t>
        </is>
      </c>
      <c r="E5399" t="inlineStr">
        <is>
          <t>ÅTVIDABERG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407-2023</t>
        </is>
      </c>
      <c r="B5400" s="1" t="n">
        <v>44929</v>
      </c>
      <c r="C5400" s="1" t="n">
        <v>45710</v>
      </c>
      <c r="D5400" t="inlineStr">
        <is>
          <t>ÖSTERGÖTLANDS LÄN</t>
        </is>
      </c>
      <c r="E5400" t="inlineStr">
        <is>
          <t>NORRKÖPING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1084-2023</t>
        </is>
      </c>
      <c r="B5401" s="1" t="n">
        <v>44929</v>
      </c>
      <c r="C5401" s="1" t="n">
        <v>45710</v>
      </c>
      <c r="D5401" t="inlineStr">
        <is>
          <t>ÖSTERGÖTLANDS LÄN</t>
        </is>
      </c>
      <c r="E5401" t="inlineStr">
        <is>
          <t>LINKÖPING</t>
        </is>
      </c>
      <c r="G5401" t="n">
        <v>10.4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532-2023</t>
        </is>
      </c>
      <c r="B5402" s="1" t="n">
        <v>44930</v>
      </c>
      <c r="C5402" s="1" t="n">
        <v>45710</v>
      </c>
      <c r="D5402" t="inlineStr">
        <is>
          <t>ÖSTERGÖTLANDS LÄN</t>
        </is>
      </c>
      <c r="E5402" t="inlineStr">
        <is>
          <t>FINSPÅNG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529-2023</t>
        </is>
      </c>
      <c r="B5403" s="1" t="n">
        <v>44930</v>
      </c>
      <c r="C5403" s="1" t="n">
        <v>45710</v>
      </c>
      <c r="D5403" t="inlineStr">
        <is>
          <t>ÖSTERGÖTLANDS LÄN</t>
        </is>
      </c>
      <c r="E5403" t="inlineStr">
        <is>
          <t>FINSPÅNG</t>
        </is>
      </c>
      <c r="G5403" t="n">
        <v>5.8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535-2023</t>
        </is>
      </c>
      <c r="B5404" s="1" t="n">
        <v>44930</v>
      </c>
      <c r="C5404" s="1" t="n">
        <v>45710</v>
      </c>
      <c r="D5404" t="inlineStr">
        <is>
          <t>ÖSTERGÖTLANDS LÄN</t>
        </is>
      </c>
      <c r="E5404" t="inlineStr">
        <is>
          <t>FINSPÅNG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530-2023</t>
        </is>
      </c>
      <c r="B5405" s="1" t="n">
        <v>44930</v>
      </c>
      <c r="C5405" s="1" t="n">
        <v>45710</v>
      </c>
      <c r="D5405" t="inlineStr">
        <is>
          <t>ÖSTERGÖTLANDS LÄN</t>
        </is>
      </c>
      <c r="E5405" t="inlineStr">
        <is>
          <t>FINSPÅNG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611-2023</t>
        </is>
      </c>
      <c r="B5406" s="1" t="n">
        <v>44930</v>
      </c>
      <c r="C5406" s="1" t="n">
        <v>45710</v>
      </c>
      <c r="D5406" t="inlineStr">
        <is>
          <t>ÖSTERGÖTLANDS LÄN</t>
        </is>
      </c>
      <c r="E5406" t="inlineStr">
        <is>
          <t>FINSPÅNG</t>
        </is>
      </c>
      <c r="F5406" t="inlineStr">
        <is>
          <t>Holmen skog AB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1209-2023</t>
        </is>
      </c>
      <c r="B5407" s="1" t="n">
        <v>44930</v>
      </c>
      <c r="C5407" s="1" t="n">
        <v>45710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Övriga statliga verk och myndigheter</t>
        </is>
      </c>
      <c r="G5407" t="n">
        <v>25.8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637-2023</t>
        </is>
      </c>
      <c r="B5408" s="1" t="n">
        <v>44930</v>
      </c>
      <c r="C5408" s="1" t="n">
        <v>45710</v>
      </c>
      <c r="D5408" t="inlineStr">
        <is>
          <t>ÖSTERGÖTLANDS LÄN</t>
        </is>
      </c>
      <c r="E5408" t="inlineStr">
        <is>
          <t>MOTALA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650-2023</t>
        </is>
      </c>
      <c r="B5409" s="1" t="n">
        <v>44930</v>
      </c>
      <c r="C5409" s="1" t="n">
        <v>45710</v>
      </c>
      <c r="D5409" t="inlineStr">
        <is>
          <t>ÖSTERGÖTLANDS LÄN</t>
        </is>
      </c>
      <c r="E5409" t="inlineStr">
        <is>
          <t>KINDA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660-2023</t>
        </is>
      </c>
      <c r="B5410" s="1" t="n">
        <v>44930</v>
      </c>
      <c r="C5410" s="1" t="n">
        <v>45710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Kyrkan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668-2023</t>
        </is>
      </c>
      <c r="B5411" s="1" t="n">
        <v>44930</v>
      </c>
      <c r="C5411" s="1" t="n">
        <v>45710</v>
      </c>
      <c r="D5411" t="inlineStr">
        <is>
          <t>ÖSTERGÖTLANDS LÄN</t>
        </is>
      </c>
      <c r="E5411" t="inlineStr">
        <is>
          <t>ÅTVIDABERG</t>
        </is>
      </c>
      <c r="G5411" t="n">
        <v>3.2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687-2023</t>
        </is>
      </c>
      <c r="B5412" s="1" t="n">
        <v>44930</v>
      </c>
      <c r="C5412" s="1" t="n">
        <v>45710</v>
      </c>
      <c r="D5412" t="inlineStr">
        <is>
          <t>ÖSTERGÖTLANDS LÄN</t>
        </is>
      </c>
      <c r="E5412" t="inlineStr">
        <is>
          <t>FINSPÅNG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1018-2023</t>
        </is>
      </c>
      <c r="B5413" s="1" t="n">
        <v>44930</v>
      </c>
      <c r="C5413" s="1" t="n">
        <v>45710</v>
      </c>
      <c r="D5413" t="inlineStr">
        <is>
          <t>ÖSTERGÖTLANDS LÄN</t>
        </is>
      </c>
      <c r="E5413" t="inlineStr">
        <is>
          <t>NORRKÖPING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1211-2023</t>
        </is>
      </c>
      <c r="B5414" s="1" t="n">
        <v>44930</v>
      </c>
      <c r="C5414" s="1" t="n">
        <v>45710</v>
      </c>
      <c r="D5414" t="inlineStr">
        <is>
          <t>ÖSTERGÖTLANDS LÄN</t>
        </is>
      </c>
      <c r="E5414" t="inlineStr">
        <is>
          <t>LINKÖPING</t>
        </is>
      </c>
      <c r="F5414" t="inlineStr">
        <is>
          <t>Övriga statliga verk och myndigheter</t>
        </is>
      </c>
      <c r="G5414" t="n">
        <v>7.9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1207-2023</t>
        </is>
      </c>
      <c r="B5415" s="1" t="n">
        <v>44930</v>
      </c>
      <c r="C5415" s="1" t="n">
        <v>45710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Övriga statliga verk och myndigheter</t>
        </is>
      </c>
      <c r="G5415" t="n">
        <v>32.8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736-2023</t>
        </is>
      </c>
      <c r="B5416" s="1" t="n">
        <v>44931</v>
      </c>
      <c r="C5416" s="1" t="n">
        <v>45710</v>
      </c>
      <c r="D5416" t="inlineStr">
        <is>
          <t>ÖSTERGÖTLANDS LÄN</t>
        </is>
      </c>
      <c r="E5416" t="inlineStr">
        <is>
          <t>ÅTVIDABERG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735-2023</t>
        </is>
      </c>
      <c r="B5417" s="1" t="n">
        <v>44931</v>
      </c>
      <c r="C5417" s="1" t="n">
        <v>45710</v>
      </c>
      <c r="D5417" t="inlineStr">
        <is>
          <t>ÖSTERGÖTLANDS LÄN</t>
        </is>
      </c>
      <c r="E5417" t="inlineStr">
        <is>
          <t>MOTALA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743-2023</t>
        </is>
      </c>
      <c r="B5418" s="1" t="n">
        <v>44931</v>
      </c>
      <c r="C5418" s="1" t="n">
        <v>45710</v>
      </c>
      <c r="D5418" t="inlineStr">
        <is>
          <t>ÖSTERGÖTLANDS LÄN</t>
        </is>
      </c>
      <c r="E5418" t="inlineStr">
        <is>
          <t>ÅTVIDABERG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747-2023</t>
        </is>
      </c>
      <c r="B5419" s="1" t="n">
        <v>44931</v>
      </c>
      <c r="C5419" s="1" t="n">
        <v>45710</v>
      </c>
      <c r="D5419" t="inlineStr">
        <is>
          <t>ÖSTERGÖTLANDS LÄN</t>
        </is>
      </c>
      <c r="E5419" t="inlineStr">
        <is>
          <t>NORRKÖPING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887-2023</t>
        </is>
      </c>
      <c r="B5420" s="1" t="n">
        <v>44931</v>
      </c>
      <c r="C5420" s="1" t="n">
        <v>45710</v>
      </c>
      <c r="D5420" t="inlineStr">
        <is>
          <t>ÖSTERGÖTLANDS LÄN</t>
        </is>
      </c>
      <c r="E5420" t="inlineStr">
        <is>
          <t>ÖDESHÖG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886-2023</t>
        </is>
      </c>
      <c r="B5421" s="1" t="n">
        <v>44931</v>
      </c>
      <c r="C5421" s="1" t="n">
        <v>45710</v>
      </c>
      <c r="D5421" t="inlineStr">
        <is>
          <t>ÖSTERGÖTLANDS LÄN</t>
        </is>
      </c>
      <c r="E5421" t="inlineStr">
        <is>
          <t>ÖDESHÖG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1301-2023</t>
        </is>
      </c>
      <c r="B5422" s="1" t="n">
        <v>44931</v>
      </c>
      <c r="C5422" s="1" t="n">
        <v>45710</v>
      </c>
      <c r="D5422" t="inlineStr">
        <is>
          <t>ÖSTERGÖTLANDS LÄN</t>
        </is>
      </c>
      <c r="E5422" t="inlineStr">
        <is>
          <t>MOTALA</t>
        </is>
      </c>
      <c r="F5422" t="inlineStr">
        <is>
          <t>Övriga statliga verk och myndigheter</t>
        </is>
      </c>
      <c r="G5422" t="n">
        <v>7.7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1355-2023</t>
        </is>
      </c>
      <c r="B5423" s="1" t="n">
        <v>44931</v>
      </c>
      <c r="C5423" s="1" t="n">
        <v>45710</v>
      </c>
      <c r="D5423" t="inlineStr">
        <is>
          <t>ÖSTERGÖTLANDS LÄN</t>
        </is>
      </c>
      <c r="E5423" t="inlineStr">
        <is>
          <t>LINKÖPING</t>
        </is>
      </c>
      <c r="G5423" t="n">
        <v>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1362-2023</t>
        </is>
      </c>
      <c r="B5424" s="1" t="n">
        <v>44931</v>
      </c>
      <c r="C5424" s="1" t="n">
        <v>45710</v>
      </c>
      <c r="D5424" t="inlineStr">
        <is>
          <t>ÖSTERGÖTLANDS LÄN</t>
        </is>
      </c>
      <c r="E5424" t="inlineStr">
        <is>
          <t>LINKÖPING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940-2023</t>
        </is>
      </c>
      <c r="B5425" s="1" t="n">
        <v>44933</v>
      </c>
      <c r="C5425" s="1" t="n">
        <v>45710</v>
      </c>
      <c r="D5425" t="inlineStr">
        <is>
          <t>ÖSTERGÖTLANDS LÄN</t>
        </is>
      </c>
      <c r="E5425" t="inlineStr">
        <is>
          <t>LINKÖPING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938-2023</t>
        </is>
      </c>
      <c r="B5426" s="1" t="n">
        <v>44933</v>
      </c>
      <c r="C5426" s="1" t="n">
        <v>45710</v>
      </c>
      <c r="D5426" t="inlineStr">
        <is>
          <t>ÖSTERGÖTLANDS LÄN</t>
        </is>
      </c>
      <c r="E5426" t="inlineStr">
        <is>
          <t>LINKÖPING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1022-2023</t>
        </is>
      </c>
      <c r="B5427" s="1" t="n">
        <v>44935</v>
      </c>
      <c r="C5427" s="1" t="n">
        <v>45710</v>
      </c>
      <c r="D5427" t="inlineStr">
        <is>
          <t>ÖSTERGÖTLANDS LÄN</t>
        </is>
      </c>
      <c r="E5427" t="inlineStr">
        <is>
          <t>ÅTVIDABERG</t>
        </is>
      </c>
      <c r="G5427" t="n">
        <v>4.4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1056-2023</t>
        </is>
      </c>
      <c r="B5428" s="1" t="n">
        <v>44935</v>
      </c>
      <c r="C5428" s="1" t="n">
        <v>45710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1008-2023</t>
        </is>
      </c>
      <c r="B5429" s="1" t="n">
        <v>44935</v>
      </c>
      <c r="C5429" s="1" t="n">
        <v>45710</v>
      </c>
      <c r="D5429" t="inlineStr">
        <is>
          <t>ÖSTERGÖTLANDS LÄN</t>
        </is>
      </c>
      <c r="E5429" t="inlineStr">
        <is>
          <t>ÅTVIDABERG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1089-2023</t>
        </is>
      </c>
      <c r="B5430" s="1" t="n">
        <v>44935</v>
      </c>
      <c r="C5430" s="1" t="n">
        <v>45710</v>
      </c>
      <c r="D5430" t="inlineStr">
        <is>
          <t>ÖSTERGÖTLANDS LÄN</t>
        </is>
      </c>
      <c r="E5430" t="inlineStr">
        <is>
          <t>NORRKÖPING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1016-2023</t>
        </is>
      </c>
      <c r="B5431" s="1" t="n">
        <v>44935</v>
      </c>
      <c r="C5431" s="1" t="n">
        <v>45710</v>
      </c>
      <c r="D5431" t="inlineStr">
        <is>
          <t>ÖSTERGÖTLANDS LÄN</t>
        </is>
      </c>
      <c r="E5431" t="inlineStr">
        <is>
          <t>ÅTVIDABERG</t>
        </is>
      </c>
      <c r="G5431" t="n">
        <v>2.2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1027-2023</t>
        </is>
      </c>
      <c r="B5432" s="1" t="n">
        <v>44935</v>
      </c>
      <c r="C5432" s="1" t="n">
        <v>45710</v>
      </c>
      <c r="D5432" t="inlineStr">
        <is>
          <t>ÖSTERGÖTLANDS LÄN</t>
        </is>
      </c>
      <c r="E5432" t="inlineStr">
        <is>
          <t>ÅTVIDABERG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1072-2023</t>
        </is>
      </c>
      <c r="B5433" s="1" t="n">
        <v>44935</v>
      </c>
      <c r="C5433" s="1" t="n">
        <v>45710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972-2023</t>
        </is>
      </c>
      <c r="B5434" s="1" t="n">
        <v>44935</v>
      </c>
      <c r="C5434" s="1" t="n">
        <v>45710</v>
      </c>
      <c r="D5434" t="inlineStr">
        <is>
          <t>ÖSTERGÖTLANDS LÄN</t>
        </is>
      </c>
      <c r="E5434" t="inlineStr">
        <is>
          <t>KINDA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1038-2023</t>
        </is>
      </c>
      <c r="B5435" s="1" t="n">
        <v>44935</v>
      </c>
      <c r="C5435" s="1" t="n">
        <v>45710</v>
      </c>
      <c r="D5435" t="inlineStr">
        <is>
          <t>ÖSTERGÖTLANDS LÄN</t>
        </is>
      </c>
      <c r="E5435" t="inlineStr">
        <is>
          <t>MOTALA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1094-2023</t>
        </is>
      </c>
      <c r="B5436" s="1" t="n">
        <v>44935</v>
      </c>
      <c r="C5436" s="1" t="n">
        <v>45710</v>
      </c>
      <c r="D5436" t="inlineStr">
        <is>
          <t>ÖSTERGÖTLANDS LÄN</t>
        </is>
      </c>
      <c r="E5436" t="inlineStr">
        <is>
          <t>MOTALA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1102-2023</t>
        </is>
      </c>
      <c r="B5437" s="1" t="n">
        <v>44935</v>
      </c>
      <c r="C5437" s="1" t="n">
        <v>45710</v>
      </c>
      <c r="D5437" t="inlineStr">
        <is>
          <t>ÖSTERGÖTLANDS LÄN</t>
        </is>
      </c>
      <c r="E5437" t="inlineStr">
        <is>
          <t>MOTALA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1077-2023</t>
        </is>
      </c>
      <c r="B5438" s="1" t="n">
        <v>44935</v>
      </c>
      <c r="C5438" s="1" t="n">
        <v>45710</v>
      </c>
      <c r="D5438" t="inlineStr">
        <is>
          <t>ÖSTERGÖTLANDS LÄN</t>
        </is>
      </c>
      <c r="E5438" t="inlineStr">
        <is>
          <t>NORRKÖPING</t>
        </is>
      </c>
      <c r="G5438" t="n">
        <v>3.4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1099-2023</t>
        </is>
      </c>
      <c r="B5439" s="1" t="n">
        <v>44935</v>
      </c>
      <c r="C5439" s="1" t="n">
        <v>45710</v>
      </c>
      <c r="D5439" t="inlineStr">
        <is>
          <t>ÖSTERGÖTLANDS LÄN</t>
        </is>
      </c>
      <c r="E5439" t="inlineStr">
        <is>
          <t>MOTALA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1115-2023</t>
        </is>
      </c>
      <c r="B5440" s="1" t="n">
        <v>44935</v>
      </c>
      <c r="C5440" s="1" t="n">
        <v>45710</v>
      </c>
      <c r="D5440" t="inlineStr">
        <is>
          <t>ÖSTERGÖTLANDS LÄN</t>
        </is>
      </c>
      <c r="E5440" t="inlineStr">
        <is>
          <t>NORRKÖPING</t>
        </is>
      </c>
      <c r="F5440" t="inlineStr">
        <is>
          <t>Holmen skog AB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1121-2023</t>
        </is>
      </c>
      <c r="B5441" s="1" t="n">
        <v>44935</v>
      </c>
      <c r="C5441" s="1" t="n">
        <v>45710</v>
      </c>
      <c r="D5441" t="inlineStr">
        <is>
          <t>ÖSTERGÖTLANDS LÄN</t>
        </is>
      </c>
      <c r="E5441" t="inlineStr">
        <is>
          <t>ÅTVIDABERG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1146-2023</t>
        </is>
      </c>
      <c r="B5442" s="1" t="n">
        <v>44935</v>
      </c>
      <c r="C5442" s="1" t="n">
        <v>45710</v>
      </c>
      <c r="D5442" t="inlineStr">
        <is>
          <t>ÖSTERGÖTLANDS LÄN</t>
        </is>
      </c>
      <c r="E5442" t="inlineStr">
        <is>
          <t>NORRKÖPING</t>
        </is>
      </c>
      <c r="F5442" t="inlineStr">
        <is>
          <t>Holmen skog AB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1092-2023</t>
        </is>
      </c>
      <c r="B5443" s="1" t="n">
        <v>44935</v>
      </c>
      <c r="C5443" s="1" t="n">
        <v>45710</v>
      </c>
      <c r="D5443" t="inlineStr">
        <is>
          <t>ÖSTERGÖTLANDS LÄN</t>
        </is>
      </c>
      <c r="E5443" t="inlineStr">
        <is>
          <t>MOTALA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1118-2023</t>
        </is>
      </c>
      <c r="B5444" s="1" t="n">
        <v>44935</v>
      </c>
      <c r="C5444" s="1" t="n">
        <v>45710</v>
      </c>
      <c r="D5444" t="inlineStr">
        <is>
          <t>ÖSTERGÖTLANDS LÄN</t>
        </is>
      </c>
      <c r="E5444" t="inlineStr">
        <is>
          <t>MOTALA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1179-2023</t>
        </is>
      </c>
      <c r="B5445" s="1" t="n">
        <v>44935</v>
      </c>
      <c r="C5445" s="1" t="n">
        <v>45710</v>
      </c>
      <c r="D5445" t="inlineStr">
        <is>
          <t>ÖSTERGÖTLANDS LÄN</t>
        </is>
      </c>
      <c r="E5445" t="inlineStr">
        <is>
          <t>ÅTVIDABERG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1503-2023</t>
        </is>
      </c>
      <c r="B5446" s="1" t="n">
        <v>44935</v>
      </c>
      <c r="C5446" s="1" t="n">
        <v>45710</v>
      </c>
      <c r="D5446" t="inlineStr">
        <is>
          <t>ÖSTERGÖTLANDS LÄN</t>
        </is>
      </c>
      <c r="E5446" t="inlineStr">
        <is>
          <t>KINDA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1265-2023</t>
        </is>
      </c>
      <c r="B5447" s="1" t="n">
        <v>44936</v>
      </c>
      <c r="C5447" s="1" t="n">
        <v>45710</v>
      </c>
      <c r="D5447" t="inlineStr">
        <is>
          <t>ÖSTERGÖTLANDS LÄN</t>
        </is>
      </c>
      <c r="E5447" t="inlineStr">
        <is>
          <t>LINKÖPING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1277-2023</t>
        </is>
      </c>
      <c r="B5448" s="1" t="n">
        <v>44936</v>
      </c>
      <c r="C5448" s="1" t="n">
        <v>45710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1289-2023</t>
        </is>
      </c>
      <c r="B5449" s="1" t="n">
        <v>44936</v>
      </c>
      <c r="C5449" s="1" t="n">
        <v>45710</v>
      </c>
      <c r="D5449" t="inlineStr">
        <is>
          <t>ÖSTERGÖTLANDS LÄN</t>
        </is>
      </c>
      <c r="E5449" t="inlineStr">
        <is>
          <t>MJÖLBY</t>
        </is>
      </c>
      <c r="G5449" t="n">
        <v>4.9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1321-2023</t>
        </is>
      </c>
      <c r="B5450" s="1" t="n">
        <v>44936</v>
      </c>
      <c r="C5450" s="1" t="n">
        <v>45710</v>
      </c>
      <c r="D5450" t="inlineStr">
        <is>
          <t>ÖSTERGÖTLANDS LÄN</t>
        </is>
      </c>
      <c r="E5450" t="inlineStr">
        <is>
          <t>ÖDESHÖG</t>
        </is>
      </c>
      <c r="G5450" t="n">
        <v>5.7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1286-2023</t>
        </is>
      </c>
      <c r="B5451" s="1" t="n">
        <v>44936</v>
      </c>
      <c r="C5451" s="1" t="n">
        <v>45710</v>
      </c>
      <c r="D5451" t="inlineStr">
        <is>
          <t>ÖSTERGÖTLANDS LÄN</t>
        </is>
      </c>
      <c r="E5451" t="inlineStr">
        <is>
          <t>NORRKÖPING</t>
        </is>
      </c>
      <c r="G5451" t="n">
        <v>3.8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1293-2023</t>
        </is>
      </c>
      <c r="B5452" s="1" t="n">
        <v>44936</v>
      </c>
      <c r="C5452" s="1" t="n">
        <v>45710</v>
      </c>
      <c r="D5452" t="inlineStr">
        <is>
          <t>ÖSTERGÖTLANDS LÄN</t>
        </is>
      </c>
      <c r="E5452" t="inlineStr">
        <is>
          <t>MJÖLBY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1260-2023</t>
        </is>
      </c>
      <c r="B5453" s="1" t="n">
        <v>44936</v>
      </c>
      <c r="C5453" s="1" t="n">
        <v>45710</v>
      </c>
      <c r="D5453" t="inlineStr">
        <is>
          <t>ÖSTERGÖTLANDS LÄN</t>
        </is>
      </c>
      <c r="E5453" t="inlineStr">
        <is>
          <t>LINKÖPING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1268-2023</t>
        </is>
      </c>
      <c r="B5454" s="1" t="n">
        <v>44936</v>
      </c>
      <c r="C5454" s="1" t="n">
        <v>45710</v>
      </c>
      <c r="D5454" t="inlineStr">
        <is>
          <t>ÖSTERGÖTLANDS LÄN</t>
        </is>
      </c>
      <c r="E5454" t="inlineStr">
        <is>
          <t>LINKÖPING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1281-2023</t>
        </is>
      </c>
      <c r="B5455" s="1" t="n">
        <v>44936</v>
      </c>
      <c r="C5455" s="1" t="n">
        <v>45710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1323-2023</t>
        </is>
      </c>
      <c r="B5456" s="1" t="n">
        <v>44936</v>
      </c>
      <c r="C5456" s="1" t="n">
        <v>45710</v>
      </c>
      <c r="D5456" t="inlineStr">
        <is>
          <t>ÖSTERGÖTLANDS LÄN</t>
        </is>
      </c>
      <c r="E5456" t="inlineStr">
        <is>
          <t>ÖDESHÖG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1408-2023</t>
        </is>
      </c>
      <c r="B5457" s="1" t="n">
        <v>44936</v>
      </c>
      <c r="C5457" s="1" t="n">
        <v>45710</v>
      </c>
      <c r="D5457" t="inlineStr">
        <is>
          <t>ÖSTERGÖTLANDS LÄN</t>
        </is>
      </c>
      <c r="E5457" t="inlineStr">
        <is>
          <t>SÖDERKÖPING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1410-2023</t>
        </is>
      </c>
      <c r="B5458" s="1" t="n">
        <v>44936</v>
      </c>
      <c r="C5458" s="1" t="n">
        <v>45710</v>
      </c>
      <c r="D5458" t="inlineStr">
        <is>
          <t>ÖSTERGÖTLANDS LÄN</t>
        </is>
      </c>
      <c r="E5458" t="inlineStr">
        <is>
          <t>SÖDERKÖPING</t>
        </is>
      </c>
      <c r="G5458" t="n">
        <v>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1811-2023</t>
        </is>
      </c>
      <c r="B5459" s="1" t="n">
        <v>44936</v>
      </c>
      <c r="C5459" s="1" t="n">
        <v>45710</v>
      </c>
      <c r="D5459" t="inlineStr">
        <is>
          <t>ÖSTERGÖTLANDS LÄN</t>
        </is>
      </c>
      <c r="E5459" t="inlineStr">
        <is>
          <t>NORRKÖPING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1923-2023</t>
        </is>
      </c>
      <c r="B5460" s="1" t="n">
        <v>44936</v>
      </c>
      <c r="C5460" s="1" t="n">
        <v>45710</v>
      </c>
      <c r="D5460" t="inlineStr">
        <is>
          <t>ÖSTERGÖTLANDS LÄN</t>
        </is>
      </c>
      <c r="E5460" t="inlineStr">
        <is>
          <t>NORRKÖPING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1939-2023</t>
        </is>
      </c>
      <c r="B5461" s="1" t="n">
        <v>44936</v>
      </c>
      <c r="C5461" s="1" t="n">
        <v>45710</v>
      </c>
      <c r="D5461" t="inlineStr">
        <is>
          <t>ÖSTERGÖTLANDS LÄN</t>
        </is>
      </c>
      <c r="E5461" t="inlineStr">
        <is>
          <t>NORRKÖPING</t>
        </is>
      </c>
      <c r="G5461" t="n">
        <v>5.8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1835-2023</t>
        </is>
      </c>
      <c r="B5462" s="1" t="n">
        <v>44936</v>
      </c>
      <c r="C5462" s="1" t="n">
        <v>45710</v>
      </c>
      <c r="D5462" t="inlineStr">
        <is>
          <t>ÖSTERGÖTLANDS LÄN</t>
        </is>
      </c>
      <c r="E5462" t="inlineStr">
        <is>
          <t>NORRKÖPING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1949-2023</t>
        </is>
      </c>
      <c r="B5463" s="1" t="n">
        <v>44936</v>
      </c>
      <c r="C5463" s="1" t="n">
        <v>45710</v>
      </c>
      <c r="D5463" t="inlineStr">
        <is>
          <t>ÖSTERGÖTLANDS LÄN</t>
        </is>
      </c>
      <c r="E5463" t="inlineStr">
        <is>
          <t>SÖDERKÖPING</t>
        </is>
      </c>
      <c r="G5463" t="n">
        <v>5.3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1930-2023</t>
        </is>
      </c>
      <c r="B5464" s="1" t="n">
        <v>44936</v>
      </c>
      <c r="C5464" s="1" t="n">
        <v>45710</v>
      </c>
      <c r="D5464" t="inlineStr">
        <is>
          <t>ÖSTERGÖTLANDS LÄN</t>
        </is>
      </c>
      <c r="E5464" t="inlineStr">
        <is>
          <t>SÖDERKÖPING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1477-2023</t>
        </is>
      </c>
      <c r="B5465" s="1" t="n">
        <v>44937</v>
      </c>
      <c r="C5465" s="1" t="n">
        <v>45710</v>
      </c>
      <c r="D5465" t="inlineStr">
        <is>
          <t>ÖSTERGÖTLANDS LÄN</t>
        </is>
      </c>
      <c r="E5465" t="inlineStr">
        <is>
          <t>YDRE</t>
        </is>
      </c>
      <c r="G5465" t="n">
        <v>4.9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1422-2023</t>
        </is>
      </c>
      <c r="B5466" s="1" t="n">
        <v>44937</v>
      </c>
      <c r="C5466" s="1" t="n">
        <v>45710</v>
      </c>
      <c r="D5466" t="inlineStr">
        <is>
          <t>ÖSTERGÖTLANDS LÄN</t>
        </is>
      </c>
      <c r="E5466" t="inlineStr">
        <is>
          <t>ÅTVIDABERG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1474-2023</t>
        </is>
      </c>
      <c r="B5467" s="1" t="n">
        <v>44937</v>
      </c>
      <c r="C5467" s="1" t="n">
        <v>45710</v>
      </c>
      <c r="D5467" t="inlineStr">
        <is>
          <t>ÖSTERGÖTLANDS LÄN</t>
        </is>
      </c>
      <c r="E5467" t="inlineStr">
        <is>
          <t>MOTALA</t>
        </is>
      </c>
      <c r="F5467" t="inlineStr">
        <is>
          <t>Kommuner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1429-2023</t>
        </is>
      </c>
      <c r="B5468" s="1" t="n">
        <v>44937</v>
      </c>
      <c r="C5468" s="1" t="n">
        <v>45710</v>
      </c>
      <c r="D5468" t="inlineStr">
        <is>
          <t>ÖSTERGÖTLANDS LÄN</t>
        </is>
      </c>
      <c r="E5468" t="inlineStr">
        <is>
          <t>LINKÖPING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1495-2023</t>
        </is>
      </c>
      <c r="B5469" s="1" t="n">
        <v>44937</v>
      </c>
      <c r="C5469" s="1" t="n">
        <v>45710</v>
      </c>
      <c r="D5469" t="inlineStr">
        <is>
          <t>ÖSTERGÖTLANDS LÄN</t>
        </is>
      </c>
      <c r="E5469" t="inlineStr">
        <is>
          <t>KINDA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1578-2023</t>
        </is>
      </c>
      <c r="B5470" s="1" t="n">
        <v>44937</v>
      </c>
      <c r="C5470" s="1" t="n">
        <v>45710</v>
      </c>
      <c r="D5470" t="inlineStr">
        <is>
          <t>ÖSTERGÖTLANDS LÄN</t>
        </is>
      </c>
      <c r="E5470" t="inlineStr">
        <is>
          <t>ÖDESHÖG</t>
        </is>
      </c>
      <c r="G5470" t="n">
        <v>4.7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1597-2023</t>
        </is>
      </c>
      <c r="B5471" s="1" t="n">
        <v>44937</v>
      </c>
      <c r="C5471" s="1" t="n">
        <v>45710</v>
      </c>
      <c r="D5471" t="inlineStr">
        <is>
          <t>ÖSTERGÖTLANDS LÄN</t>
        </is>
      </c>
      <c r="E5471" t="inlineStr">
        <is>
          <t>BOXHOLM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1614-2023</t>
        </is>
      </c>
      <c r="B5472" s="1" t="n">
        <v>44937</v>
      </c>
      <c r="C5472" s="1" t="n">
        <v>45710</v>
      </c>
      <c r="D5472" t="inlineStr">
        <is>
          <t>ÖSTERGÖTLANDS LÄN</t>
        </is>
      </c>
      <c r="E5472" t="inlineStr">
        <is>
          <t>SÖDERKÖPING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1620-2023</t>
        </is>
      </c>
      <c r="B5473" s="1" t="n">
        <v>44937</v>
      </c>
      <c r="C5473" s="1" t="n">
        <v>45710</v>
      </c>
      <c r="D5473" t="inlineStr">
        <is>
          <t>ÖSTERGÖTLANDS LÄN</t>
        </is>
      </c>
      <c r="E5473" t="inlineStr">
        <is>
          <t>VALDEMARSVIK</t>
        </is>
      </c>
      <c r="G5473" t="n">
        <v>4.7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1627-2023</t>
        </is>
      </c>
      <c r="B5474" s="1" t="n">
        <v>44937</v>
      </c>
      <c r="C5474" s="1" t="n">
        <v>45710</v>
      </c>
      <c r="D5474" t="inlineStr">
        <is>
          <t>ÖSTERGÖTLANDS LÄN</t>
        </is>
      </c>
      <c r="E5474" t="inlineStr">
        <is>
          <t>LINKÖPING</t>
        </is>
      </c>
      <c r="G5474" t="n">
        <v>10.8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1623-2023</t>
        </is>
      </c>
      <c r="B5475" s="1" t="n">
        <v>44937</v>
      </c>
      <c r="C5475" s="1" t="n">
        <v>45710</v>
      </c>
      <c r="D5475" t="inlineStr">
        <is>
          <t>ÖSTERGÖTLANDS LÄN</t>
        </is>
      </c>
      <c r="E5475" t="inlineStr">
        <is>
          <t>MJÖLBY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1621-2023</t>
        </is>
      </c>
      <c r="B5476" s="1" t="n">
        <v>44937</v>
      </c>
      <c r="C5476" s="1" t="n">
        <v>45710</v>
      </c>
      <c r="D5476" t="inlineStr">
        <is>
          <t>ÖSTERGÖTLANDS LÄN</t>
        </is>
      </c>
      <c r="E5476" t="inlineStr">
        <is>
          <t>VALDEMARSVIK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1628-2023</t>
        </is>
      </c>
      <c r="B5477" s="1" t="n">
        <v>44937</v>
      </c>
      <c r="C5477" s="1" t="n">
        <v>45710</v>
      </c>
      <c r="D5477" t="inlineStr">
        <is>
          <t>ÖSTERGÖTLANDS LÄN</t>
        </is>
      </c>
      <c r="E5477" t="inlineStr">
        <is>
          <t>FINSPÅNG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1629-2023</t>
        </is>
      </c>
      <c r="B5478" s="1" t="n">
        <v>44937</v>
      </c>
      <c r="C5478" s="1" t="n">
        <v>45710</v>
      </c>
      <c r="D5478" t="inlineStr">
        <is>
          <t>ÖSTERGÖTLANDS LÄN</t>
        </is>
      </c>
      <c r="E5478" t="inlineStr">
        <is>
          <t>FINSPÅNG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2029-2023</t>
        </is>
      </c>
      <c r="B5479" s="1" t="n">
        <v>44937</v>
      </c>
      <c r="C5479" s="1" t="n">
        <v>45710</v>
      </c>
      <c r="D5479" t="inlineStr">
        <is>
          <t>ÖSTERGÖTLANDS LÄN</t>
        </is>
      </c>
      <c r="E5479" t="inlineStr">
        <is>
          <t>KINDA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2016-2023</t>
        </is>
      </c>
      <c r="B5480" s="1" t="n">
        <v>44937</v>
      </c>
      <c r="C5480" s="1" t="n">
        <v>45710</v>
      </c>
      <c r="D5480" t="inlineStr">
        <is>
          <t>ÖSTERGÖTLANDS LÄN</t>
        </is>
      </c>
      <c r="E5480" t="inlineStr">
        <is>
          <t>KINDA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1674-2023</t>
        </is>
      </c>
      <c r="B5481" s="1" t="n">
        <v>44938</v>
      </c>
      <c r="C5481" s="1" t="n">
        <v>45710</v>
      </c>
      <c r="D5481" t="inlineStr">
        <is>
          <t>ÖSTERGÖTLANDS LÄN</t>
        </is>
      </c>
      <c r="E5481" t="inlineStr">
        <is>
          <t>ÖDESHÖG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1680-2023</t>
        </is>
      </c>
      <c r="B5482" s="1" t="n">
        <v>44938</v>
      </c>
      <c r="C5482" s="1" t="n">
        <v>45710</v>
      </c>
      <c r="D5482" t="inlineStr">
        <is>
          <t>ÖSTERGÖTLANDS LÄN</t>
        </is>
      </c>
      <c r="E5482" t="inlineStr">
        <is>
          <t>ÅTVIDABERG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1710-2023</t>
        </is>
      </c>
      <c r="B5483" s="1" t="n">
        <v>44938</v>
      </c>
      <c r="C5483" s="1" t="n">
        <v>45710</v>
      </c>
      <c r="D5483" t="inlineStr">
        <is>
          <t>ÖSTERGÖTLANDS LÄN</t>
        </is>
      </c>
      <c r="E5483" t="inlineStr">
        <is>
          <t>ÅTVIDABERG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1678-2023</t>
        </is>
      </c>
      <c r="B5484" s="1" t="n">
        <v>44938</v>
      </c>
      <c r="C5484" s="1" t="n">
        <v>45710</v>
      </c>
      <c r="D5484" t="inlineStr">
        <is>
          <t>ÖSTERGÖTLANDS LÄN</t>
        </is>
      </c>
      <c r="E5484" t="inlineStr">
        <is>
          <t>ÅTVIDABERG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1722-2023</t>
        </is>
      </c>
      <c r="B5485" s="1" t="n">
        <v>44938</v>
      </c>
      <c r="C5485" s="1" t="n">
        <v>45710</v>
      </c>
      <c r="D5485" t="inlineStr">
        <is>
          <t>ÖSTERGÖTLANDS LÄN</t>
        </is>
      </c>
      <c r="E5485" t="inlineStr">
        <is>
          <t>ÅTVIDABERG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1846-2023</t>
        </is>
      </c>
      <c r="B5486" s="1" t="n">
        <v>44938</v>
      </c>
      <c r="C5486" s="1" t="n">
        <v>45710</v>
      </c>
      <c r="D5486" t="inlineStr">
        <is>
          <t>ÖSTERGÖTLANDS LÄN</t>
        </is>
      </c>
      <c r="E5486" t="inlineStr">
        <is>
          <t>ÖDESHÖG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2023-2023</t>
        </is>
      </c>
      <c r="B5487" s="1" t="n">
        <v>44939</v>
      </c>
      <c r="C5487" s="1" t="n">
        <v>45710</v>
      </c>
      <c r="D5487" t="inlineStr">
        <is>
          <t>ÖSTERGÖTLANDS LÄN</t>
        </is>
      </c>
      <c r="E5487" t="inlineStr">
        <is>
          <t>KINDA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1913-2023</t>
        </is>
      </c>
      <c r="B5488" s="1" t="n">
        <v>44939</v>
      </c>
      <c r="C5488" s="1" t="n">
        <v>45710</v>
      </c>
      <c r="D5488" t="inlineStr">
        <is>
          <t>ÖSTERGÖTLANDS LÄN</t>
        </is>
      </c>
      <c r="E5488" t="inlineStr">
        <is>
          <t>FINSPÅNG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2033-2023</t>
        </is>
      </c>
      <c r="B5489" s="1" t="n">
        <v>44939</v>
      </c>
      <c r="C5489" s="1" t="n">
        <v>45710</v>
      </c>
      <c r="D5489" t="inlineStr">
        <is>
          <t>ÖSTERGÖTLANDS LÄN</t>
        </is>
      </c>
      <c r="E5489" t="inlineStr">
        <is>
          <t>SÖDERKÖPING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1890-2023</t>
        </is>
      </c>
      <c r="B5490" s="1" t="n">
        <v>44939</v>
      </c>
      <c r="C5490" s="1" t="n">
        <v>45710</v>
      </c>
      <c r="D5490" t="inlineStr">
        <is>
          <t>ÖSTERGÖTLANDS LÄN</t>
        </is>
      </c>
      <c r="E5490" t="inlineStr">
        <is>
          <t>YDRE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1914-2023</t>
        </is>
      </c>
      <c r="B5491" s="1" t="n">
        <v>44939</v>
      </c>
      <c r="C5491" s="1" t="n">
        <v>45710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Naturvårdsverket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1993-2023</t>
        </is>
      </c>
      <c r="B5492" s="1" t="n">
        <v>44939</v>
      </c>
      <c r="C5492" s="1" t="n">
        <v>45710</v>
      </c>
      <c r="D5492" t="inlineStr">
        <is>
          <t>ÖSTERGÖTLANDS LÄN</t>
        </is>
      </c>
      <c r="E5492" t="inlineStr">
        <is>
          <t>LINKÖPING</t>
        </is>
      </c>
      <c r="G5492" t="n">
        <v>3.7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2066-2023</t>
        </is>
      </c>
      <c r="B5493" s="1" t="n">
        <v>44939</v>
      </c>
      <c r="C5493" s="1" t="n">
        <v>45710</v>
      </c>
      <c r="D5493" t="inlineStr">
        <is>
          <t>ÖSTERGÖTLANDS LÄN</t>
        </is>
      </c>
      <c r="E5493" t="inlineStr">
        <is>
          <t>MJÖLBY</t>
        </is>
      </c>
      <c r="G5493" t="n">
        <v>5.4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2021-2023</t>
        </is>
      </c>
      <c r="B5494" s="1" t="n">
        <v>44939</v>
      </c>
      <c r="C5494" s="1" t="n">
        <v>45710</v>
      </c>
      <c r="D5494" t="inlineStr">
        <is>
          <t>ÖSTERGÖTLANDS LÄN</t>
        </is>
      </c>
      <c r="E5494" t="inlineStr">
        <is>
          <t>NORRKÖPING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2176-2023</t>
        </is>
      </c>
      <c r="B5495" s="1" t="n">
        <v>44942</v>
      </c>
      <c r="C5495" s="1" t="n">
        <v>45710</v>
      </c>
      <c r="D5495" t="inlineStr">
        <is>
          <t>ÖSTERGÖTLANDS LÄN</t>
        </is>
      </c>
      <c r="E5495" t="inlineStr">
        <is>
          <t>ÅTVIDABERG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2194-2023</t>
        </is>
      </c>
      <c r="B5496" s="1" t="n">
        <v>44942</v>
      </c>
      <c r="C5496" s="1" t="n">
        <v>45710</v>
      </c>
      <c r="D5496" t="inlineStr">
        <is>
          <t>ÖSTERGÖTLANDS LÄN</t>
        </is>
      </c>
      <c r="E5496" t="inlineStr">
        <is>
          <t>MOTALA</t>
        </is>
      </c>
      <c r="G5496" t="n">
        <v>3.9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2205-2023</t>
        </is>
      </c>
      <c r="B5497" s="1" t="n">
        <v>44942</v>
      </c>
      <c r="C5497" s="1" t="n">
        <v>45710</v>
      </c>
      <c r="D5497" t="inlineStr">
        <is>
          <t>ÖSTERGÖTLANDS LÄN</t>
        </is>
      </c>
      <c r="E5497" t="inlineStr">
        <is>
          <t>MOTALA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2196-2023</t>
        </is>
      </c>
      <c r="B5498" s="1" t="n">
        <v>44942</v>
      </c>
      <c r="C5498" s="1" t="n">
        <v>45710</v>
      </c>
      <c r="D5498" t="inlineStr">
        <is>
          <t>ÖSTERGÖTLANDS LÄN</t>
        </is>
      </c>
      <c r="E5498" t="inlineStr">
        <is>
          <t>MOTALA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2201-2023</t>
        </is>
      </c>
      <c r="B5499" s="1" t="n">
        <v>44942</v>
      </c>
      <c r="C5499" s="1" t="n">
        <v>45710</v>
      </c>
      <c r="D5499" t="inlineStr">
        <is>
          <t>ÖSTERGÖTLANDS LÄN</t>
        </is>
      </c>
      <c r="E5499" t="inlineStr">
        <is>
          <t>MOTALA</t>
        </is>
      </c>
      <c r="G5499" t="n">
        <v>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2178-2023</t>
        </is>
      </c>
      <c r="B5500" s="1" t="n">
        <v>44942</v>
      </c>
      <c r="C5500" s="1" t="n">
        <v>45710</v>
      </c>
      <c r="D5500" t="inlineStr">
        <is>
          <t>ÖSTERGÖTLANDS LÄN</t>
        </is>
      </c>
      <c r="E5500" t="inlineStr">
        <is>
          <t>ÅTVIDABERG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2197-2023</t>
        </is>
      </c>
      <c r="B5501" s="1" t="n">
        <v>44942</v>
      </c>
      <c r="C5501" s="1" t="n">
        <v>45710</v>
      </c>
      <c r="D5501" t="inlineStr">
        <is>
          <t>ÖSTERGÖTLANDS LÄN</t>
        </is>
      </c>
      <c r="E5501" t="inlineStr">
        <is>
          <t>MOTALA</t>
        </is>
      </c>
      <c r="G5501" t="n">
        <v>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2198-2023</t>
        </is>
      </c>
      <c r="B5502" s="1" t="n">
        <v>44942</v>
      </c>
      <c r="C5502" s="1" t="n">
        <v>45710</v>
      </c>
      <c r="D5502" t="inlineStr">
        <is>
          <t>ÖSTERGÖTLANDS LÄN</t>
        </is>
      </c>
      <c r="E5502" t="inlineStr">
        <is>
          <t>BOXHOLM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2355-2023</t>
        </is>
      </c>
      <c r="B5503" s="1" t="n">
        <v>44942</v>
      </c>
      <c r="C5503" s="1" t="n">
        <v>45710</v>
      </c>
      <c r="D5503" t="inlineStr">
        <is>
          <t>ÖSTERGÖTLANDS LÄN</t>
        </is>
      </c>
      <c r="E5503" t="inlineStr">
        <is>
          <t>VALDEMARSVIK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2381-2023</t>
        </is>
      </c>
      <c r="B5504" s="1" t="n">
        <v>44942</v>
      </c>
      <c r="C5504" s="1" t="n">
        <v>45710</v>
      </c>
      <c r="D5504" t="inlineStr">
        <is>
          <t>ÖSTERGÖTLANDS LÄN</t>
        </is>
      </c>
      <c r="E5504" t="inlineStr">
        <is>
          <t>FINSPÅNG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2389-2023</t>
        </is>
      </c>
      <c r="B5505" s="1" t="n">
        <v>44942</v>
      </c>
      <c r="C5505" s="1" t="n">
        <v>45710</v>
      </c>
      <c r="D5505" t="inlineStr">
        <is>
          <t>ÖSTERGÖTLANDS LÄN</t>
        </is>
      </c>
      <c r="E5505" t="inlineStr">
        <is>
          <t>LINKÖPING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2644-2023</t>
        </is>
      </c>
      <c r="B5506" s="1" t="n">
        <v>44942</v>
      </c>
      <c r="C5506" s="1" t="n">
        <v>45710</v>
      </c>
      <c r="D5506" t="inlineStr">
        <is>
          <t>ÖSTERGÖTLANDS LÄN</t>
        </is>
      </c>
      <c r="E5506" t="inlineStr">
        <is>
          <t>SÖDERKÖPING</t>
        </is>
      </c>
      <c r="G5506" t="n">
        <v>7.5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2463-2023</t>
        </is>
      </c>
      <c r="B5507" s="1" t="n">
        <v>44943</v>
      </c>
      <c r="C5507" s="1" t="n">
        <v>45710</v>
      </c>
      <c r="D5507" t="inlineStr">
        <is>
          <t>ÖSTERGÖTLANDS LÄN</t>
        </is>
      </c>
      <c r="E5507" t="inlineStr">
        <is>
          <t>MJÖLBY</t>
        </is>
      </c>
      <c r="F5507" t="inlineStr">
        <is>
          <t>Kommuner</t>
        </is>
      </c>
      <c r="G5507" t="n">
        <v>5.1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2468-2023</t>
        </is>
      </c>
      <c r="B5508" s="1" t="n">
        <v>44943</v>
      </c>
      <c r="C5508" s="1" t="n">
        <v>45710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2501-2023</t>
        </is>
      </c>
      <c r="B5509" s="1" t="n">
        <v>44943</v>
      </c>
      <c r="C5509" s="1" t="n">
        <v>45710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2495-2023</t>
        </is>
      </c>
      <c r="B5510" s="1" t="n">
        <v>44943</v>
      </c>
      <c r="C5510" s="1" t="n">
        <v>45710</v>
      </c>
      <c r="D5510" t="inlineStr">
        <is>
          <t>ÖSTERGÖTLANDS LÄN</t>
        </is>
      </c>
      <c r="E5510" t="inlineStr">
        <is>
          <t>NORRKÖPING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2458-2023</t>
        </is>
      </c>
      <c r="B5511" s="1" t="n">
        <v>44943</v>
      </c>
      <c r="C5511" s="1" t="n">
        <v>45710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5.6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2473-2023</t>
        </is>
      </c>
      <c r="B5512" s="1" t="n">
        <v>44943</v>
      </c>
      <c r="C5512" s="1" t="n">
        <v>45710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2479-2023</t>
        </is>
      </c>
      <c r="B5513" s="1" t="n">
        <v>44943</v>
      </c>
      <c r="C5513" s="1" t="n">
        <v>45710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2542-2023</t>
        </is>
      </c>
      <c r="B5514" s="1" t="n">
        <v>44943</v>
      </c>
      <c r="C5514" s="1" t="n">
        <v>45710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2545-2023</t>
        </is>
      </c>
      <c r="B5515" s="1" t="n">
        <v>44943</v>
      </c>
      <c r="C5515" s="1" t="n">
        <v>45710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2559-2023</t>
        </is>
      </c>
      <c r="B5516" s="1" t="n">
        <v>44943</v>
      </c>
      <c r="C5516" s="1" t="n">
        <v>45710</v>
      </c>
      <c r="D5516" t="inlineStr">
        <is>
          <t>ÖSTERGÖTLANDS LÄN</t>
        </is>
      </c>
      <c r="E5516" t="inlineStr">
        <is>
          <t>VALDEMARSVIK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2584-2023</t>
        </is>
      </c>
      <c r="B5517" s="1" t="n">
        <v>44943</v>
      </c>
      <c r="C5517" s="1" t="n">
        <v>45710</v>
      </c>
      <c r="D5517" t="inlineStr">
        <is>
          <t>ÖSTERGÖTLANDS LÄN</t>
        </is>
      </c>
      <c r="E5517" t="inlineStr">
        <is>
          <t>SÖDERKÖPING</t>
        </is>
      </c>
      <c r="G5517" t="n">
        <v>3.7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2618-2023</t>
        </is>
      </c>
      <c r="B5518" s="1" t="n">
        <v>44944</v>
      </c>
      <c r="C5518" s="1" t="n">
        <v>45710</v>
      </c>
      <c r="D5518" t="inlineStr">
        <is>
          <t>ÖSTERGÖTLANDS LÄN</t>
        </is>
      </c>
      <c r="E5518" t="inlineStr">
        <is>
          <t>LINKÖPING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2631-2023</t>
        </is>
      </c>
      <c r="B5519" s="1" t="n">
        <v>44944</v>
      </c>
      <c r="C5519" s="1" t="n">
        <v>45710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17.2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2650-2023</t>
        </is>
      </c>
      <c r="B5520" s="1" t="n">
        <v>44944</v>
      </c>
      <c r="C5520" s="1" t="n">
        <v>45710</v>
      </c>
      <c r="D5520" t="inlineStr">
        <is>
          <t>ÖSTERGÖTLANDS LÄN</t>
        </is>
      </c>
      <c r="E5520" t="inlineStr">
        <is>
          <t>FINSPÅNG</t>
        </is>
      </c>
      <c r="F5520" t="inlineStr">
        <is>
          <t>Holmen skog AB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2697-2023</t>
        </is>
      </c>
      <c r="B5521" s="1" t="n">
        <v>44944</v>
      </c>
      <c r="C5521" s="1" t="n">
        <v>45710</v>
      </c>
      <c r="D5521" t="inlineStr">
        <is>
          <t>ÖSTERGÖTLANDS LÄN</t>
        </is>
      </c>
      <c r="E5521" t="inlineStr">
        <is>
          <t>LINKÖPING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2813-2023</t>
        </is>
      </c>
      <c r="B5522" s="1" t="n">
        <v>44944</v>
      </c>
      <c r="C5522" s="1" t="n">
        <v>45710</v>
      </c>
      <c r="D5522" t="inlineStr">
        <is>
          <t>ÖSTERGÖTLANDS LÄN</t>
        </is>
      </c>
      <c r="E5522" t="inlineStr">
        <is>
          <t>KINDA</t>
        </is>
      </c>
      <c r="G5522" t="n">
        <v>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2915-2023</t>
        </is>
      </c>
      <c r="B5523" s="1" t="n">
        <v>44944</v>
      </c>
      <c r="C5523" s="1" t="n">
        <v>45710</v>
      </c>
      <c r="D5523" t="inlineStr">
        <is>
          <t>ÖSTERGÖTLANDS LÄN</t>
        </is>
      </c>
      <c r="E5523" t="inlineStr">
        <is>
          <t>YDRE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2826-2023</t>
        </is>
      </c>
      <c r="B5524" s="1" t="n">
        <v>44945</v>
      </c>
      <c r="C5524" s="1" t="n">
        <v>45710</v>
      </c>
      <c r="D5524" t="inlineStr">
        <is>
          <t>ÖSTERGÖTLANDS LÄN</t>
        </is>
      </c>
      <c r="E5524" t="inlineStr">
        <is>
          <t>VALDEMARSVIK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2952-2023</t>
        </is>
      </c>
      <c r="B5525" s="1" t="n">
        <v>44945</v>
      </c>
      <c r="C5525" s="1" t="n">
        <v>45710</v>
      </c>
      <c r="D5525" t="inlineStr">
        <is>
          <t>ÖSTERGÖTLANDS LÄN</t>
        </is>
      </c>
      <c r="E5525" t="inlineStr">
        <is>
          <t>SÖDERKÖPING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2923-2023</t>
        </is>
      </c>
      <c r="B5526" s="1" t="n">
        <v>44945</v>
      </c>
      <c r="C5526" s="1" t="n">
        <v>45710</v>
      </c>
      <c r="D5526" t="inlineStr">
        <is>
          <t>ÖSTERGÖTLANDS LÄN</t>
        </is>
      </c>
      <c r="E5526" t="inlineStr">
        <is>
          <t>NORRKÖPING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2875-2023</t>
        </is>
      </c>
      <c r="B5527" s="1" t="n">
        <v>44945</v>
      </c>
      <c r="C5527" s="1" t="n">
        <v>45710</v>
      </c>
      <c r="D5527" t="inlineStr">
        <is>
          <t>ÖSTERGÖTLANDS LÄN</t>
        </is>
      </c>
      <c r="E5527" t="inlineStr">
        <is>
          <t>NORRKÖPING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3006-2023</t>
        </is>
      </c>
      <c r="B5528" s="1" t="n">
        <v>44945</v>
      </c>
      <c r="C5528" s="1" t="n">
        <v>45710</v>
      </c>
      <c r="D5528" t="inlineStr">
        <is>
          <t>ÖSTERGÖTLANDS LÄN</t>
        </is>
      </c>
      <c r="E5528" t="inlineStr">
        <is>
          <t>LINKÖPING</t>
        </is>
      </c>
      <c r="G5528" t="n">
        <v>4.1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3007-2023</t>
        </is>
      </c>
      <c r="B5529" s="1" t="n">
        <v>44945</v>
      </c>
      <c r="C5529" s="1" t="n">
        <v>45710</v>
      </c>
      <c r="D5529" t="inlineStr">
        <is>
          <t>ÖSTERGÖTLANDS LÄN</t>
        </is>
      </c>
      <c r="E5529" t="inlineStr">
        <is>
          <t>LINKÖPING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3013-2023</t>
        </is>
      </c>
      <c r="B5530" s="1" t="n">
        <v>44945</v>
      </c>
      <c r="C5530" s="1" t="n">
        <v>45710</v>
      </c>
      <c r="D5530" t="inlineStr">
        <is>
          <t>ÖSTERGÖTLANDS LÄN</t>
        </is>
      </c>
      <c r="E5530" t="inlineStr">
        <is>
          <t>LINKÖPING</t>
        </is>
      </c>
      <c r="G5530" t="n">
        <v>5.2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3011-2023</t>
        </is>
      </c>
      <c r="B5531" s="1" t="n">
        <v>44945</v>
      </c>
      <c r="C5531" s="1" t="n">
        <v>45710</v>
      </c>
      <c r="D5531" t="inlineStr">
        <is>
          <t>ÖSTERGÖTLANDS LÄN</t>
        </is>
      </c>
      <c r="E5531" t="inlineStr">
        <is>
          <t>LINKÖPING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2956-2023</t>
        </is>
      </c>
      <c r="B5532" s="1" t="n">
        <v>44945</v>
      </c>
      <c r="C5532" s="1" t="n">
        <v>45710</v>
      </c>
      <c r="D5532" t="inlineStr">
        <is>
          <t>ÖSTERGÖTLANDS LÄN</t>
        </is>
      </c>
      <c r="E5532" t="inlineStr">
        <is>
          <t>SÖDERKÖPING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3008-2023</t>
        </is>
      </c>
      <c r="B5533" s="1" t="n">
        <v>44945</v>
      </c>
      <c r="C5533" s="1" t="n">
        <v>45710</v>
      </c>
      <c r="D5533" t="inlineStr">
        <is>
          <t>ÖSTERGÖTLANDS LÄN</t>
        </is>
      </c>
      <c r="E5533" t="inlineStr">
        <is>
          <t>LINKÖPING</t>
        </is>
      </c>
      <c r="G5533" t="n">
        <v>19.3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3084-2023</t>
        </is>
      </c>
      <c r="B5534" s="1" t="n">
        <v>44946</v>
      </c>
      <c r="C5534" s="1" t="n">
        <v>45710</v>
      </c>
      <c r="D5534" t="inlineStr">
        <is>
          <t>ÖSTERGÖTLANDS LÄN</t>
        </is>
      </c>
      <c r="E5534" t="inlineStr">
        <is>
          <t>SÖDERKÖPING</t>
        </is>
      </c>
      <c r="G5534" t="n">
        <v>5.8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3110-2023</t>
        </is>
      </c>
      <c r="B5535" s="1" t="n">
        <v>44946</v>
      </c>
      <c r="C5535" s="1" t="n">
        <v>45710</v>
      </c>
      <c r="D5535" t="inlineStr">
        <is>
          <t>ÖSTERGÖTLANDS LÄN</t>
        </is>
      </c>
      <c r="E5535" t="inlineStr">
        <is>
          <t>SÖDERKÖPING</t>
        </is>
      </c>
      <c r="G5535" t="n">
        <v>18.8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3059-2023</t>
        </is>
      </c>
      <c r="B5536" s="1" t="n">
        <v>44946</v>
      </c>
      <c r="C5536" s="1" t="n">
        <v>45710</v>
      </c>
      <c r="D5536" t="inlineStr">
        <is>
          <t>ÖSTERGÖTLANDS LÄN</t>
        </is>
      </c>
      <c r="E5536" t="inlineStr">
        <is>
          <t>FINSPÅNG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3077-2023</t>
        </is>
      </c>
      <c r="B5537" s="1" t="n">
        <v>44946</v>
      </c>
      <c r="C5537" s="1" t="n">
        <v>45710</v>
      </c>
      <c r="D5537" t="inlineStr">
        <is>
          <t>ÖSTERGÖTLANDS LÄN</t>
        </is>
      </c>
      <c r="E5537" t="inlineStr">
        <is>
          <t>LINKÖPING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3107-2023</t>
        </is>
      </c>
      <c r="B5538" s="1" t="n">
        <v>44946</v>
      </c>
      <c r="C5538" s="1" t="n">
        <v>45710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3087-2023</t>
        </is>
      </c>
      <c r="B5539" s="1" t="n">
        <v>44946</v>
      </c>
      <c r="C5539" s="1" t="n">
        <v>45710</v>
      </c>
      <c r="D5539" t="inlineStr">
        <is>
          <t>ÖSTERGÖTLANDS LÄN</t>
        </is>
      </c>
      <c r="E5539" t="inlineStr">
        <is>
          <t>MJÖLBY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3153-2023</t>
        </is>
      </c>
      <c r="B5540" s="1" t="n">
        <v>44946</v>
      </c>
      <c r="C5540" s="1" t="n">
        <v>45710</v>
      </c>
      <c r="D5540" t="inlineStr">
        <is>
          <t>ÖSTERGÖTLANDS LÄN</t>
        </is>
      </c>
      <c r="E5540" t="inlineStr">
        <is>
          <t>SÖDERKÖPING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3395-2023</t>
        </is>
      </c>
      <c r="B5541" s="1" t="n">
        <v>44949</v>
      </c>
      <c r="C5541" s="1" t="n">
        <v>45710</v>
      </c>
      <c r="D5541" t="inlineStr">
        <is>
          <t>ÖSTERGÖTLANDS LÄN</t>
        </is>
      </c>
      <c r="E5541" t="inlineStr">
        <is>
          <t>LINKÖPING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3276-2023</t>
        </is>
      </c>
      <c r="B5542" s="1" t="n">
        <v>44949</v>
      </c>
      <c r="C5542" s="1" t="n">
        <v>45710</v>
      </c>
      <c r="D5542" t="inlineStr">
        <is>
          <t>ÖSTERGÖTLANDS LÄN</t>
        </is>
      </c>
      <c r="E5542" t="inlineStr">
        <is>
          <t>VALDEMARSVIK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3267-2023</t>
        </is>
      </c>
      <c r="B5543" s="1" t="n">
        <v>44949</v>
      </c>
      <c r="C5543" s="1" t="n">
        <v>45710</v>
      </c>
      <c r="D5543" t="inlineStr">
        <is>
          <t>ÖSTERGÖTLANDS LÄN</t>
        </is>
      </c>
      <c r="E5543" t="inlineStr">
        <is>
          <t>VALDEMARSVIK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3280-2023</t>
        </is>
      </c>
      <c r="B5544" s="1" t="n">
        <v>44949</v>
      </c>
      <c r="C5544" s="1" t="n">
        <v>45710</v>
      </c>
      <c r="D5544" t="inlineStr">
        <is>
          <t>ÖSTERGÖTLANDS LÄN</t>
        </is>
      </c>
      <c r="E5544" t="inlineStr">
        <is>
          <t>VALDEMARSVIK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3345-2023</t>
        </is>
      </c>
      <c r="B5545" s="1" t="n">
        <v>44949</v>
      </c>
      <c r="C5545" s="1" t="n">
        <v>45710</v>
      </c>
      <c r="D5545" t="inlineStr">
        <is>
          <t>ÖSTERGÖTLANDS LÄN</t>
        </is>
      </c>
      <c r="E5545" t="inlineStr">
        <is>
          <t>MOTALA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3374-2023</t>
        </is>
      </c>
      <c r="B5546" s="1" t="n">
        <v>44949</v>
      </c>
      <c r="C5546" s="1" t="n">
        <v>45710</v>
      </c>
      <c r="D5546" t="inlineStr">
        <is>
          <t>ÖSTERGÖTLANDS LÄN</t>
        </is>
      </c>
      <c r="E5546" t="inlineStr">
        <is>
          <t>LINKÖPING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3388-2023</t>
        </is>
      </c>
      <c r="B5547" s="1" t="n">
        <v>44949</v>
      </c>
      <c r="C5547" s="1" t="n">
        <v>45710</v>
      </c>
      <c r="D5547" t="inlineStr">
        <is>
          <t>ÖSTERGÖTLANDS LÄN</t>
        </is>
      </c>
      <c r="E5547" t="inlineStr">
        <is>
          <t>ÅTVIDABERG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3432-2023</t>
        </is>
      </c>
      <c r="B5548" s="1" t="n">
        <v>44949</v>
      </c>
      <c r="C5548" s="1" t="n">
        <v>45710</v>
      </c>
      <c r="D5548" t="inlineStr">
        <is>
          <t>ÖSTERGÖTLANDS LÄN</t>
        </is>
      </c>
      <c r="E5548" t="inlineStr">
        <is>
          <t>LINKÖPING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3479-2023</t>
        </is>
      </c>
      <c r="B5549" s="1" t="n">
        <v>44949</v>
      </c>
      <c r="C5549" s="1" t="n">
        <v>45710</v>
      </c>
      <c r="D5549" t="inlineStr">
        <is>
          <t>ÖSTERGÖTLANDS LÄN</t>
        </is>
      </c>
      <c r="E5549" t="inlineStr">
        <is>
          <t>LINKÖPING</t>
        </is>
      </c>
      <c r="G5549" t="n">
        <v>3.8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3415-2023</t>
        </is>
      </c>
      <c r="B5550" s="1" t="n">
        <v>44949</v>
      </c>
      <c r="C5550" s="1" t="n">
        <v>45710</v>
      </c>
      <c r="D5550" t="inlineStr">
        <is>
          <t>ÖSTERGÖTLANDS LÄN</t>
        </is>
      </c>
      <c r="E5550" t="inlineStr">
        <is>
          <t>FINSPÅNG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3424-2023</t>
        </is>
      </c>
      <c r="B5551" s="1" t="n">
        <v>44949</v>
      </c>
      <c r="C5551" s="1" t="n">
        <v>45710</v>
      </c>
      <c r="D5551" t="inlineStr">
        <is>
          <t>ÖSTERGÖTLANDS LÄN</t>
        </is>
      </c>
      <c r="E5551" t="inlineStr">
        <is>
          <t>KINDA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3440-2023</t>
        </is>
      </c>
      <c r="B5552" s="1" t="n">
        <v>44949</v>
      </c>
      <c r="C5552" s="1" t="n">
        <v>45710</v>
      </c>
      <c r="D5552" t="inlineStr">
        <is>
          <t>ÖSTERGÖTLANDS LÄN</t>
        </is>
      </c>
      <c r="E5552" t="inlineStr">
        <is>
          <t>FINSPÅNG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3474-2023</t>
        </is>
      </c>
      <c r="B5553" s="1" t="n">
        <v>44949</v>
      </c>
      <c r="C5553" s="1" t="n">
        <v>45710</v>
      </c>
      <c r="D5553" t="inlineStr">
        <is>
          <t>ÖSTERGÖTLANDS LÄN</t>
        </is>
      </c>
      <c r="E5553" t="inlineStr">
        <is>
          <t>KINDA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3480-2023</t>
        </is>
      </c>
      <c r="B5554" s="1" t="n">
        <v>44949</v>
      </c>
      <c r="C5554" s="1" t="n">
        <v>45710</v>
      </c>
      <c r="D5554" t="inlineStr">
        <is>
          <t>ÖSTERGÖTLANDS LÄN</t>
        </is>
      </c>
      <c r="E5554" t="inlineStr">
        <is>
          <t>LINKÖPING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3486-2023</t>
        </is>
      </c>
      <c r="B5555" s="1" t="n">
        <v>44949</v>
      </c>
      <c r="C5555" s="1" t="n">
        <v>45710</v>
      </c>
      <c r="D5555" t="inlineStr">
        <is>
          <t>ÖSTERGÖTLANDS LÄN</t>
        </is>
      </c>
      <c r="E5555" t="inlineStr">
        <is>
          <t>KINDA</t>
        </is>
      </c>
      <c r="F5555" t="inlineStr">
        <is>
          <t>Kyrkan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3487-2023</t>
        </is>
      </c>
      <c r="B5556" s="1" t="n">
        <v>44949</v>
      </c>
      <c r="C5556" s="1" t="n">
        <v>45710</v>
      </c>
      <c r="D5556" t="inlineStr">
        <is>
          <t>ÖSTERGÖTLANDS LÄN</t>
        </is>
      </c>
      <c r="E5556" t="inlineStr">
        <is>
          <t>KINDA</t>
        </is>
      </c>
      <c r="F5556" t="inlineStr">
        <is>
          <t>Kyrkan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3776-2023</t>
        </is>
      </c>
      <c r="B5557" s="1" t="n">
        <v>44949</v>
      </c>
      <c r="C5557" s="1" t="n">
        <v>45710</v>
      </c>
      <c r="D5557" t="inlineStr">
        <is>
          <t>ÖSTERGÖTLANDS LÄN</t>
        </is>
      </c>
      <c r="E5557" t="inlineStr">
        <is>
          <t>FINSPÅNG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3568-2023</t>
        </is>
      </c>
      <c r="B5558" s="1" t="n">
        <v>44950</v>
      </c>
      <c r="C5558" s="1" t="n">
        <v>45710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3627-2023</t>
        </is>
      </c>
      <c r="B5559" s="1" t="n">
        <v>44950</v>
      </c>
      <c r="C5559" s="1" t="n">
        <v>45710</v>
      </c>
      <c r="D5559" t="inlineStr">
        <is>
          <t>ÖSTERGÖTLANDS LÄN</t>
        </is>
      </c>
      <c r="E5559" t="inlineStr">
        <is>
          <t>LINKÖPING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3650-2023</t>
        </is>
      </c>
      <c r="B5560" s="1" t="n">
        <v>44950</v>
      </c>
      <c r="C5560" s="1" t="n">
        <v>45710</v>
      </c>
      <c r="D5560" t="inlineStr">
        <is>
          <t>ÖSTERGÖTLANDS LÄN</t>
        </is>
      </c>
      <c r="E5560" t="inlineStr">
        <is>
          <t>NORRKÖPING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3654-2023</t>
        </is>
      </c>
      <c r="B5561" s="1" t="n">
        <v>44950</v>
      </c>
      <c r="C5561" s="1" t="n">
        <v>45710</v>
      </c>
      <c r="D5561" t="inlineStr">
        <is>
          <t>ÖSTERGÖTLANDS LÄN</t>
        </is>
      </c>
      <c r="E5561" t="inlineStr">
        <is>
          <t>MJÖLBY</t>
        </is>
      </c>
      <c r="F5561" t="inlineStr">
        <is>
          <t>Kyrkan</t>
        </is>
      </c>
      <c r="G5561" t="n">
        <v>6.8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3706-2023</t>
        </is>
      </c>
      <c r="B5562" s="1" t="n">
        <v>44951</v>
      </c>
      <c r="C5562" s="1" t="n">
        <v>45710</v>
      </c>
      <c r="D5562" t="inlineStr">
        <is>
          <t>ÖSTERGÖTLANDS LÄN</t>
        </is>
      </c>
      <c r="E5562" t="inlineStr">
        <is>
          <t>NORRKÖPING</t>
        </is>
      </c>
      <c r="F5562" t="inlineStr">
        <is>
          <t>Allmännings- och besparingsskogar</t>
        </is>
      </c>
      <c r="G5562" t="n">
        <v>5.6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3943-2023</t>
        </is>
      </c>
      <c r="B5563" s="1" t="n">
        <v>44950</v>
      </c>
      <c r="C5563" s="1" t="n">
        <v>45710</v>
      </c>
      <c r="D5563" t="inlineStr">
        <is>
          <t>ÖSTERGÖTLANDS LÄN</t>
        </is>
      </c>
      <c r="E5563" t="inlineStr">
        <is>
          <t>SÖDERKÖPING</t>
        </is>
      </c>
      <c r="G5563" t="n">
        <v>5.4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3930-2023</t>
        </is>
      </c>
      <c r="B5564" s="1" t="n">
        <v>44950</v>
      </c>
      <c r="C5564" s="1" t="n">
        <v>45710</v>
      </c>
      <c r="D5564" t="inlineStr">
        <is>
          <t>ÖSTERGÖTLANDS LÄN</t>
        </is>
      </c>
      <c r="E5564" t="inlineStr">
        <is>
          <t>SÖDERKÖPING</t>
        </is>
      </c>
      <c r="G5564" t="n">
        <v>6.5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3753-2023</t>
        </is>
      </c>
      <c r="B5565" s="1" t="n">
        <v>44951</v>
      </c>
      <c r="C5565" s="1" t="n">
        <v>45710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3797-2023</t>
        </is>
      </c>
      <c r="B5566" s="1" t="n">
        <v>44951</v>
      </c>
      <c r="C5566" s="1" t="n">
        <v>45710</v>
      </c>
      <c r="D5566" t="inlineStr">
        <is>
          <t>ÖSTERGÖTLANDS LÄN</t>
        </is>
      </c>
      <c r="E5566" t="inlineStr">
        <is>
          <t>BOXHOLM</t>
        </is>
      </c>
      <c r="G5566" t="n">
        <v>3.4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3711-2023</t>
        </is>
      </c>
      <c r="B5567" s="1" t="n">
        <v>44951</v>
      </c>
      <c r="C5567" s="1" t="n">
        <v>45710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Holmen skog AB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3748-2023</t>
        </is>
      </c>
      <c r="B5568" s="1" t="n">
        <v>44951</v>
      </c>
      <c r="C5568" s="1" t="n">
        <v>45710</v>
      </c>
      <c r="D5568" t="inlineStr">
        <is>
          <t>ÖSTERGÖTLANDS LÄN</t>
        </is>
      </c>
      <c r="E5568" t="inlineStr">
        <is>
          <t>MOTALA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3772-2023</t>
        </is>
      </c>
      <c r="B5569" s="1" t="n">
        <v>44951</v>
      </c>
      <c r="C5569" s="1" t="n">
        <v>45710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3746-2023</t>
        </is>
      </c>
      <c r="B5570" s="1" t="n">
        <v>44951</v>
      </c>
      <c r="C5570" s="1" t="n">
        <v>45710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Holmen skog AB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3762-2023</t>
        </is>
      </c>
      <c r="B5571" s="1" t="n">
        <v>44951</v>
      </c>
      <c r="C5571" s="1" t="n">
        <v>45710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3786-2023</t>
        </is>
      </c>
      <c r="B5572" s="1" t="n">
        <v>44951</v>
      </c>
      <c r="C5572" s="1" t="n">
        <v>45710</v>
      </c>
      <c r="D5572" t="inlineStr">
        <is>
          <t>ÖSTERGÖTLANDS LÄN</t>
        </is>
      </c>
      <c r="E5572" t="inlineStr">
        <is>
          <t>SÖDERKÖPING</t>
        </is>
      </c>
      <c r="G5572" t="n">
        <v>2.3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3796-2023</t>
        </is>
      </c>
      <c r="B5573" s="1" t="n">
        <v>44951</v>
      </c>
      <c r="C5573" s="1" t="n">
        <v>45710</v>
      </c>
      <c r="D5573" t="inlineStr">
        <is>
          <t>ÖSTERGÖTLANDS LÄN</t>
        </is>
      </c>
      <c r="E5573" t="inlineStr">
        <is>
          <t>BOXHOLM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3877-2023</t>
        </is>
      </c>
      <c r="B5574" s="1" t="n">
        <v>44951</v>
      </c>
      <c r="C5574" s="1" t="n">
        <v>45710</v>
      </c>
      <c r="D5574" t="inlineStr">
        <is>
          <t>ÖSTERGÖTLANDS LÄN</t>
        </is>
      </c>
      <c r="E5574" t="inlineStr">
        <is>
          <t>MJÖLBY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3814-2023</t>
        </is>
      </c>
      <c r="B5575" s="1" t="n">
        <v>44951</v>
      </c>
      <c r="C5575" s="1" t="n">
        <v>45710</v>
      </c>
      <c r="D5575" t="inlineStr">
        <is>
          <t>ÖSTERGÖTLANDS LÄN</t>
        </is>
      </c>
      <c r="E5575" t="inlineStr">
        <is>
          <t>KINDA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4161-2023</t>
        </is>
      </c>
      <c r="B5576" s="1" t="n">
        <v>44951</v>
      </c>
      <c r="C5576" s="1" t="n">
        <v>45710</v>
      </c>
      <c r="D5576" t="inlineStr">
        <is>
          <t>ÖSTERGÖTLANDS LÄN</t>
        </is>
      </c>
      <c r="E5576" t="inlineStr">
        <is>
          <t>LINKÖPING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4163-2023</t>
        </is>
      </c>
      <c r="B5577" s="1" t="n">
        <v>44951</v>
      </c>
      <c r="C5577" s="1" t="n">
        <v>45710</v>
      </c>
      <c r="D5577" t="inlineStr">
        <is>
          <t>ÖSTERGÖTLANDS LÄN</t>
        </is>
      </c>
      <c r="E5577" t="inlineStr">
        <is>
          <t>LINKÖPING</t>
        </is>
      </c>
      <c r="G5577" t="n">
        <v>5.9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3905-2023</t>
        </is>
      </c>
      <c r="B5578" s="1" t="n">
        <v>44952</v>
      </c>
      <c r="C5578" s="1" t="n">
        <v>45710</v>
      </c>
      <c r="D5578" t="inlineStr">
        <is>
          <t>ÖSTERGÖTLANDS LÄN</t>
        </is>
      </c>
      <c r="E5578" t="inlineStr">
        <is>
          <t>KINDA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3910-2023</t>
        </is>
      </c>
      <c r="B5579" s="1" t="n">
        <v>44952</v>
      </c>
      <c r="C5579" s="1" t="n">
        <v>45710</v>
      </c>
      <c r="D5579" t="inlineStr">
        <is>
          <t>ÖSTERGÖTLANDS LÄN</t>
        </is>
      </c>
      <c r="E5579" t="inlineStr">
        <is>
          <t>KINDA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3971-2023</t>
        </is>
      </c>
      <c r="B5580" s="1" t="n">
        <v>44952</v>
      </c>
      <c r="C5580" s="1" t="n">
        <v>45710</v>
      </c>
      <c r="D5580" t="inlineStr">
        <is>
          <t>ÖSTERGÖTLANDS LÄN</t>
        </is>
      </c>
      <c r="E5580" t="inlineStr">
        <is>
          <t>KINDA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3993-2023</t>
        </is>
      </c>
      <c r="B5581" s="1" t="n">
        <v>44952</v>
      </c>
      <c r="C5581" s="1" t="n">
        <v>45710</v>
      </c>
      <c r="D5581" t="inlineStr">
        <is>
          <t>ÖSTERGÖTLANDS LÄN</t>
        </is>
      </c>
      <c r="E5581" t="inlineStr">
        <is>
          <t>MOTALA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4089-2023</t>
        </is>
      </c>
      <c r="B5582" s="1" t="n">
        <v>44952</v>
      </c>
      <c r="C5582" s="1" t="n">
        <v>45710</v>
      </c>
      <c r="D5582" t="inlineStr">
        <is>
          <t>ÖSTERGÖTLANDS LÄN</t>
        </is>
      </c>
      <c r="E5582" t="inlineStr">
        <is>
          <t>ÅTVIDABERG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3909-2023</t>
        </is>
      </c>
      <c r="B5583" s="1" t="n">
        <v>44952</v>
      </c>
      <c r="C5583" s="1" t="n">
        <v>45710</v>
      </c>
      <c r="D5583" t="inlineStr">
        <is>
          <t>ÖSTERGÖTLANDS LÄN</t>
        </is>
      </c>
      <c r="E5583" t="inlineStr">
        <is>
          <t>KINDA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3907-2023</t>
        </is>
      </c>
      <c r="B5584" s="1" t="n">
        <v>44952</v>
      </c>
      <c r="C5584" s="1" t="n">
        <v>45710</v>
      </c>
      <c r="D5584" t="inlineStr">
        <is>
          <t>ÖSTERGÖTLANDS LÄN</t>
        </is>
      </c>
      <c r="E5584" t="inlineStr">
        <is>
          <t>KINDA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3911-2023</t>
        </is>
      </c>
      <c r="B5585" s="1" t="n">
        <v>44952</v>
      </c>
      <c r="C5585" s="1" t="n">
        <v>45710</v>
      </c>
      <c r="D5585" t="inlineStr">
        <is>
          <t>ÖSTERGÖTLANDS LÄN</t>
        </is>
      </c>
      <c r="E5585" t="inlineStr">
        <is>
          <t>KINDA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3953-2023</t>
        </is>
      </c>
      <c r="B5586" s="1" t="n">
        <v>44952</v>
      </c>
      <c r="C5586" s="1" t="n">
        <v>45710</v>
      </c>
      <c r="D5586" t="inlineStr">
        <is>
          <t>ÖSTERGÖTLANDS LÄN</t>
        </is>
      </c>
      <c r="E5586" t="inlineStr">
        <is>
          <t>MJÖLBY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3972-2023</t>
        </is>
      </c>
      <c r="B5587" s="1" t="n">
        <v>44952</v>
      </c>
      <c r="C5587" s="1" t="n">
        <v>45710</v>
      </c>
      <c r="D5587" t="inlineStr">
        <is>
          <t>ÖSTERGÖTLANDS LÄN</t>
        </is>
      </c>
      <c r="E5587" t="inlineStr">
        <is>
          <t>KINDA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4029-2023</t>
        </is>
      </c>
      <c r="B5588" s="1" t="n">
        <v>44952</v>
      </c>
      <c r="C5588" s="1" t="n">
        <v>45710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4047-2023</t>
        </is>
      </c>
      <c r="B5589" s="1" t="n">
        <v>44952</v>
      </c>
      <c r="C5589" s="1" t="n">
        <v>45710</v>
      </c>
      <c r="D5589" t="inlineStr">
        <is>
          <t>ÖSTERGÖTLANDS LÄN</t>
        </is>
      </c>
      <c r="E5589" t="inlineStr">
        <is>
          <t>VALDEMARSVIK</t>
        </is>
      </c>
      <c r="G5589" t="n">
        <v>6.5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3908-2023</t>
        </is>
      </c>
      <c r="B5590" s="1" t="n">
        <v>44952</v>
      </c>
      <c r="C5590" s="1" t="n">
        <v>45710</v>
      </c>
      <c r="D5590" t="inlineStr">
        <is>
          <t>ÖSTERGÖTLANDS LÄN</t>
        </is>
      </c>
      <c r="E5590" t="inlineStr">
        <is>
          <t>KINDA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4094-2023</t>
        </is>
      </c>
      <c r="B5591" s="1" t="n">
        <v>44952</v>
      </c>
      <c r="C5591" s="1" t="n">
        <v>45710</v>
      </c>
      <c r="D5591" t="inlineStr">
        <is>
          <t>ÖSTERGÖTLANDS LÄN</t>
        </is>
      </c>
      <c r="E5591" t="inlineStr">
        <is>
          <t>ÅTVIDABERG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4091-2023</t>
        </is>
      </c>
      <c r="B5592" s="1" t="n">
        <v>44952</v>
      </c>
      <c r="C5592" s="1" t="n">
        <v>45710</v>
      </c>
      <c r="D5592" t="inlineStr">
        <is>
          <t>ÖSTERGÖTLANDS LÄN</t>
        </is>
      </c>
      <c r="E5592" t="inlineStr">
        <is>
          <t>ÅTVIDABERG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4659-2023</t>
        </is>
      </c>
      <c r="B5593" s="1" t="n">
        <v>44952</v>
      </c>
      <c r="C5593" s="1" t="n">
        <v>45710</v>
      </c>
      <c r="D5593" t="inlineStr">
        <is>
          <t>ÖSTERGÖTLANDS LÄN</t>
        </is>
      </c>
      <c r="E5593" t="inlineStr">
        <is>
          <t>KINDA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4658-2023</t>
        </is>
      </c>
      <c r="B5594" s="1" t="n">
        <v>44952</v>
      </c>
      <c r="C5594" s="1" t="n">
        <v>45710</v>
      </c>
      <c r="D5594" t="inlineStr">
        <is>
          <t>ÖSTERGÖTLANDS LÄN</t>
        </is>
      </c>
      <c r="E5594" t="inlineStr">
        <is>
          <t>KINDA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4204-2023</t>
        </is>
      </c>
      <c r="B5595" s="1" t="n">
        <v>44953</v>
      </c>
      <c r="C5595" s="1" t="n">
        <v>45710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4139-2023</t>
        </is>
      </c>
      <c r="B5596" s="1" t="n">
        <v>44953</v>
      </c>
      <c r="C5596" s="1" t="n">
        <v>45710</v>
      </c>
      <c r="D5596" t="inlineStr">
        <is>
          <t>ÖSTERGÖTLANDS LÄN</t>
        </is>
      </c>
      <c r="E5596" t="inlineStr">
        <is>
          <t>FINSPÅNG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4255-2023</t>
        </is>
      </c>
      <c r="B5597" s="1" t="n">
        <v>44953</v>
      </c>
      <c r="C5597" s="1" t="n">
        <v>45710</v>
      </c>
      <c r="D5597" t="inlineStr">
        <is>
          <t>ÖSTERGÖTLANDS LÄN</t>
        </is>
      </c>
      <c r="E5597" t="inlineStr">
        <is>
          <t>MOTALA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4269-2023</t>
        </is>
      </c>
      <c r="B5598" s="1" t="n">
        <v>44953</v>
      </c>
      <c r="C5598" s="1" t="n">
        <v>45710</v>
      </c>
      <c r="D5598" t="inlineStr">
        <is>
          <t>ÖSTERGÖTLANDS LÄN</t>
        </is>
      </c>
      <c r="E5598" t="inlineStr">
        <is>
          <t>YDRE</t>
        </is>
      </c>
      <c r="G5598" t="n">
        <v>9.800000000000001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4274-2023</t>
        </is>
      </c>
      <c r="B5599" s="1" t="n">
        <v>44953</v>
      </c>
      <c r="C5599" s="1" t="n">
        <v>45710</v>
      </c>
      <c r="D5599" t="inlineStr">
        <is>
          <t>ÖSTERGÖTLANDS LÄN</t>
        </is>
      </c>
      <c r="E5599" t="inlineStr">
        <is>
          <t>YDRE</t>
        </is>
      </c>
      <c r="G5599" t="n">
        <v>5.2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4280-2023</t>
        </is>
      </c>
      <c r="B5600" s="1" t="n">
        <v>44953</v>
      </c>
      <c r="C5600" s="1" t="n">
        <v>45710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4267-2023</t>
        </is>
      </c>
      <c r="B5601" s="1" t="n">
        <v>44953</v>
      </c>
      <c r="C5601" s="1" t="n">
        <v>45710</v>
      </c>
      <c r="D5601" t="inlineStr">
        <is>
          <t>ÖSTERGÖTLANDS LÄN</t>
        </is>
      </c>
      <c r="E5601" t="inlineStr">
        <is>
          <t>YDRE</t>
        </is>
      </c>
      <c r="G5601" t="n">
        <v>4.9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4277-2023</t>
        </is>
      </c>
      <c r="B5602" s="1" t="n">
        <v>44953</v>
      </c>
      <c r="C5602" s="1" t="n">
        <v>45710</v>
      </c>
      <c r="D5602" t="inlineStr">
        <is>
          <t>ÖSTERGÖTLANDS LÄN</t>
        </is>
      </c>
      <c r="E5602" t="inlineStr">
        <is>
          <t>YDRE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4288-2023</t>
        </is>
      </c>
      <c r="B5603" s="1" t="n">
        <v>44953</v>
      </c>
      <c r="C5603" s="1" t="n">
        <v>45710</v>
      </c>
      <c r="D5603" t="inlineStr">
        <is>
          <t>ÖSTERGÖTLANDS LÄN</t>
        </is>
      </c>
      <c r="E5603" t="inlineStr">
        <is>
          <t>KINDA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4318-2023</t>
        </is>
      </c>
      <c r="B5604" s="1" t="n">
        <v>44953</v>
      </c>
      <c r="C5604" s="1" t="n">
        <v>45710</v>
      </c>
      <c r="D5604" t="inlineStr">
        <is>
          <t>ÖSTERGÖTLANDS LÄN</t>
        </is>
      </c>
      <c r="E5604" t="inlineStr">
        <is>
          <t>SÖDERKÖPING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5086-2023</t>
        </is>
      </c>
      <c r="B5605" s="1" t="n">
        <v>44953</v>
      </c>
      <c r="C5605" s="1" t="n">
        <v>45710</v>
      </c>
      <c r="D5605" t="inlineStr">
        <is>
          <t>ÖSTERGÖTLANDS LÄN</t>
        </is>
      </c>
      <c r="E5605" t="inlineStr">
        <is>
          <t>KINDA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4266-2023</t>
        </is>
      </c>
      <c r="B5606" s="1" t="n">
        <v>44953</v>
      </c>
      <c r="C5606" s="1" t="n">
        <v>45710</v>
      </c>
      <c r="D5606" t="inlineStr">
        <is>
          <t>ÖSTERGÖTLANDS LÄN</t>
        </is>
      </c>
      <c r="E5606" t="inlineStr">
        <is>
          <t>YDRE</t>
        </is>
      </c>
      <c r="G5606" t="n">
        <v>8.6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4271-2023</t>
        </is>
      </c>
      <c r="B5607" s="1" t="n">
        <v>44953</v>
      </c>
      <c r="C5607" s="1" t="n">
        <v>45710</v>
      </c>
      <c r="D5607" t="inlineStr">
        <is>
          <t>ÖSTERGÖTLANDS LÄN</t>
        </is>
      </c>
      <c r="E5607" t="inlineStr">
        <is>
          <t>YDRE</t>
        </is>
      </c>
      <c r="G5607" t="n">
        <v>6.7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4331-2023</t>
        </is>
      </c>
      <c r="B5608" s="1" t="n">
        <v>44953</v>
      </c>
      <c r="C5608" s="1" t="n">
        <v>45710</v>
      </c>
      <c r="D5608" t="inlineStr">
        <is>
          <t>ÖSTERGÖTLANDS LÄN</t>
        </is>
      </c>
      <c r="E5608" t="inlineStr">
        <is>
          <t>VALDEMARSVIK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4254-2023</t>
        </is>
      </c>
      <c r="B5609" s="1" t="n">
        <v>44953</v>
      </c>
      <c r="C5609" s="1" t="n">
        <v>45710</v>
      </c>
      <c r="D5609" t="inlineStr">
        <is>
          <t>ÖSTERGÖTLANDS LÄN</t>
        </is>
      </c>
      <c r="E5609" t="inlineStr">
        <is>
          <t>MOTALA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4270-2023</t>
        </is>
      </c>
      <c r="B5610" s="1" t="n">
        <v>44953</v>
      </c>
      <c r="C5610" s="1" t="n">
        <v>45710</v>
      </c>
      <c r="D5610" t="inlineStr">
        <is>
          <t>ÖSTERGÖTLANDS LÄN</t>
        </is>
      </c>
      <c r="E5610" t="inlineStr">
        <is>
          <t>YDRE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4298-2023</t>
        </is>
      </c>
      <c r="B5611" s="1" t="n">
        <v>44953</v>
      </c>
      <c r="C5611" s="1" t="n">
        <v>45710</v>
      </c>
      <c r="D5611" t="inlineStr">
        <is>
          <t>ÖSTERGÖTLANDS LÄN</t>
        </is>
      </c>
      <c r="E5611" t="inlineStr">
        <is>
          <t>LINKÖPING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4143-2023</t>
        </is>
      </c>
      <c r="B5612" s="1" t="n">
        <v>44953</v>
      </c>
      <c r="C5612" s="1" t="n">
        <v>45710</v>
      </c>
      <c r="D5612" t="inlineStr">
        <is>
          <t>ÖSTERGÖTLANDS LÄN</t>
        </is>
      </c>
      <c r="E5612" t="inlineStr">
        <is>
          <t>VALDEMARSVIK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4494-2023</t>
        </is>
      </c>
      <c r="B5613" s="1" t="n">
        <v>44956</v>
      </c>
      <c r="C5613" s="1" t="n">
        <v>45710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4491-2023</t>
        </is>
      </c>
      <c r="B5614" s="1" t="n">
        <v>44956</v>
      </c>
      <c r="C5614" s="1" t="n">
        <v>45710</v>
      </c>
      <c r="D5614" t="inlineStr">
        <is>
          <t>ÖSTERGÖTLANDS LÄN</t>
        </is>
      </c>
      <c r="E5614" t="inlineStr">
        <is>
          <t>SÖDERKÖPING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4546-2023</t>
        </is>
      </c>
      <c r="B5615" s="1" t="n">
        <v>44956</v>
      </c>
      <c r="C5615" s="1" t="n">
        <v>45710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4460-2023</t>
        </is>
      </c>
      <c r="B5616" s="1" t="n">
        <v>44956</v>
      </c>
      <c r="C5616" s="1" t="n">
        <v>45710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4499-2023</t>
        </is>
      </c>
      <c r="B5617" s="1" t="n">
        <v>44956</v>
      </c>
      <c r="C5617" s="1" t="n">
        <v>45710</v>
      </c>
      <c r="D5617" t="inlineStr">
        <is>
          <t>ÖSTERGÖTLANDS LÄN</t>
        </is>
      </c>
      <c r="E5617" t="inlineStr">
        <is>
          <t>KINDA</t>
        </is>
      </c>
      <c r="G5617" t="n">
        <v>3.8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4555-2023</t>
        </is>
      </c>
      <c r="B5618" s="1" t="n">
        <v>44956</v>
      </c>
      <c r="C5618" s="1" t="n">
        <v>45710</v>
      </c>
      <c r="D5618" t="inlineStr">
        <is>
          <t>ÖSTERGÖTLANDS LÄN</t>
        </is>
      </c>
      <c r="E5618" t="inlineStr">
        <is>
          <t>KINDA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4498-2023</t>
        </is>
      </c>
      <c r="B5619" s="1" t="n">
        <v>44956</v>
      </c>
      <c r="C5619" s="1" t="n">
        <v>45710</v>
      </c>
      <c r="D5619" t="inlineStr">
        <is>
          <t>ÖSTERGÖTLANDS LÄN</t>
        </is>
      </c>
      <c r="E5619" t="inlineStr">
        <is>
          <t>SÖDERKÖPING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4728-2023</t>
        </is>
      </c>
      <c r="B5620" s="1" t="n">
        <v>44957</v>
      </c>
      <c r="C5620" s="1" t="n">
        <v>45710</v>
      </c>
      <c r="D5620" t="inlineStr">
        <is>
          <t>ÖSTERGÖTLANDS LÄN</t>
        </is>
      </c>
      <c r="E5620" t="inlineStr">
        <is>
          <t>MOTALA</t>
        </is>
      </c>
      <c r="F5620" t="inlineStr">
        <is>
          <t>Holmen skog AB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4743-2023</t>
        </is>
      </c>
      <c r="B5621" s="1" t="n">
        <v>44957</v>
      </c>
      <c r="C5621" s="1" t="n">
        <v>45710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4855-2023</t>
        </is>
      </c>
      <c r="B5622" s="1" t="n">
        <v>44957</v>
      </c>
      <c r="C5622" s="1" t="n">
        <v>45710</v>
      </c>
      <c r="D5622" t="inlineStr">
        <is>
          <t>ÖSTERGÖTLANDS LÄN</t>
        </is>
      </c>
      <c r="E5622" t="inlineStr">
        <is>
          <t>VALDEMARSVIK</t>
        </is>
      </c>
      <c r="G5622" t="n">
        <v>4.2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4770-2023</t>
        </is>
      </c>
      <c r="B5623" s="1" t="n">
        <v>44957</v>
      </c>
      <c r="C5623" s="1" t="n">
        <v>45710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4821-2023</t>
        </is>
      </c>
      <c r="B5624" s="1" t="n">
        <v>44957</v>
      </c>
      <c r="C5624" s="1" t="n">
        <v>45710</v>
      </c>
      <c r="D5624" t="inlineStr">
        <is>
          <t>ÖSTERGÖTLANDS LÄN</t>
        </is>
      </c>
      <c r="E5624" t="inlineStr">
        <is>
          <t>MJÖLBY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4826-2023</t>
        </is>
      </c>
      <c r="B5625" s="1" t="n">
        <v>44957</v>
      </c>
      <c r="C5625" s="1" t="n">
        <v>45710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5.1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4860-2023</t>
        </is>
      </c>
      <c r="B5626" s="1" t="n">
        <v>44957</v>
      </c>
      <c r="C5626" s="1" t="n">
        <v>45710</v>
      </c>
      <c r="D5626" t="inlineStr">
        <is>
          <t>ÖSTERGÖTLANDS LÄN</t>
        </is>
      </c>
      <c r="E5626" t="inlineStr">
        <is>
          <t>FINSPÅNG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4856-2023</t>
        </is>
      </c>
      <c r="B5627" s="1" t="n">
        <v>44957</v>
      </c>
      <c r="C5627" s="1" t="n">
        <v>45710</v>
      </c>
      <c r="D5627" t="inlineStr">
        <is>
          <t>ÖSTERGÖTLANDS LÄN</t>
        </is>
      </c>
      <c r="E5627" t="inlineStr">
        <is>
          <t>VALDEMARSVIK</t>
        </is>
      </c>
      <c r="G5627" t="n">
        <v>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5516-2023</t>
        </is>
      </c>
      <c r="B5628" s="1" t="n">
        <v>44957</v>
      </c>
      <c r="C5628" s="1" t="n">
        <v>45710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Allmännings- och besparingsskogar</t>
        </is>
      </c>
      <c r="G5628" t="n">
        <v>12.5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4913-2023</t>
        </is>
      </c>
      <c r="B5629" s="1" t="n">
        <v>44958</v>
      </c>
      <c r="C5629" s="1" t="n">
        <v>45710</v>
      </c>
      <c r="D5629" t="inlineStr">
        <is>
          <t>ÖSTERGÖTLANDS LÄN</t>
        </is>
      </c>
      <c r="E5629" t="inlineStr">
        <is>
          <t>KINDA</t>
        </is>
      </c>
      <c r="G5629" t="n">
        <v>4.5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4908-2023</t>
        </is>
      </c>
      <c r="B5630" s="1" t="n">
        <v>44958</v>
      </c>
      <c r="C5630" s="1" t="n">
        <v>45710</v>
      </c>
      <c r="D5630" t="inlineStr">
        <is>
          <t>ÖSTERGÖTLANDS LÄN</t>
        </is>
      </c>
      <c r="E5630" t="inlineStr">
        <is>
          <t>LINKÖPING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4927-2023</t>
        </is>
      </c>
      <c r="B5631" s="1" t="n">
        <v>44958</v>
      </c>
      <c r="C5631" s="1" t="n">
        <v>45710</v>
      </c>
      <c r="D5631" t="inlineStr">
        <is>
          <t>ÖSTERGÖTLANDS LÄN</t>
        </is>
      </c>
      <c r="E5631" t="inlineStr">
        <is>
          <t>LINKÖPING</t>
        </is>
      </c>
      <c r="G5631" t="n">
        <v>4.9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4982-2023</t>
        </is>
      </c>
      <c r="B5632" s="1" t="n">
        <v>44958</v>
      </c>
      <c r="C5632" s="1" t="n">
        <v>45710</v>
      </c>
      <c r="D5632" t="inlineStr">
        <is>
          <t>ÖSTERGÖTLANDS LÄN</t>
        </is>
      </c>
      <c r="E5632" t="inlineStr">
        <is>
          <t>VALDEMARSVIK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5039-2023</t>
        </is>
      </c>
      <c r="B5633" s="1" t="n">
        <v>44958</v>
      </c>
      <c r="C5633" s="1" t="n">
        <v>45710</v>
      </c>
      <c r="D5633" t="inlineStr">
        <is>
          <t>ÖSTERGÖTLANDS LÄN</t>
        </is>
      </c>
      <c r="E5633" t="inlineStr">
        <is>
          <t>KINDA</t>
        </is>
      </c>
      <c r="G5633" t="n">
        <v>7.5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5073-2023</t>
        </is>
      </c>
      <c r="B5634" s="1" t="n">
        <v>44958</v>
      </c>
      <c r="C5634" s="1" t="n">
        <v>45710</v>
      </c>
      <c r="D5634" t="inlineStr">
        <is>
          <t>ÖSTERGÖTLANDS LÄN</t>
        </is>
      </c>
      <c r="E5634" t="inlineStr">
        <is>
          <t>MOTALA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4914-2023</t>
        </is>
      </c>
      <c r="B5635" s="1" t="n">
        <v>44958</v>
      </c>
      <c r="C5635" s="1" t="n">
        <v>45710</v>
      </c>
      <c r="D5635" t="inlineStr">
        <is>
          <t>ÖSTERGÖTLANDS LÄN</t>
        </is>
      </c>
      <c r="E5635" t="inlineStr">
        <is>
          <t>KINDA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4924-2023</t>
        </is>
      </c>
      <c r="B5636" s="1" t="n">
        <v>44958</v>
      </c>
      <c r="C5636" s="1" t="n">
        <v>45710</v>
      </c>
      <c r="D5636" t="inlineStr">
        <is>
          <t>ÖSTERGÖTLANDS LÄN</t>
        </is>
      </c>
      <c r="E5636" t="inlineStr">
        <is>
          <t>LINKÖPING</t>
        </is>
      </c>
      <c r="G5636" t="n">
        <v>5.8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5093-2023</t>
        </is>
      </c>
      <c r="B5637" s="1" t="n">
        <v>44958</v>
      </c>
      <c r="C5637" s="1" t="n">
        <v>45710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5037-2023</t>
        </is>
      </c>
      <c r="B5638" s="1" t="n">
        <v>44958</v>
      </c>
      <c r="C5638" s="1" t="n">
        <v>45710</v>
      </c>
      <c r="D5638" t="inlineStr">
        <is>
          <t>ÖSTERGÖTLANDS LÄN</t>
        </is>
      </c>
      <c r="E5638" t="inlineStr">
        <is>
          <t>NORRKÖPING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5156-2023</t>
        </is>
      </c>
      <c r="B5639" s="1" t="n">
        <v>44958</v>
      </c>
      <c r="C5639" s="1" t="n">
        <v>45710</v>
      </c>
      <c r="D5639" t="inlineStr">
        <is>
          <t>ÖSTERGÖTLANDS LÄN</t>
        </is>
      </c>
      <c r="E5639" t="inlineStr">
        <is>
          <t>FINSPÅNG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5615-2023</t>
        </is>
      </c>
      <c r="B5640" s="1" t="n">
        <v>44958</v>
      </c>
      <c r="C5640" s="1" t="n">
        <v>45710</v>
      </c>
      <c r="D5640" t="inlineStr">
        <is>
          <t>ÖSTERGÖTLANDS LÄN</t>
        </is>
      </c>
      <c r="E5640" t="inlineStr">
        <is>
          <t>SÖDERKÖPING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5605-2023</t>
        </is>
      </c>
      <c r="B5641" s="1" t="n">
        <v>44958</v>
      </c>
      <c r="C5641" s="1" t="n">
        <v>45710</v>
      </c>
      <c r="D5641" t="inlineStr">
        <is>
          <t>ÖSTERGÖTLANDS LÄN</t>
        </is>
      </c>
      <c r="E5641" t="inlineStr">
        <is>
          <t>NORRKÖPING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5184-2023</t>
        </is>
      </c>
      <c r="B5642" s="1" t="n">
        <v>44959</v>
      </c>
      <c r="C5642" s="1" t="n">
        <v>45710</v>
      </c>
      <c r="D5642" t="inlineStr">
        <is>
          <t>ÖSTERGÖTLANDS LÄN</t>
        </is>
      </c>
      <c r="E5642" t="inlineStr">
        <is>
          <t>KINDA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5229-2023</t>
        </is>
      </c>
      <c r="B5643" s="1" t="n">
        <v>44959</v>
      </c>
      <c r="C5643" s="1" t="n">
        <v>45710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4.2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5275-2023</t>
        </is>
      </c>
      <c r="B5644" s="1" t="n">
        <v>44959</v>
      </c>
      <c r="C5644" s="1" t="n">
        <v>45710</v>
      </c>
      <c r="D5644" t="inlineStr">
        <is>
          <t>ÖSTERGÖTLANDS LÄN</t>
        </is>
      </c>
      <c r="E5644" t="inlineStr">
        <is>
          <t>KINDA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5325-2023</t>
        </is>
      </c>
      <c r="B5645" s="1" t="n">
        <v>44959</v>
      </c>
      <c r="C5645" s="1" t="n">
        <v>45710</v>
      </c>
      <c r="D5645" t="inlineStr">
        <is>
          <t>ÖSTERGÖTLANDS LÄN</t>
        </is>
      </c>
      <c r="E5645" t="inlineStr">
        <is>
          <t>LINKÖPING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5185-2023</t>
        </is>
      </c>
      <c r="B5646" s="1" t="n">
        <v>44959</v>
      </c>
      <c r="C5646" s="1" t="n">
        <v>45710</v>
      </c>
      <c r="D5646" t="inlineStr">
        <is>
          <t>ÖSTERGÖTLANDS LÄN</t>
        </is>
      </c>
      <c r="E5646" t="inlineStr">
        <is>
          <t>YDRE</t>
        </is>
      </c>
      <c r="G5646" t="n">
        <v>7.6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5425-2023</t>
        </is>
      </c>
      <c r="B5647" s="1" t="n">
        <v>44959</v>
      </c>
      <c r="C5647" s="1" t="n">
        <v>45710</v>
      </c>
      <c r="D5647" t="inlineStr">
        <is>
          <t>ÖSTERGÖTLANDS LÄN</t>
        </is>
      </c>
      <c r="E5647" t="inlineStr">
        <is>
          <t>LINKÖPING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5323-2023</t>
        </is>
      </c>
      <c r="B5648" s="1" t="n">
        <v>44959</v>
      </c>
      <c r="C5648" s="1" t="n">
        <v>45710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5426-2023</t>
        </is>
      </c>
      <c r="B5649" s="1" t="n">
        <v>44959</v>
      </c>
      <c r="C5649" s="1" t="n">
        <v>45710</v>
      </c>
      <c r="D5649" t="inlineStr">
        <is>
          <t>ÖSTERGÖTLANDS LÄN</t>
        </is>
      </c>
      <c r="E5649" t="inlineStr">
        <is>
          <t>LINKÖPING</t>
        </is>
      </c>
      <c r="G5649" t="n">
        <v>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5649-2023</t>
        </is>
      </c>
      <c r="B5650" s="1" t="n">
        <v>44960</v>
      </c>
      <c r="C5650" s="1" t="n">
        <v>45710</v>
      </c>
      <c r="D5650" t="inlineStr">
        <is>
          <t>ÖSTERGÖTLANDS LÄN</t>
        </is>
      </c>
      <c r="E5650" t="inlineStr">
        <is>
          <t>KINDA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5641-2023</t>
        </is>
      </c>
      <c r="B5651" s="1" t="n">
        <v>44960</v>
      </c>
      <c r="C5651" s="1" t="n">
        <v>45710</v>
      </c>
      <c r="D5651" t="inlineStr">
        <is>
          <t>ÖSTERGÖTLANDS LÄN</t>
        </is>
      </c>
      <c r="E5651" t="inlineStr">
        <is>
          <t>LINKÖPING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5656-2023</t>
        </is>
      </c>
      <c r="B5652" s="1" t="n">
        <v>44960</v>
      </c>
      <c r="C5652" s="1" t="n">
        <v>45710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5665-2023</t>
        </is>
      </c>
      <c r="B5653" s="1" t="n">
        <v>44960</v>
      </c>
      <c r="C5653" s="1" t="n">
        <v>45710</v>
      </c>
      <c r="D5653" t="inlineStr">
        <is>
          <t>ÖSTERGÖTLANDS LÄN</t>
        </is>
      </c>
      <c r="E5653" t="inlineStr">
        <is>
          <t>KINDA</t>
        </is>
      </c>
      <c r="G5653" t="n">
        <v>6.7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5816-2023</t>
        </is>
      </c>
      <c r="B5654" s="1" t="n">
        <v>44963</v>
      </c>
      <c r="C5654" s="1" t="n">
        <v>45710</v>
      </c>
      <c r="D5654" t="inlineStr">
        <is>
          <t>ÖSTERGÖTLANDS LÄN</t>
        </is>
      </c>
      <c r="E5654" t="inlineStr">
        <is>
          <t>KINDA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5864-2023</t>
        </is>
      </c>
      <c r="B5655" s="1" t="n">
        <v>44963</v>
      </c>
      <c r="C5655" s="1" t="n">
        <v>45710</v>
      </c>
      <c r="D5655" t="inlineStr">
        <is>
          <t>ÖSTERGÖTLANDS LÄN</t>
        </is>
      </c>
      <c r="E5655" t="inlineStr">
        <is>
          <t>ÖDESHÖG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5918-2023</t>
        </is>
      </c>
      <c r="B5656" s="1" t="n">
        <v>44963</v>
      </c>
      <c r="C5656" s="1" t="n">
        <v>45710</v>
      </c>
      <c r="D5656" t="inlineStr">
        <is>
          <t>ÖSTERGÖTLANDS LÄN</t>
        </is>
      </c>
      <c r="E5656" t="inlineStr">
        <is>
          <t>KINDA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5909-2023</t>
        </is>
      </c>
      <c r="B5657" s="1" t="n">
        <v>44963</v>
      </c>
      <c r="C5657" s="1" t="n">
        <v>45710</v>
      </c>
      <c r="D5657" t="inlineStr">
        <is>
          <t>ÖSTERGÖTLANDS LÄN</t>
        </is>
      </c>
      <c r="E5657" t="inlineStr">
        <is>
          <t>BOXHOLM</t>
        </is>
      </c>
      <c r="F5657" t="inlineStr">
        <is>
          <t>Övriga Aktiebolag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6021-2023</t>
        </is>
      </c>
      <c r="B5658" s="1" t="n">
        <v>44964</v>
      </c>
      <c r="C5658" s="1" t="n">
        <v>45710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6035-2023</t>
        </is>
      </c>
      <c r="B5659" s="1" t="n">
        <v>44964</v>
      </c>
      <c r="C5659" s="1" t="n">
        <v>45710</v>
      </c>
      <c r="D5659" t="inlineStr">
        <is>
          <t>ÖSTERGÖTLANDS LÄN</t>
        </is>
      </c>
      <c r="E5659" t="inlineStr">
        <is>
          <t>SÖDERKÖPING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6154-2023</t>
        </is>
      </c>
      <c r="B5660" s="1" t="n">
        <v>44964</v>
      </c>
      <c r="C5660" s="1" t="n">
        <v>45710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6220-2023</t>
        </is>
      </c>
      <c r="B5661" s="1" t="n">
        <v>44964</v>
      </c>
      <c r="C5661" s="1" t="n">
        <v>45710</v>
      </c>
      <c r="D5661" t="inlineStr">
        <is>
          <t>ÖSTERGÖTLANDS LÄN</t>
        </is>
      </c>
      <c r="E5661" t="inlineStr">
        <is>
          <t>ÅTVIDABERG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6923-2023</t>
        </is>
      </c>
      <c r="B5662" s="1" t="n">
        <v>44964</v>
      </c>
      <c r="C5662" s="1" t="n">
        <v>45710</v>
      </c>
      <c r="D5662" t="inlineStr">
        <is>
          <t>ÖSTERGÖTLANDS LÄN</t>
        </is>
      </c>
      <c r="E5662" t="inlineStr">
        <is>
          <t>LINKÖPING</t>
        </is>
      </c>
      <c r="F5662" t="inlineStr">
        <is>
          <t>Kommuner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6077-2023</t>
        </is>
      </c>
      <c r="B5663" s="1" t="n">
        <v>44964</v>
      </c>
      <c r="C5663" s="1" t="n">
        <v>45710</v>
      </c>
      <c r="D5663" t="inlineStr">
        <is>
          <t>ÖSTERGÖTLANDS LÄN</t>
        </is>
      </c>
      <c r="E5663" t="inlineStr">
        <is>
          <t>LINKÖPING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6098-2023</t>
        </is>
      </c>
      <c r="B5664" s="1" t="n">
        <v>44964</v>
      </c>
      <c r="C5664" s="1" t="n">
        <v>45710</v>
      </c>
      <c r="D5664" t="inlineStr">
        <is>
          <t>ÖSTERGÖTLANDS LÄN</t>
        </is>
      </c>
      <c r="E5664" t="inlineStr">
        <is>
          <t>KINDA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6105-2023</t>
        </is>
      </c>
      <c r="B5665" s="1" t="n">
        <v>44964</v>
      </c>
      <c r="C5665" s="1" t="n">
        <v>45710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6170-2023</t>
        </is>
      </c>
      <c r="B5666" s="1" t="n">
        <v>44964</v>
      </c>
      <c r="C5666" s="1" t="n">
        <v>45710</v>
      </c>
      <c r="D5666" t="inlineStr">
        <is>
          <t>ÖSTERGÖTLANDS LÄN</t>
        </is>
      </c>
      <c r="E5666" t="inlineStr">
        <is>
          <t>SÖDERKÖPING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6221-2023</t>
        </is>
      </c>
      <c r="B5667" s="1" t="n">
        <v>44964</v>
      </c>
      <c r="C5667" s="1" t="n">
        <v>45710</v>
      </c>
      <c r="D5667" t="inlineStr">
        <is>
          <t>ÖSTERGÖTLANDS LÄN</t>
        </is>
      </c>
      <c r="E5667" t="inlineStr">
        <is>
          <t>ÅTVIDABERG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6226-2023</t>
        </is>
      </c>
      <c r="B5668" s="1" t="n">
        <v>44964</v>
      </c>
      <c r="C5668" s="1" t="n">
        <v>45710</v>
      </c>
      <c r="D5668" t="inlineStr">
        <is>
          <t>ÖSTERGÖTLANDS LÄN</t>
        </is>
      </c>
      <c r="E5668" t="inlineStr">
        <is>
          <t>ÅTVIDABERG</t>
        </is>
      </c>
      <c r="G5668" t="n">
        <v>4.9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6350-2023</t>
        </is>
      </c>
      <c r="B5669" s="1" t="n">
        <v>44965</v>
      </c>
      <c r="C5669" s="1" t="n">
        <v>45710</v>
      </c>
      <c r="D5669" t="inlineStr">
        <is>
          <t>ÖSTERGÖTLANDS LÄN</t>
        </is>
      </c>
      <c r="E5669" t="inlineStr">
        <is>
          <t>SÖDERKÖPING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6357-2023</t>
        </is>
      </c>
      <c r="B5670" s="1" t="n">
        <v>44965</v>
      </c>
      <c r="C5670" s="1" t="n">
        <v>45710</v>
      </c>
      <c r="D5670" t="inlineStr">
        <is>
          <t>ÖSTERGÖTLANDS LÄN</t>
        </is>
      </c>
      <c r="E5670" t="inlineStr">
        <is>
          <t>VALDEMARSVIK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6261-2023</t>
        </is>
      </c>
      <c r="B5671" s="1" t="n">
        <v>44965</v>
      </c>
      <c r="C5671" s="1" t="n">
        <v>45710</v>
      </c>
      <c r="D5671" t="inlineStr">
        <is>
          <t>ÖSTERGÖTLANDS LÄN</t>
        </is>
      </c>
      <c r="E5671" t="inlineStr">
        <is>
          <t>NORRKÖPING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6404-2023</t>
        </is>
      </c>
      <c r="B5672" s="1" t="n">
        <v>44965</v>
      </c>
      <c r="C5672" s="1" t="n">
        <v>45710</v>
      </c>
      <c r="D5672" t="inlineStr">
        <is>
          <t>ÖSTERGÖTLANDS LÄN</t>
        </is>
      </c>
      <c r="E5672" t="inlineStr">
        <is>
          <t>KINDA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6408-2023</t>
        </is>
      </c>
      <c r="B5673" s="1" t="n">
        <v>44965</v>
      </c>
      <c r="C5673" s="1" t="n">
        <v>45710</v>
      </c>
      <c r="D5673" t="inlineStr">
        <is>
          <t>ÖSTERGÖTLANDS LÄN</t>
        </is>
      </c>
      <c r="E5673" t="inlineStr">
        <is>
          <t>YDRE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6370-2023</t>
        </is>
      </c>
      <c r="B5674" s="1" t="n">
        <v>44965</v>
      </c>
      <c r="C5674" s="1" t="n">
        <v>45710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Naturvårdsverket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6356-2023</t>
        </is>
      </c>
      <c r="B5675" s="1" t="n">
        <v>44965</v>
      </c>
      <c r="C5675" s="1" t="n">
        <v>45710</v>
      </c>
      <c r="D5675" t="inlineStr">
        <is>
          <t>ÖSTERGÖTLANDS LÄN</t>
        </is>
      </c>
      <c r="E5675" t="inlineStr">
        <is>
          <t>VALDEMARSVIK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6372-2023</t>
        </is>
      </c>
      <c r="B5676" s="1" t="n">
        <v>44965</v>
      </c>
      <c r="C5676" s="1" t="n">
        <v>45710</v>
      </c>
      <c r="D5676" t="inlineStr">
        <is>
          <t>ÖSTERGÖTLANDS LÄN</t>
        </is>
      </c>
      <c r="E5676" t="inlineStr">
        <is>
          <t>ÅTVIDABERG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6407-2023</t>
        </is>
      </c>
      <c r="B5677" s="1" t="n">
        <v>44965</v>
      </c>
      <c r="C5677" s="1" t="n">
        <v>45710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6369-2023</t>
        </is>
      </c>
      <c r="B5678" s="1" t="n">
        <v>44965</v>
      </c>
      <c r="C5678" s="1" t="n">
        <v>45710</v>
      </c>
      <c r="D5678" t="inlineStr">
        <is>
          <t>ÖSTERGÖTLANDS LÄN</t>
        </is>
      </c>
      <c r="E5678" t="inlineStr">
        <is>
          <t>LINKÖPING</t>
        </is>
      </c>
      <c r="G5678" t="n">
        <v>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6419-2023</t>
        </is>
      </c>
      <c r="B5679" s="1" t="n">
        <v>44965</v>
      </c>
      <c r="C5679" s="1" t="n">
        <v>45710</v>
      </c>
      <c r="D5679" t="inlineStr">
        <is>
          <t>ÖSTERGÖTLANDS LÄN</t>
        </is>
      </c>
      <c r="E5679" t="inlineStr">
        <is>
          <t>SÖDERKÖPING</t>
        </is>
      </c>
      <c r="G5679" t="n">
        <v>5.4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6535-2023</t>
        </is>
      </c>
      <c r="B5680" s="1" t="n">
        <v>44966</v>
      </c>
      <c r="C5680" s="1" t="n">
        <v>45710</v>
      </c>
      <c r="D5680" t="inlineStr">
        <is>
          <t>ÖSTERGÖTLANDS LÄN</t>
        </is>
      </c>
      <c r="E5680" t="inlineStr">
        <is>
          <t>SÖDERKÖPING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6540-2023</t>
        </is>
      </c>
      <c r="B5681" s="1" t="n">
        <v>44966</v>
      </c>
      <c r="C5681" s="1" t="n">
        <v>45710</v>
      </c>
      <c r="D5681" t="inlineStr">
        <is>
          <t>ÖSTERGÖTLANDS LÄN</t>
        </is>
      </c>
      <c r="E5681" t="inlineStr">
        <is>
          <t>SÖDERKÖPING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6546-2023</t>
        </is>
      </c>
      <c r="B5682" s="1" t="n">
        <v>44966</v>
      </c>
      <c r="C5682" s="1" t="n">
        <v>45710</v>
      </c>
      <c r="D5682" t="inlineStr">
        <is>
          <t>ÖSTERGÖTLANDS LÄN</t>
        </is>
      </c>
      <c r="E5682" t="inlineStr">
        <is>
          <t>SÖDERKÖPING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6571-2023</t>
        </is>
      </c>
      <c r="B5683" s="1" t="n">
        <v>44966</v>
      </c>
      <c r="C5683" s="1" t="n">
        <v>45710</v>
      </c>
      <c r="D5683" t="inlineStr">
        <is>
          <t>ÖSTERGÖTLANDS LÄN</t>
        </is>
      </c>
      <c r="E5683" t="inlineStr">
        <is>
          <t>SÖDERKÖPING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6628-2023</t>
        </is>
      </c>
      <c r="B5684" s="1" t="n">
        <v>44966</v>
      </c>
      <c r="C5684" s="1" t="n">
        <v>45710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Övriga Aktiebolag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6636-2023</t>
        </is>
      </c>
      <c r="B5685" s="1" t="n">
        <v>44966</v>
      </c>
      <c r="C5685" s="1" t="n">
        <v>45710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3.4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6685-2023</t>
        </is>
      </c>
      <c r="B5686" s="1" t="n">
        <v>44966</v>
      </c>
      <c r="C5686" s="1" t="n">
        <v>45710</v>
      </c>
      <c r="D5686" t="inlineStr">
        <is>
          <t>ÖSTERGÖTLANDS LÄN</t>
        </is>
      </c>
      <c r="E5686" t="inlineStr">
        <is>
          <t>FINSPÅNG</t>
        </is>
      </c>
      <c r="G5686" t="n">
        <v>13.6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6518-2023</t>
        </is>
      </c>
      <c r="B5687" s="1" t="n">
        <v>44966</v>
      </c>
      <c r="C5687" s="1" t="n">
        <v>45710</v>
      </c>
      <c r="D5687" t="inlineStr">
        <is>
          <t>ÖSTERGÖTLANDS LÄN</t>
        </is>
      </c>
      <c r="E5687" t="inlineStr">
        <is>
          <t>NORRKÖPING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6642-2023</t>
        </is>
      </c>
      <c r="B5688" s="1" t="n">
        <v>44966</v>
      </c>
      <c r="C5688" s="1" t="n">
        <v>45710</v>
      </c>
      <c r="D5688" t="inlineStr">
        <is>
          <t>ÖSTERGÖTLANDS LÄN</t>
        </is>
      </c>
      <c r="E5688" t="inlineStr">
        <is>
          <t>LINKÖPING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6738-2023</t>
        </is>
      </c>
      <c r="B5689" s="1" t="n">
        <v>44966</v>
      </c>
      <c r="C5689" s="1" t="n">
        <v>45710</v>
      </c>
      <c r="D5689" t="inlineStr">
        <is>
          <t>ÖSTERGÖTLANDS LÄN</t>
        </is>
      </c>
      <c r="E5689" t="inlineStr">
        <is>
          <t>FINSPÅNG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6527-2023</t>
        </is>
      </c>
      <c r="B5690" s="1" t="n">
        <v>44966</v>
      </c>
      <c r="C5690" s="1" t="n">
        <v>45710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6533-2023</t>
        </is>
      </c>
      <c r="B5691" s="1" t="n">
        <v>44966</v>
      </c>
      <c r="C5691" s="1" t="n">
        <v>45710</v>
      </c>
      <c r="D5691" t="inlineStr">
        <is>
          <t>ÖSTERGÖTLANDS LÄN</t>
        </is>
      </c>
      <c r="E5691" t="inlineStr">
        <is>
          <t>SÖDERKÖPING</t>
        </is>
      </c>
      <c r="G5691" t="n">
        <v>5.1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6542-2023</t>
        </is>
      </c>
      <c r="B5692" s="1" t="n">
        <v>44966</v>
      </c>
      <c r="C5692" s="1" t="n">
        <v>45710</v>
      </c>
      <c r="D5692" t="inlineStr">
        <is>
          <t>ÖSTERGÖTLANDS LÄN</t>
        </is>
      </c>
      <c r="E5692" t="inlineStr">
        <is>
          <t>SÖDERKÖPING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6589-2023</t>
        </is>
      </c>
      <c r="B5693" s="1" t="n">
        <v>44966</v>
      </c>
      <c r="C5693" s="1" t="n">
        <v>45710</v>
      </c>
      <c r="D5693" t="inlineStr">
        <is>
          <t>ÖSTERGÖTLANDS LÄN</t>
        </is>
      </c>
      <c r="E5693" t="inlineStr">
        <is>
          <t>FINSPÅNG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6599-2023</t>
        </is>
      </c>
      <c r="B5694" s="1" t="n">
        <v>44966</v>
      </c>
      <c r="C5694" s="1" t="n">
        <v>45710</v>
      </c>
      <c r="D5694" t="inlineStr">
        <is>
          <t>ÖSTERGÖTLANDS LÄN</t>
        </is>
      </c>
      <c r="E5694" t="inlineStr">
        <is>
          <t>LINKÖPING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6659-2023</t>
        </is>
      </c>
      <c r="B5695" s="1" t="n">
        <v>44966</v>
      </c>
      <c r="C5695" s="1" t="n">
        <v>45710</v>
      </c>
      <c r="D5695" t="inlineStr">
        <is>
          <t>ÖSTERGÖTLANDS LÄN</t>
        </is>
      </c>
      <c r="E5695" t="inlineStr">
        <is>
          <t>SÖDERKÖPING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6666-2023</t>
        </is>
      </c>
      <c r="B5696" s="1" t="n">
        <v>44966</v>
      </c>
      <c r="C5696" s="1" t="n">
        <v>45710</v>
      </c>
      <c r="D5696" t="inlineStr">
        <is>
          <t>ÖSTERGÖTLANDS LÄN</t>
        </is>
      </c>
      <c r="E5696" t="inlineStr">
        <is>
          <t>SÖDERKÖPING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6663-2023</t>
        </is>
      </c>
      <c r="B5697" s="1" t="n">
        <v>44966</v>
      </c>
      <c r="C5697" s="1" t="n">
        <v>45710</v>
      </c>
      <c r="D5697" t="inlineStr">
        <is>
          <t>ÖSTERGÖTLANDS LÄN</t>
        </is>
      </c>
      <c r="E5697" t="inlineStr">
        <is>
          <t>SÖDERKÖPING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6697-2023</t>
        </is>
      </c>
      <c r="B5698" s="1" t="n">
        <v>44966</v>
      </c>
      <c r="C5698" s="1" t="n">
        <v>45710</v>
      </c>
      <c r="D5698" t="inlineStr">
        <is>
          <t>ÖSTERGÖTLANDS LÄN</t>
        </is>
      </c>
      <c r="E5698" t="inlineStr">
        <is>
          <t>FINSPÅNG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6727-2023</t>
        </is>
      </c>
      <c r="B5699" s="1" t="n">
        <v>44966</v>
      </c>
      <c r="C5699" s="1" t="n">
        <v>45710</v>
      </c>
      <c r="D5699" t="inlineStr">
        <is>
          <t>ÖSTERGÖTLANDS LÄN</t>
        </is>
      </c>
      <c r="E5699" t="inlineStr">
        <is>
          <t>FINSPÅNG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6723-2023</t>
        </is>
      </c>
      <c r="B5700" s="1" t="n">
        <v>44966</v>
      </c>
      <c r="C5700" s="1" t="n">
        <v>45710</v>
      </c>
      <c r="D5700" t="inlineStr">
        <is>
          <t>ÖSTERGÖTLANDS LÄN</t>
        </is>
      </c>
      <c r="E5700" t="inlineStr">
        <is>
          <t>FINSPÅNG</t>
        </is>
      </c>
      <c r="G5700" t="n">
        <v>4.8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6731-2023</t>
        </is>
      </c>
      <c r="B5701" s="1" t="n">
        <v>44966</v>
      </c>
      <c r="C5701" s="1" t="n">
        <v>45710</v>
      </c>
      <c r="D5701" t="inlineStr">
        <is>
          <t>ÖSTERGÖTLANDS LÄN</t>
        </is>
      </c>
      <c r="E5701" t="inlineStr">
        <is>
          <t>FINSPÅNG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6735-2023</t>
        </is>
      </c>
      <c r="B5702" s="1" t="n">
        <v>44966</v>
      </c>
      <c r="C5702" s="1" t="n">
        <v>45710</v>
      </c>
      <c r="D5702" t="inlineStr">
        <is>
          <t>ÖSTERGÖTLANDS LÄN</t>
        </is>
      </c>
      <c r="E5702" t="inlineStr">
        <is>
          <t>FINSPÅNG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6757-2023</t>
        </is>
      </c>
      <c r="B5703" s="1" t="n">
        <v>44966</v>
      </c>
      <c r="C5703" s="1" t="n">
        <v>45710</v>
      </c>
      <c r="D5703" t="inlineStr">
        <is>
          <t>ÖSTERGÖTLANDS LÄN</t>
        </is>
      </c>
      <c r="E5703" t="inlineStr">
        <is>
          <t>YDRE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6733-2023</t>
        </is>
      </c>
      <c r="B5704" s="1" t="n">
        <v>44966</v>
      </c>
      <c r="C5704" s="1" t="n">
        <v>45710</v>
      </c>
      <c r="D5704" t="inlineStr">
        <is>
          <t>ÖSTERGÖTLANDS LÄN</t>
        </is>
      </c>
      <c r="E5704" t="inlineStr">
        <is>
          <t>FINSPÅNG</t>
        </is>
      </c>
      <c r="G5704" t="n">
        <v>8.5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6759-2023</t>
        </is>
      </c>
      <c r="B5705" s="1" t="n">
        <v>44966</v>
      </c>
      <c r="C5705" s="1" t="n">
        <v>45710</v>
      </c>
      <c r="D5705" t="inlineStr">
        <is>
          <t>ÖSTERGÖTLANDS LÄN</t>
        </is>
      </c>
      <c r="E5705" t="inlineStr">
        <is>
          <t>YDRE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6756-2023</t>
        </is>
      </c>
      <c r="B5706" s="1" t="n">
        <v>44966</v>
      </c>
      <c r="C5706" s="1" t="n">
        <v>45710</v>
      </c>
      <c r="D5706" t="inlineStr">
        <is>
          <t>ÖSTERGÖTLANDS LÄN</t>
        </is>
      </c>
      <c r="E5706" t="inlineStr">
        <is>
          <t>YDRE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6736-2023</t>
        </is>
      </c>
      <c r="B5707" s="1" t="n">
        <v>44966</v>
      </c>
      <c r="C5707" s="1" t="n">
        <v>45710</v>
      </c>
      <c r="D5707" t="inlineStr">
        <is>
          <t>ÖSTERGÖTLANDS LÄN</t>
        </is>
      </c>
      <c r="E5707" t="inlineStr">
        <is>
          <t>FINSPÅNG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6813-2023</t>
        </is>
      </c>
      <c r="B5708" s="1" t="n">
        <v>44967</v>
      </c>
      <c r="C5708" s="1" t="n">
        <v>45710</v>
      </c>
      <c r="D5708" t="inlineStr">
        <is>
          <t>ÖSTERGÖTLANDS LÄN</t>
        </is>
      </c>
      <c r="E5708" t="inlineStr">
        <is>
          <t>LINKÖPING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6884-2023</t>
        </is>
      </c>
      <c r="B5709" s="1" t="n">
        <v>44967</v>
      </c>
      <c r="C5709" s="1" t="n">
        <v>45710</v>
      </c>
      <c r="D5709" t="inlineStr">
        <is>
          <t>ÖSTERGÖTLANDS LÄN</t>
        </is>
      </c>
      <c r="E5709" t="inlineStr">
        <is>
          <t>ÅTVIDABERG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6990-2023</t>
        </is>
      </c>
      <c r="B5710" s="1" t="n">
        <v>44967</v>
      </c>
      <c r="C5710" s="1" t="n">
        <v>45710</v>
      </c>
      <c r="D5710" t="inlineStr">
        <is>
          <t>ÖSTERGÖTLANDS LÄN</t>
        </is>
      </c>
      <c r="E5710" t="inlineStr">
        <is>
          <t>MOTALA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6996-2023</t>
        </is>
      </c>
      <c r="B5711" s="1" t="n">
        <v>44967</v>
      </c>
      <c r="C5711" s="1" t="n">
        <v>45710</v>
      </c>
      <c r="D5711" t="inlineStr">
        <is>
          <t>ÖSTERGÖTLANDS LÄN</t>
        </is>
      </c>
      <c r="E5711" t="inlineStr">
        <is>
          <t>MOTALA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6989-2023</t>
        </is>
      </c>
      <c r="B5712" s="1" t="n">
        <v>44967</v>
      </c>
      <c r="C5712" s="1" t="n">
        <v>45710</v>
      </c>
      <c r="D5712" t="inlineStr">
        <is>
          <t>ÖSTERGÖTLANDS LÄN</t>
        </is>
      </c>
      <c r="E5712" t="inlineStr">
        <is>
          <t>MOTALA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6941-2023</t>
        </is>
      </c>
      <c r="B5713" s="1" t="n">
        <v>44967</v>
      </c>
      <c r="C5713" s="1" t="n">
        <v>45710</v>
      </c>
      <c r="D5713" t="inlineStr">
        <is>
          <t>ÖSTERGÖTLANDS LÄN</t>
        </is>
      </c>
      <c r="E5713" t="inlineStr">
        <is>
          <t>MOTALA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6991-2023</t>
        </is>
      </c>
      <c r="B5714" s="1" t="n">
        <v>44967</v>
      </c>
      <c r="C5714" s="1" t="n">
        <v>45710</v>
      </c>
      <c r="D5714" t="inlineStr">
        <is>
          <t>ÖSTERGÖTLANDS LÄN</t>
        </is>
      </c>
      <c r="E5714" t="inlineStr">
        <is>
          <t>MOTALA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6992-2023</t>
        </is>
      </c>
      <c r="B5715" s="1" t="n">
        <v>44967</v>
      </c>
      <c r="C5715" s="1" t="n">
        <v>45710</v>
      </c>
      <c r="D5715" t="inlineStr">
        <is>
          <t>ÖSTERGÖTLANDS LÄN</t>
        </is>
      </c>
      <c r="E5715" t="inlineStr">
        <is>
          <t>MOTALA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7563-2023</t>
        </is>
      </c>
      <c r="B5716" s="1" t="n">
        <v>44967</v>
      </c>
      <c r="C5716" s="1" t="n">
        <v>45710</v>
      </c>
      <c r="D5716" t="inlineStr">
        <is>
          <t>ÖSTERGÖTLANDS LÄN</t>
        </is>
      </c>
      <c r="E5716" t="inlineStr">
        <is>
          <t>KINDA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7702-2023</t>
        </is>
      </c>
      <c r="B5717" s="1" t="n">
        <v>44967</v>
      </c>
      <c r="C5717" s="1" t="n">
        <v>45710</v>
      </c>
      <c r="D5717" t="inlineStr">
        <is>
          <t>ÖSTERGÖTLANDS LÄN</t>
        </is>
      </c>
      <c r="E5717" t="inlineStr">
        <is>
          <t>LINKÖPING</t>
        </is>
      </c>
      <c r="F5717" t="inlineStr">
        <is>
          <t>Övriga statliga verk och myndigheter</t>
        </is>
      </c>
      <c r="G5717" t="n">
        <v>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7116-2023</t>
        </is>
      </c>
      <c r="B5718" s="1" t="n">
        <v>44970</v>
      </c>
      <c r="C5718" s="1" t="n">
        <v>45710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7132-2023</t>
        </is>
      </c>
      <c r="B5719" s="1" t="n">
        <v>44970</v>
      </c>
      <c r="C5719" s="1" t="n">
        <v>45710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7145-2023</t>
        </is>
      </c>
      <c r="B5720" s="1" t="n">
        <v>44970</v>
      </c>
      <c r="C5720" s="1" t="n">
        <v>45710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7215-2023</t>
        </is>
      </c>
      <c r="B5721" s="1" t="n">
        <v>44970</v>
      </c>
      <c r="C5721" s="1" t="n">
        <v>45710</v>
      </c>
      <c r="D5721" t="inlineStr">
        <is>
          <t>ÖSTERGÖTLANDS LÄN</t>
        </is>
      </c>
      <c r="E5721" t="inlineStr">
        <is>
          <t>ÖDESHÖG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7254-2023</t>
        </is>
      </c>
      <c r="B5722" s="1" t="n">
        <v>44970</v>
      </c>
      <c r="C5722" s="1" t="n">
        <v>45710</v>
      </c>
      <c r="D5722" t="inlineStr">
        <is>
          <t>ÖSTERGÖTLANDS LÄN</t>
        </is>
      </c>
      <c r="E5722" t="inlineStr">
        <is>
          <t>VALDEMARSVIK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7268-2023</t>
        </is>
      </c>
      <c r="B5723" s="1" t="n">
        <v>44970</v>
      </c>
      <c r="C5723" s="1" t="n">
        <v>45710</v>
      </c>
      <c r="D5723" t="inlineStr">
        <is>
          <t>ÖSTERGÖTLANDS LÄN</t>
        </is>
      </c>
      <c r="E5723" t="inlineStr">
        <is>
          <t>NORRKÖPING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7280-2023</t>
        </is>
      </c>
      <c r="B5724" s="1" t="n">
        <v>44970</v>
      </c>
      <c r="C5724" s="1" t="n">
        <v>45710</v>
      </c>
      <c r="D5724" t="inlineStr">
        <is>
          <t>ÖSTERGÖTLANDS LÄN</t>
        </is>
      </c>
      <c r="E5724" t="inlineStr">
        <is>
          <t>KINDA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7266-2023</t>
        </is>
      </c>
      <c r="B5725" s="1" t="n">
        <v>44970</v>
      </c>
      <c r="C5725" s="1" t="n">
        <v>45710</v>
      </c>
      <c r="D5725" t="inlineStr">
        <is>
          <t>ÖSTERGÖTLANDS LÄN</t>
        </is>
      </c>
      <c r="E5725" t="inlineStr">
        <is>
          <t>VALDEMARSVIK</t>
        </is>
      </c>
      <c r="G5725" t="n">
        <v>3.4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7110-2023</t>
        </is>
      </c>
      <c r="B5726" s="1" t="n">
        <v>44970</v>
      </c>
      <c r="C5726" s="1" t="n">
        <v>45710</v>
      </c>
      <c r="D5726" t="inlineStr">
        <is>
          <t>ÖSTERGÖTLANDS LÄN</t>
        </is>
      </c>
      <c r="E5726" t="inlineStr">
        <is>
          <t>VALDEMARSVIK</t>
        </is>
      </c>
      <c r="G5726" t="n">
        <v>6.7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7169-2023</t>
        </is>
      </c>
      <c r="B5727" s="1" t="n">
        <v>44970</v>
      </c>
      <c r="C5727" s="1" t="n">
        <v>45710</v>
      </c>
      <c r="D5727" t="inlineStr">
        <is>
          <t>ÖSTERGÖTLANDS LÄN</t>
        </is>
      </c>
      <c r="E5727" t="inlineStr">
        <is>
          <t>ÅTVIDABERG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7216-2023</t>
        </is>
      </c>
      <c r="B5728" s="1" t="n">
        <v>44970</v>
      </c>
      <c r="C5728" s="1" t="n">
        <v>45710</v>
      </c>
      <c r="D5728" t="inlineStr">
        <is>
          <t>ÖSTERGÖTLANDS LÄN</t>
        </is>
      </c>
      <c r="E5728" t="inlineStr">
        <is>
          <t>KINDA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7270-2023</t>
        </is>
      </c>
      <c r="B5729" s="1" t="n">
        <v>44970</v>
      </c>
      <c r="C5729" s="1" t="n">
        <v>45710</v>
      </c>
      <c r="D5729" t="inlineStr">
        <is>
          <t>ÖSTERGÖTLANDS LÄN</t>
        </is>
      </c>
      <c r="E5729" t="inlineStr">
        <is>
          <t>VALDEMARSVIK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7275-2023</t>
        </is>
      </c>
      <c r="B5730" s="1" t="n">
        <v>44970</v>
      </c>
      <c r="C5730" s="1" t="n">
        <v>45710</v>
      </c>
      <c r="D5730" t="inlineStr">
        <is>
          <t>ÖSTERGÖTLANDS LÄN</t>
        </is>
      </c>
      <c r="E5730" t="inlineStr">
        <is>
          <t>NORRKÖPING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7313-2023</t>
        </is>
      </c>
      <c r="B5731" s="1" t="n">
        <v>44970</v>
      </c>
      <c r="C5731" s="1" t="n">
        <v>45710</v>
      </c>
      <c r="D5731" t="inlineStr">
        <is>
          <t>ÖSTERGÖTLANDS LÄN</t>
        </is>
      </c>
      <c r="E5731" t="inlineStr">
        <is>
          <t>FINSPÅNG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7141-2023</t>
        </is>
      </c>
      <c r="B5732" s="1" t="n">
        <v>44970</v>
      </c>
      <c r="C5732" s="1" t="n">
        <v>45710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7265-2023</t>
        </is>
      </c>
      <c r="B5733" s="1" t="n">
        <v>44970</v>
      </c>
      <c r="C5733" s="1" t="n">
        <v>45710</v>
      </c>
      <c r="D5733" t="inlineStr">
        <is>
          <t>ÖSTERGÖTLANDS LÄN</t>
        </is>
      </c>
      <c r="E5733" t="inlineStr">
        <is>
          <t>NORRKÖPING</t>
        </is>
      </c>
      <c r="G5733" t="n">
        <v>5.9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7271-2023</t>
        </is>
      </c>
      <c r="B5734" s="1" t="n">
        <v>44970</v>
      </c>
      <c r="C5734" s="1" t="n">
        <v>45710</v>
      </c>
      <c r="D5734" t="inlineStr">
        <is>
          <t>ÖSTERGÖTLANDS LÄN</t>
        </is>
      </c>
      <c r="E5734" t="inlineStr">
        <is>
          <t>NORRKÖPING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7844-2023</t>
        </is>
      </c>
      <c r="B5735" s="1" t="n">
        <v>44970</v>
      </c>
      <c r="C5735" s="1" t="n">
        <v>45710</v>
      </c>
      <c r="D5735" t="inlineStr">
        <is>
          <t>ÖSTERGÖTLANDS LÄN</t>
        </is>
      </c>
      <c r="E5735" t="inlineStr">
        <is>
          <t>KINDA</t>
        </is>
      </c>
      <c r="G5735" t="n">
        <v>4.2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7992-2023</t>
        </is>
      </c>
      <c r="B5736" s="1" t="n">
        <v>44970</v>
      </c>
      <c r="C5736" s="1" t="n">
        <v>45710</v>
      </c>
      <c r="D5736" t="inlineStr">
        <is>
          <t>ÖSTERGÖTLANDS LÄN</t>
        </is>
      </c>
      <c r="E5736" t="inlineStr">
        <is>
          <t>LINKÖPING</t>
        </is>
      </c>
      <c r="F5736" t="inlineStr">
        <is>
          <t>Kommuner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7345-2023</t>
        </is>
      </c>
      <c r="B5737" s="1" t="n">
        <v>44971</v>
      </c>
      <c r="C5737" s="1" t="n">
        <v>45710</v>
      </c>
      <c r="D5737" t="inlineStr">
        <is>
          <t>ÖSTERGÖTLANDS LÄN</t>
        </is>
      </c>
      <c r="E5737" t="inlineStr">
        <is>
          <t>MOTALA</t>
        </is>
      </c>
      <c r="F5737" t="inlineStr">
        <is>
          <t>Kyrkan</t>
        </is>
      </c>
      <c r="G5737" t="n">
        <v>6.6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7338-2023</t>
        </is>
      </c>
      <c r="B5738" s="1" t="n">
        <v>44971</v>
      </c>
      <c r="C5738" s="1" t="n">
        <v>45710</v>
      </c>
      <c r="D5738" t="inlineStr">
        <is>
          <t>ÖSTERGÖTLANDS LÄN</t>
        </is>
      </c>
      <c r="E5738" t="inlineStr">
        <is>
          <t>MJÖLBY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7337-2023</t>
        </is>
      </c>
      <c r="B5739" s="1" t="n">
        <v>44971</v>
      </c>
      <c r="C5739" s="1" t="n">
        <v>45710</v>
      </c>
      <c r="D5739" t="inlineStr">
        <is>
          <t>ÖSTERGÖTLANDS LÄN</t>
        </is>
      </c>
      <c r="E5739" t="inlineStr">
        <is>
          <t>MJÖLBY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7501-2023</t>
        </is>
      </c>
      <c r="B5740" s="1" t="n">
        <v>44971</v>
      </c>
      <c r="C5740" s="1" t="n">
        <v>45710</v>
      </c>
      <c r="D5740" t="inlineStr">
        <is>
          <t>ÖSTERGÖTLANDS LÄN</t>
        </is>
      </c>
      <c r="E5740" t="inlineStr">
        <is>
          <t>YDRE</t>
        </is>
      </c>
      <c r="G5740" t="n">
        <v>3.2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7458-2023</t>
        </is>
      </c>
      <c r="B5741" s="1" t="n">
        <v>44971</v>
      </c>
      <c r="C5741" s="1" t="n">
        <v>45710</v>
      </c>
      <c r="D5741" t="inlineStr">
        <is>
          <t>ÖSTERGÖTLANDS LÄN</t>
        </is>
      </c>
      <c r="E5741" t="inlineStr">
        <is>
          <t>YDRE</t>
        </is>
      </c>
      <c r="F5741" t="inlineStr">
        <is>
          <t>Sveaskog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7582-2023</t>
        </is>
      </c>
      <c r="B5742" s="1" t="n">
        <v>44972</v>
      </c>
      <c r="C5742" s="1" t="n">
        <v>45710</v>
      </c>
      <c r="D5742" t="inlineStr">
        <is>
          <t>ÖSTERGÖTLANDS LÄN</t>
        </is>
      </c>
      <c r="E5742" t="inlineStr">
        <is>
          <t>VALDEMARSVIK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7609-2023</t>
        </is>
      </c>
      <c r="B5743" s="1" t="n">
        <v>44972</v>
      </c>
      <c r="C5743" s="1" t="n">
        <v>45710</v>
      </c>
      <c r="D5743" t="inlineStr">
        <is>
          <t>ÖSTERGÖTLANDS LÄN</t>
        </is>
      </c>
      <c r="E5743" t="inlineStr">
        <is>
          <t>ÅTVIDABERG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7647-2023</t>
        </is>
      </c>
      <c r="B5744" s="1" t="n">
        <v>44972</v>
      </c>
      <c r="C5744" s="1" t="n">
        <v>45710</v>
      </c>
      <c r="D5744" t="inlineStr">
        <is>
          <t>ÖSTERGÖTLANDS LÄN</t>
        </is>
      </c>
      <c r="E5744" t="inlineStr">
        <is>
          <t>KINDA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7743-2023</t>
        </is>
      </c>
      <c r="B5745" s="1" t="n">
        <v>44973</v>
      </c>
      <c r="C5745" s="1" t="n">
        <v>45710</v>
      </c>
      <c r="D5745" t="inlineStr">
        <is>
          <t>ÖSTERGÖTLANDS LÄN</t>
        </is>
      </c>
      <c r="E5745" t="inlineStr">
        <is>
          <t>FINSPÅNG</t>
        </is>
      </c>
      <c r="F5745" t="inlineStr">
        <is>
          <t>Holmen skog AB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7788-2023</t>
        </is>
      </c>
      <c r="B5746" s="1" t="n">
        <v>44973</v>
      </c>
      <c r="C5746" s="1" t="n">
        <v>45710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7884-2023</t>
        </is>
      </c>
      <c r="B5747" s="1" t="n">
        <v>44973</v>
      </c>
      <c r="C5747" s="1" t="n">
        <v>45710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7920-2023</t>
        </is>
      </c>
      <c r="B5748" s="1" t="n">
        <v>44973</v>
      </c>
      <c r="C5748" s="1" t="n">
        <v>45710</v>
      </c>
      <c r="D5748" t="inlineStr">
        <is>
          <t>ÖSTERGÖTLANDS LÄN</t>
        </is>
      </c>
      <c r="E5748" t="inlineStr">
        <is>
          <t>LINKÖPING</t>
        </is>
      </c>
      <c r="F5748" t="inlineStr">
        <is>
          <t>Övriga Aktiebolag</t>
        </is>
      </c>
      <c r="G5748" t="n">
        <v>3.6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7937-2023</t>
        </is>
      </c>
      <c r="B5749" s="1" t="n">
        <v>44973</v>
      </c>
      <c r="C5749" s="1" t="n">
        <v>45710</v>
      </c>
      <c r="D5749" t="inlineStr">
        <is>
          <t>ÖSTERGÖTLANDS LÄN</t>
        </is>
      </c>
      <c r="E5749" t="inlineStr">
        <is>
          <t>MOTALA</t>
        </is>
      </c>
      <c r="F5749" t="inlineStr">
        <is>
          <t>Allmännings- och besparingsskogar</t>
        </is>
      </c>
      <c r="G5749" t="n">
        <v>9.5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7935-2023</t>
        </is>
      </c>
      <c r="B5750" s="1" t="n">
        <v>44973</v>
      </c>
      <c r="C5750" s="1" t="n">
        <v>45710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Övriga Aktiebolag</t>
        </is>
      </c>
      <c r="G5750" t="n">
        <v>5.8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7971-2023</t>
        </is>
      </c>
      <c r="B5751" s="1" t="n">
        <v>44973</v>
      </c>
      <c r="C5751" s="1" t="n">
        <v>45710</v>
      </c>
      <c r="D5751" t="inlineStr">
        <is>
          <t>ÖSTERGÖTLANDS LÄN</t>
        </is>
      </c>
      <c r="E5751" t="inlineStr">
        <is>
          <t>ÅTVIDABERG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7976-2023</t>
        </is>
      </c>
      <c r="B5752" s="1" t="n">
        <v>44973</v>
      </c>
      <c r="C5752" s="1" t="n">
        <v>45710</v>
      </c>
      <c r="D5752" t="inlineStr">
        <is>
          <t>ÖSTERGÖTLANDS LÄN</t>
        </is>
      </c>
      <c r="E5752" t="inlineStr">
        <is>
          <t>ÅTVIDABERG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8119-2023</t>
        </is>
      </c>
      <c r="B5753" s="1" t="n">
        <v>44974</v>
      </c>
      <c r="C5753" s="1" t="n">
        <v>45710</v>
      </c>
      <c r="D5753" t="inlineStr">
        <is>
          <t>ÖSTERGÖTLANDS LÄN</t>
        </is>
      </c>
      <c r="E5753" t="inlineStr">
        <is>
          <t>KINDA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8156-2023</t>
        </is>
      </c>
      <c r="B5754" s="1" t="n">
        <v>44974</v>
      </c>
      <c r="C5754" s="1" t="n">
        <v>45710</v>
      </c>
      <c r="D5754" t="inlineStr">
        <is>
          <t>ÖSTERGÖTLANDS LÄN</t>
        </is>
      </c>
      <c r="E5754" t="inlineStr">
        <is>
          <t>SÖDERKÖPING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8158-2023</t>
        </is>
      </c>
      <c r="B5755" s="1" t="n">
        <v>44974</v>
      </c>
      <c r="C5755" s="1" t="n">
        <v>45710</v>
      </c>
      <c r="D5755" t="inlineStr">
        <is>
          <t>ÖSTERGÖTLANDS LÄN</t>
        </is>
      </c>
      <c r="E5755" t="inlineStr">
        <is>
          <t>KINDA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8189-2023</t>
        </is>
      </c>
      <c r="B5756" s="1" t="n">
        <v>44974</v>
      </c>
      <c r="C5756" s="1" t="n">
        <v>45710</v>
      </c>
      <c r="D5756" t="inlineStr">
        <is>
          <t>ÖSTERGÖTLANDS LÄN</t>
        </is>
      </c>
      <c r="E5756" t="inlineStr">
        <is>
          <t>KINDA</t>
        </is>
      </c>
      <c r="F5756" t="inlineStr">
        <is>
          <t>Sveaskog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8188-2023</t>
        </is>
      </c>
      <c r="B5757" s="1" t="n">
        <v>44974</v>
      </c>
      <c r="C5757" s="1" t="n">
        <v>45710</v>
      </c>
      <c r="D5757" t="inlineStr">
        <is>
          <t>ÖSTERGÖTLANDS LÄN</t>
        </is>
      </c>
      <c r="E5757" t="inlineStr">
        <is>
          <t>KINDA</t>
        </is>
      </c>
      <c r="F5757" t="inlineStr">
        <is>
          <t>Sveaskog</t>
        </is>
      </c>
      <c r="G5757" t="n">
        <v>8.5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8231-2023</t>
        </is>
      </c>
      <c r="B5758" s="1" t="n">
        <v>44974</v>
      </c>
      <c r="C5758" s="1" t="n">
        <v>45710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8143-2023</t>
        </is>
      </c>
      <c r="B5759" s="1" t="n">
        <v>44974</v>
      </c>
      <c r="C5759" s="1" t="n">
        <v>45710</v>
      </c>
      <c r="D5759" t="inlineStr">
        <is>
          <t>ÖSTERGÖTLANDS LÄN</t>
        </is>
      </c>
      <c r="E5759" t="inlineStr">
        <is>
          <t>VALDEMARSVIK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8220-2023</t>
        </is>
      </c>
      <c r="B5760" s="1" t="n">
        <v>44974</v>
      </c>
      <c r="C5760" s="1" t="n">
        <v>45710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8321-2023</t>
        </is>
      </c>
      <c r="B5761" s="1" t="n">
        <v>44974</v>
      </c>
      <c r="C5761" s="1" t="n">
        <v>45710</v>
      </c>
      <c r="D5761" t="inlineStr">
        <is>
          <t>ÖSTERGÖTLANDS LÄN</t>
        </is>
      </c>
      <c r="E5761" t="inlineStr">
        <is>
          <t>FINSPÅNG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8233-2023</t>
        </is>
      </c>
      <c r="B5762" s="1" t="n">
        <v>44974</v>
      </c>
      <c r="C5762" s="1" t="n">
        <v>45710</v>
      </c>
      <c r="D5762" t="inlineStr">
        <is>
          <t>ÖSTERGÖTLANDS LÄN</t>
        </is>
      </c>
      <c r="E5762" t="inlineStr">
        <is>
          <t>KINDA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8245-2023</t>
        </is>
      </c>
      <c r="B5763" s="1" t="n">
        <v>44974</v>
      </c>
      <c r="C5763" s="1" t="n">
        <v>45710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8256-2023</t>
        </is>
      </c>
      <c r="B5764" s="1" t="n">
        <v>44974</v>
      </c>
      <c r="C5764" s="1" t="n">
        <v>45710</v>
      </c>
      <c r="D5764" t="inlineStr">
        <is>
          <t>ÖSTERGÖTLANDS LÄN</t>
        </is>
      </c>
      <c r="E5764" t="inlineStr">
        <is>
          <t>ÖDESHÖG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8292-2023</t>
        </is>
      </c>
      <c r="B5765" s="1" t="n">
        <v>44974</v>
      </c>
      <c r="C5765" s="1" t="n">
        <v>45710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8317-2023</t>
        </is>
      </c>
      <c r="B5766" s="1" t="n">
        <v>44974</v>
      </c>
      <c r="C5766" s="1" t="n">
        <v>45710</v>
      </c>
      <c r="D5766" t="inlineStr">
        <is>
          <t>ÖSTERGÖTLANDS LÄN</t>
        </is>
      </c>
      <c r="E5766" t="inlineStr">
        <is>
          <t>FINSPÅNG</t>
        </is>
      </c>
      <c r="G5766" t="n">
        <v>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8320-2023</t>
        </is>
      </c>
      <c r="B5767" s="1" t="n">
        <v>44974</v>
      </c>
      <c r="C5767" s="1" t="n">
        <v>45710</v>
      </c>
      <c r="D5767" t="inlineStr">
        <is>
          <t>ÖSTERGÖTLANDS LÄN</t>
        </is>
      </c>
      <c r="E5767" t="inlineStr">
        <is>
          <t>FINSPÅNG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8987-2023</t>
        </is>
      </c>
      <c r="B5768" s="1" t="n">
        <v>44974</v>
      </c>
      <c r="C5768" s="1" t="n">
        <v>45710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Allmännings- och besparingsskogar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8398-2023</t>
        </is>
      </c>
      <c r="B5769" s="1" t="n">
        <v>44977</v>
      </c>
      <c r="C5769" s="1" t="n">
        <v>45710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8402-2023</t>
        </is>
      </c>
      <c r="B5770" s="1" t="n">
        <v>44977</v>
      </c>
      <c r="C5770" s="1" t="n">
        <v>45710</v>
      </c>
      <c r="D5770" t="inlineStr">
        <is>
          <t>ÖSTERGÖTLANDS LÄN</t>
        </is>
      </c>
      <c r="E5770" t="inlineStr">
        <is>
          <t>MOTALA</t>
        </is>
      </c>
      <c r="F5770" t="inlineStr">
        <is>
          <t>Sveaskog</t>
        </is>
      </c>
      <c r="G5770" t="n">
        <v>3.2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8417-2023</t>
        </is>
      </c>
      <c r="B5771" s="1" t="n">
        <v>44977</v>
      </c>
      <c r="C5771" s="1" t="n">
        <v>45710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8368-2023</t>
        </is>
      </c>
      <c r="B5772" s="1" t="n">
        <v>44977</v>
      </c>
      <c r="C5772" s="1" t="n">
        <v>45710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8433-2023</t>
        </is>
      </c>
      <c r="B5773" s="1" t="n">
        <v>44977</v>
      </c>
      <c r="C5773" s="1" t="n">
        <v>45710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8444-2023</t>
        </is>
      </c>
      <c r="B5774" s="1" t="n">
        <v>44977</v>
      </c>
      <c r="C5774" s="1" t="n">
        <v>45710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8454-2023</t>
        </is>
      </c>
      <c r="B5775" s="1" t="n">
        <v>44977</v>
      </c>
      <c r="C5775" s="1" t="n">
        <v>45710</v>
      </c>
      <c r="D5775" t="inlineStr">
        <is>
          <t>ÖSTERGÖTLANDS LÄN</t>
        </is>
      </c>
      <c r="E5775" t="inlineStr">
        <is>
          <t>NORRKÖPING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8526-2023</t>
        </is>
      </c>
      <c r="B5776" s="1" t="n">
        <v>44977</v>
      </c>
      <c r="C5776" s="1" t="n">
        <v>45710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8508-2023</t>
        </is>
      </c>
      <c r="B5777" s="1" t="n">
        <v>44977</v>
      </c>
      <c r="C5777" s="1" t="n">
        <v>45710</v>
      </c>
      <c r="D5777" t="inlineStr">
        <is>
          <t>ÖSTERGÖTLANDS LÄN</t>
        </is>
      </c>
      <c r="E5777" t="inlineStr">
        <is>
          <t>KINDA</t>
        </is>
      </c>
      <c r="G5777" t="n">
        <v>2.7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8517-2023</t>
        </is>
      </c>
      <c r="B5778" s="1" t="n">
        <v>44977</v>
      </c>
      <c r="C5778" s="1" t="n">
        <v>45710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8569-2023</t>
        </is>
      </c>
      <c r="B5779" s="1" t="n">
        <v>44977</v>
      </c>
      <c r="C5779" s="1" t="n">
        <v>45710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8579-2023</t>
        </is>
      </c>
      <c r="B5780" s="1" t="n">
        <v>44977</v>
      </c>
      <c r="C5780" s="1" t="n">
        <v>45710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8505-2023</t>
        </is>
      </c>
      <c r="B5781" s="1" t="n">
        <v>44977</v>
      </c>
      <c r="C5781" s="1" t="n">
        <v>45710</v>
      </c>
      <c r="D5781" t="inlineStr">
        <is>
          <t>ÖSTERGÖTLANDS LÄN</t>
        </is>
      </c>
      <c r="E5781" t="inlineStr">
        <is>
          <t>KINDA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8509-2023</t>
        </is>
      </c>
      <c r="B5782" s="1" t="n">
        <v>44977</v>
      </c>
      <c r="C5782" s="1" t="n">
        <v>45710</v>
      </c>
      <c r="D5782" t="inlineStr">
        <is>
          <t>ÖSTERGÖTLANDS LÄN</t>
        </is>
      </c>
      <c r="E5782" t="inlineStr">
        <is>
          <t>KINDA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8582-2023</t>
        </is>
      </c>
      <c r="B5783" s="1" t="n">
        <v>44977</v>
      </c>
      <c r="C5783" s="1" t="n">
        <v>45710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8592-2023</t>
        </is>
      </c>
      <c r="B5784" s="1" t="n">
        <v>44977</v>
      </c>
      <c r="C5784" s="1" t="n">
        <v>45710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8596-2023</t>
        </is>
      </c>
      <c r="B5785" s="1" t="n">
        <v>44977</v>
      </c>
      <c r="C5785" s="1" t="n">
        <v>45710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8602-2023</t>
        </is>
      </c>
      <c r="B5786" s="1" t="n">
        <v>44977</v>
      </c>
      <c r="C5786" s="1" t="n">
        <v>45710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9203-2023</t>
        </is>
      </c>
      <c r="B5787" s="1" t="n">
        <v>44977</v>
      </c>
      <c r="C5787" s="1" t="n">
        <v>45710</v>
      </c>
      <c r="D5787" t="inlineStr">
        <is>
          <t>ÖSTERGÖTLANDS LÄN</t>
        </is>
      </c>
      <c r="E5787" t="inlineStr">
        <is>
          <t>KINDA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8782-2023</t>
        </is>
      </c>
      <c r="B5788" s="1" t="n">
        <v>44978</v>
      </c>
      <c r="C5788" s="1" t="n">
        <v>45710</v>
      </c>
      <c r="D5788" t="inlineStr">
        <is>
          <t>ÖSTERGÖTLANDS LÄN</t>
        </is>
      </c>
      <c r="E5788" t="inlineStr">
        <is>
          <t>KINDA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8799-2023</t>
        </is>
      </c>
      <c r="B5789" s="1" t="n">
        <v>44978</v>
      </c>
      <c r="C5789" s="1" t="n">
        <v>45710</v>
      </c>
      <c r="D5789" t="inlineStr">
        <is>
          <t>ÖSTERGÖTLANDS LÄN</t>
        </is>
      </c>
      <c r="E5789" t="inlineStr">
        <is>
          <t>SÖDERKÖPING</t>
        </is>
      </c>
      <c r="F5789" t="inlineStr">
        <is>
          <t>Allmännings- och besparingsskogar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8808-2023</t>
        </is>
      </c>
      <c r="B5790" s="1" t="n">
        <v>44978</v>
      </c>
      <c r="C5790" s="1" t="n">
        <v>45710</v>
      </c>
      <c r="D5790" t="inlineStr">
        <is>
          <t>ÖSTERGÖTLANDS LÄN</t>
        </is>
      </c>
      <c r="E5790" t="inlineStr">
        <is>
          <t>LINKÖPING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8813-2023</t>
        </is>
      </c>
      <c r="B5791" s="1" t="n">
        <v>44978</v>
      </c>
      <c r="C5791" s="1" t="n">
        <v>45710</v>
      </c>
      <c r="D5791" t="inlineStr">
        <is>
          <t>ÖSTERGÖTLANDS LÄN</t>
        </is>
      </c>
      <c r="E5791" t="inlineStr">
        <is>
          <t>KINDA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9952-2023</t>
        </is>
      </c>
      <c r="B5792" s="1" t="n">
        <v>44978</v>
      </c>
      <c r="C5792" s="1" t="n">
        <v>45710</v>
      </c>
      <c r="D5792" t="inlineStr">
        <is>
          <t>ÖSTERGÖTLANDS LÄN</t>
        </is>
      </c>
      <c r="E5792" t="inlineStr">
        <is>
          <t>KINDA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9940-2023</t>
        </is>
      </c>
      <c r="B5793" s="1" t="n">
        <v>44978</v>
      </c>
      <c r="C5793" s="1" t="n">
        <v>45710</v>
      </c>
      <c r="D5793" t="inlineStr">
        <is>
          <t>ÖSTERGÖTLANDS LÄN</t>
        </is>
      </c>
      <c r="E5793" t="inlineStr">
        <is>
          <t>KINDA</t>
        </is>
      </c>
      <c r="G5793" t="n">
        <v>6.6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8965-2023</t>
        </is>
      </c>
      <c r="B5794" s="1" t="n">
        <v>44979</v>
      </c>
      <c r="C5794" s="1" t="n">
        <v>45710</v>
      </c>
      <c r="D5794" t="inlineStr">
        <is>
          <t>ÖSTERGÖTLANDS LÄN</t>
        </is>
      </c>
      <c r="E5794" t="inlineStr">
        <is>
          <t>VALDEMARSVIK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8999-2023</t>
        </is>
      </c>
      <c r="B5795" s="1" t="n">
        <v>44979</v>
      </c>
      <c r="C5795" s="1" t="n">
        <v>45710</v>
      </c>
      <c r="D5795" t="inlineStr">
        <is>
          <t>ÖSTERGÖTLANDS LÄN</t>
        </is>
      </c>
      <c r="E5795" t="inlineStr">
        <is>
          <t>SÖDERKÖPING</t>
        </is>
      </c>
      <c r="F5795" t="inlineStr">
        <is>
          <t>Allmännings- och besparingsskogar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8942-2023</t>
        </is>
      </c>
      <c r="B5796" s="1" t="n">
        <v>44979</v>
      </c>
      <c r="C5796" s="1" t="n">
        <v>45710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8961-2023</t>
        </is>
      </c>
      <c r="B5797" s="1" t="n">
        <v>44979</v>
      </c>
      <c r="C5797" s="1" t="n">
        <v>45710</v>
      </c>
      <c r="D5797" t="inlineStr">
        <is>
          <t>ÖSTERGÖTLANDS LÄN</t>
        </is>
      </c>
      <c r="E5797" t="inlineStr">
        <is>
          <t>VALDEMARSVIK</t>
        </is>
      </c>
      <c r="G5797" t="n">
        <v>3.9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8998-2023</t>
        </is>
      </c>
      <c r="B5798" s="1" t="n">
        <v>44979</v>
      </c>
      <c r="C5798" s="1" t="n">
        <v>45710</v>
      </c>
      <c r="D5798" t="inlineStr">
        <is>
          <t>ÖSTERGÖTLANDS LÄN</t>
        </is>
      </c>
      <c r="E5798" t="inlineStr">
        <is>
          <t>ÖDESHÖG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9002-2023</t>
        </is>
      </c>
      <c r="B5799" s="1" t="n">
        <v>44979</v>
      </c>
      <c r="C5799" s="1" t="n">
        <v>45710</v>
      </c>
      <c r="D5799" t="inlineStr">
        <is>
          <t>ÖSTERGÖTLANDS LÄN</t>
        </is>
      </c>
      <c r="E5799" t="inlineStr">
        <is>
          <t>SÖDERKÖPING</t>
        </is>
      </c>
      <c r="F5799" t="inlineStr">
        <is>
          <t>Allmännings- och besparingsskogar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9047-2023</t>
        </is>
      </c>
      <c r="B5800" s="1" t="n">
        <v>44979</v>
      </c>
      <c r="C5800" s="1" t="n">
        <v>45710</v>
      </c>
      <c r="D5800" t="inlineStr">
        <is>
          <t>ÖSTERGÖTLANDS LÄN</t>
        </is>
      </c>
      <c r="E5800" t="inlineStr">
        <is>
          <t>VALDEMARSVIK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9053-2023</t>
        </is>
      </c>
      <c r="B5801" s="1" t="n">
        <v>44979</v>
      </c>
      <c r="C5801" s="1" t="n">
        <v>45710</v>
      </c>
      <c r="D5801" t="inlineStr">
        <is>
          <t>ÖSTERGÖTLANDS LÄN</t>
        </is>
      </c>
      <c r="E5801" t="inlineStr">
        <is>
          <t>MJÖLBY</t>
        </is>
      </c>
      <c r="G5801" t="n">
        <v>3.5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9058-2023</t>
        </is>
      </c>
      <c r="B5802" s="1" t="n">
        <v>44979</v>
      </c>
      <c r="C5802" s="1" t="n">
        <v>45710</v>
      </c>
      <c r="D5802" t="inlineStr">
        <is>
          <t>ÖSTERGÖTLANDS LÄN</t>
        </is>
      </c>
      <c r="E5802" t="inlineStr">
        <is>
          <t>BOXHOLM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9060-2023</t>
        </is>
      </c>
      <c r="B5803" s="1" t="n">
        <v>44979</v>
      </c>
      <c r="C5803" s="1" t="n">
        <v>45710</v>
      </c>
      <c r="D5803" t="inlineStr">
        <is>
          <t>ÖSTERGÖTLANDS LÄN</t>
        </is>
      </c>
      <c r="E5803" t="inlineStr">
        <is>
          <t>BOXHOLM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9059-2023</t>
        </is>
      </c>
      <c r="B5804" s="1" t="n">
        <v>44979</v>
      </c>
      <c r="C5804" s="1" t="n">
        <v>45710</v>
      </c>
      <c r="D5804" t="inlineStr">
        <is>
          <t>ÖSTERGÖTLANDS LÄN</t>
        </is>
      </c>
      <c r="E5804" t="inlineStr">
        <is>
          <t>BOXHOLM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9115-2023</t>
        </is>
      </c>
      <c r="B5805" s="1" t="n">
        <v>44980</v>
      </c>
      <c r="C5805" s="1" t="n">
        <v>45710</v>
      </c>
      <c r="D5805" t="inlineStr">
        <is>
          <t>ÖSTERGÖTLANDS LÄN</t>
        </is>
      </c>
      <c r="E5805" t="inlineStr">
        <is>
          <t>BOXHOLM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9120-2023</t>
        </is>
      </c>
      <c r="B5806" s="1" t="n">
        <v>44980</v>
      </c>
      <c r="C5806" s="1" t="n">
        <v>45710</v>
      </c>
      <c r="D5806" t="inlineStr">
        <is>
          <t>ÖSTERGÖTLANDS LÄN</t>
        </is>
      </c>
      <c r="E5806" t="inlineStr">
        <is>
          <t>NORRKÖPING</t>
        </is>
      </c>
      <c r="G5806" t="n">
        <v>6.3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9139-2023</t>
        </is>
      </c>
      <c r="B5807" s="1" t="n">
        <v>44980</v>
      </c>
      <c r="C5807" s="1" t="n">
        <v>45710</v>
      </c>
      <c r="D5807" t="inlineStr">
        <is>
          <t>ÖSTERGÖTLANDS LÄN</t>
        </is>
      </c>
      <c r="E5807" t="inlineStr">
        <is>
          <t>FINSPÅNG</t>
        </is>
      </c>
      <c r="F5807" t="inlineStr">
        <is>
          <t>Holmen skog AB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9159-2023</t>
        </is>
      </c>
      <c r="B5808" s="1" t="n">
        <v>44980</v>
      </c>
      <c r="C5808" s="1" t="n">
        <v>45710</v>
      </c>
      <c r="D5808" t="inlineStr">
        <is>
          <t>ÖSTERGÖTLANDS LÄN</t>
        </is>
      </c>
      <c r="E5808" t="inlineStr">
        <is>
          <t>YDRE</t>
        </is>
      </c>
      <c r="G5808" t="n">
        <v>6.7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9174-2023</t>
        </is>
      </c>
      <c r="B5809" s="1" t="n">
        <v>44980</v>
      </c>
      <c r="C5809" s="1" t="n">
        <v>45710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9114-2023</t>
        </is>
      </c>
      <c r="B5810" s="1" t="n">
        <v>44980</v>
      </c>
      <c r="C5810" s="1" t="n">
        <v>45710</v>
      </c>
      <c r="D5810" t="inlineStr">
        <is>
          <t>ÖSTERGÖTLANDS LÄN</t>
        </is>
      </c>
      <c r="E5810" t="inlineStr">
        <is>
          <t>BOXHOLM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9118-2023</t>
        </is>
      </c>
      <c r="B5811" s="1" t="n">
        <v>44980</v>
      </c>
      <c r="C5811" s="1" t="n">
        <v>45710</v>
      </c>
      <c r="D5811" t="inlineStr">
        <is>
          <t>ÖSTERGÖTLANDS LÄN</t>
        </is>
      </c>
      <c r="E5811" t="inlineStr">
        <is>
          <t>BOXHOLM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9162-2023</t>
        </is>
      </c>
      <c r="B5812" s="1" t="n">
        <v>44980</v>
      </c>
      <c r="C5812" s="1" t="n">
        <v>45710</v>
      </c>
      <c r="D5812" t="inlineStr">
        <is>
          <t>ÖSTERGÖTLANDS LÄN</t>
        </is>
      </c>
      <c r="E5812" t="inlineStr">
        <is>
          <t>YDRE</t>
        </is>
      </c>
      <c r="G5812" t="n">
        <v>6.7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9116-2023</t>
        </is>
      </c>
      <c r="B5813" s="1" t="n">
        <v>44980</v>
      </c>
      <c r="C5813" s="1" t="n">
        <v>45710</v>
      </c>
      <c r="D5813" t="inlineStr">
        <is>
          <t>ÖSTERGÖTLANDS LÄN</t>
        </is>
      </c>
      <c r="E5813" t="inlineStr">
        <is>
          <t>BOXHOLM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9122-2023</t>
        </is>
      </c>
      <c r="B5814" s="1" t="n">
        <v>44980</v>
      </c>
      <c r="C5814" s="1" t="n">
        <v>45710</v>
      </c>
      <c r="D5814" t="inlineStr">
        <is>
          <t>ÖSTERGÖTLANDS LÄN</t>
        </is>
      </c>
      <c r="E5814" t="inlineStr">
        <is>
          <t>MJÖLBY</t>
        </is>
      </c>
      <c r="F5814" t="inlineStr">
        <is>
          <t>Kyrkan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9160-2023</t>
        </is>
      </c>
      <c r="B5815" s="1" t="n">
        <v>44980</v>
      </c>
      <c r="C5815" s="1" t="n">
        <v>45710</v>
      </c>
      <c r="D5815" t="inlineStr">
        <is>
          <t>ÖSTERGÖTLANDS LÄN</t>
        </is>
      </c>
      <c r="E5815" t="inlineStr">
        <is>
          <t>YDRE</t>
        </is>
      </c>
      <c r="G5815" t="n">
        <v>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9233-2023</t>
        </is>
      </c>
      <c r="B5816" s="1" t="n">
        <v>44980</v>
      </c>
      <c r="C5816" s="1" t="n">
        <v>45710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9256-2023</t>
        </is>
      </c>
      <c r="B5817" s="1" t="n">
        <v>44980</v>
      </c>
      <c r="C5817" s="1" t="n">
        <v>45710</v>
      </c>
      <c r="D5817" t="inlineStr">
        <is>
          <t>ÖSTERGÖTLANDS LÄN</t>
        </is>
      </c>
      <c r="E5817" t="inlineStr">
        <is>
          <t>ÅTVIDABERG</t>
        </is>
      </c>
      <c r="G5817" t="n">
        <v>4.3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9248-2023</t>
        </is>
      </c>
      <c r="B5818" s="1" t="n">
        <v>44980</v>
      </c>
      <c r="C5818" s="1" t="n">
        <v>45710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Sveaskog</t>
        </is>
      </c>
      <c r="G5818" t="n">
        <v>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9262-2023</t>
        </is>
      </c>
      <c r="B5819" s="1" t="n">
        <v>44980</v>
      </c>
      <c r="C5819" s="1" t="n">
        <v>45710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6.4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9206-2023</t>
        </is>
      </c>
      <c r="B5820" s="1" t="n">
        <v>44980</v>
      </c>
      <c r="C5820" s="1" t="n">
        <v>45710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9292-2023</t>
        </is>
      </c>
      <c r="B5821" s="1" t="n">
        <v>44980</v>
      </c>
      <c r="C5821" s="1" t="n">
        <v>45710</v>
      </c>
      <c r="D5821" t="inlineStr">
        <is>
          <t>ÖSTERGÖTLANDS LÄN</t>
        </is>
      </c>
      <c r="E5821" t="inlineStr">
        <is>
          <t>VALDEMARSVIK</t>
        </is>
      </c>
      <c r="G5821" t="n">
        <v>6.4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9117-2023</t>
        </is>
      </c>
      <c r="B5822" s="1" t="n">
        <v>44980</v>
      </c>
      <c r="C5822" s="1" t="n">
        <v>45710</v>
      </c>
      <c r="D5822" t="inlineStr">
        <is>
          <t>ÖSTERGÖTLANDS LÄN</t>
        </is>
      </c>
      <c r="E5822" t="inlineStr">
        <is>
          <t>BOXHOLM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9125-2023</t>
        </is>
      </c>
      <c r="B5823" s="1" t="n">
        <v>44980</v>
      </c>
      <c r="C5823" s="1" t="n">
        <v>45710</v>
      </c>
      <c r="D5823" t="inlineStr">
        <is>
          <t>ÖSTERGÖTLANDS LÄN</t>
        </is>
      </c>
      <c r="E5823" t="inlineStr">
        <is>
          <t>MJÖLBY</t>
        </is>
      </c>
      <c r="F5823" t="inlineStr">
        <is>
          <t>Kyrkan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9130-2023</t>
        </is>
      </c>
      <c r="B5824" s="1" t="n">
        <v>44980</v>
      </c>
      <c r="C5824" s="1" t="n">
        <v>45710</v>
      </c>
      <c r="D5824" t="inlineStr">
        <is>
          <t>ÖSTERGÖTLANDS LÄN</t>
        </is>
      </c>
      <c r="E5824" t="inlineStr">
        <is>
          <t>FINSPÅNG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9187-2023</t>
        </is>
      </c>
      <c r="B5825" s="1" t="n">
        <v>44980</v>
      </c>
      <c r="C5825" s="1" t="n">
        <v>45710</v>
      </c>
      <c r="D5825" t="inlineStr">
        <is>
          <t>ÖSTERGÖTLANDS LÄN</t>
        </is>
      </c>
      <c r="E5825" t="inlineStr">
        <is>
          <t>LINKÖPING</t>
        </is>
      </c>
      <c r="F5825" t="inlineStr">
        <is>
          <t>Övriga Aktiebolag</t>
        </is>
      </c>
      <c r="G5825" t="n">
        <v>5.3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9201-2023</t>
        </is>
      </c>
      <c r="B5826" s="1" t="n">
        <v>44980</v>
      </c>
      <c r="C5826" s="1" t="n">
        <v>45710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10250-2023</t>
        </is>
      </c>
      <c r="B5827" s="1" t="n">
        <v>44980</v>
      </c>
      <c r="C5827" s="1" t="n">
        <v>45710</v>
      </c>
      <c r="D5827" t="inlineStr">
        <is>
          <t>ÖSTERGÖTLANDS LÄN</t>
        </is>
      </c>
      <c r="E5827" t="inlineStr">
        <is>
          <t>BOXHOLM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10262-2023</t>
        </is>
      </c>
      <c r="B5828" s="1" t="n">
        <v>44980</v>
      </c>
      <c r="C5828" s="1" t="n">
        <v>45710</v>
      </c>
      <c r="D5828" t="inlineStr">
        <is>
          <t>ÖSTERGÖTLANDS LÄN</t>
        </is>
      </c>
      <c r="E5828" t="inlineStr">
        <is>
          <t>LINKÖPING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9418-2023</t>
        </is>
      </c>
      <c r="B5829" s="1" t="n">
        <v>44981</v>
      </c>
      <c r="C5829" s="1" t="n">
        <v>45710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9457-2023</t>
        </is>
      </c>
      <c r="B5830" s="1" t="n">
        <v>44981</v>
      </c>
      <c r="C5830" s="1" t="n">
        <v>45710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9476-2023</t>
        </is>
      </c>
      <c r="B5831" s="1" t="n">
        <v>44981</v>
      </c>
      <c r="C5831" s="1" t="n">
        <v>45710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9399-2023</t>
        </is>
      </c>
      <c r="B5832" s="1" t="n">
        <v>44981</v>
      </c>
      <c r="C5832" s="1" t="n">
        <v>45710</v>
      </c>
      <c r="D5832" t="inlineStr">
        <is>
          <t>ÖSTERGÖTLANDS LÄN</t>
        </is>
      </c>
      <c r="E5832" t="inlineStr">
        <is>
          <t>KINDA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9412-2023</t>
        </is>
      </c>
      <c r="B5833" s="1" t="n">
        <v>44981</v>
      </c>
      <c r="C5833" s="1" t="n">
        <v>45710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9378-2023</t>
        </is>
      </c>
      <c r="B5834" s="1" t="n">
        <v>44981</v>
      </c>
      <c r="C5834" s="1" t="n">
        <v>45710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9423-2023</t>
        </is>
      </c>
      <c r="B5835" s="1" t="n">
        <v>44981</v>
      </c>
      <c r="C5835" s="1" t="n">
        <v>45710</v>
      </c>
      <c r="D5835" t="inlineStr">
        <is>
          <t>ÖSTERGÖTLANDS LÄN</t>
        </is>
      </c>
      <c r="E5835" t="inlineStr">
        <is>
          <t>ÖDESHÖG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9431-2023</t>
        </is>
      </c>
      <c r="B5836" s="1" t="n">
        <v>44981</v>
      </c>
      <c r="C5836" s="1" t="n">
        <v>45710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Sveaskog</t>
        </is>
      </c>
      <c r="G5836" t="n">
        <v>8.6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9448-2023</t>
        </is>
      </c>
      <c r="B5837" s="1" t="n">
        <v>44981</v>
      </c>
      <c r="C5837" s="1" t="n">
        <v>45710</v>
      </c>
      <c r="D5837" t="inlineStr">
        <is>
          <t>ÖSTERGÖTLANDS LÄN</t>
        </is>
      </c>
      <c r="E5837" t="inlineStr">
        <is>
          <t>ÖDESHÖG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10443-2023</t>
        </is>
      </c>
      <c r="B5838" s="1" t="n">
        <v>44981</v>
      </c>
      <c r="C5838" s="1" t="n">
        <v>45710</v>
      </c>
      <c r="D5838" t="inlineStr">
        <is>
          <t>ÖSTERGÖTLANDS LÄN</t>
        </is>
      </c>
      <c r="E5838" t="inlineStr">
        <is>
          <t>MOTALA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9512-2023</t>
        </is>
      </c>
      <c r="B5839" s="1" t="n">
        <v>44981</v>
      </c>
      <c r="C5839" s="1" t="n">
        <v>45710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9509-2023</t>
        </is>
      </c>
      <c r="B5840" s="1" t="n">
        <v>44981</v>
      </c>
      <c r="C5840" s="1" t="n">
        <v>45710</v>
      </c>
      <c r="D5840" t="inlineStr">
        <is>
          <t>ÖSTERGÖTLANDS LÄN</t>
        </is>
      </c>
      <c r="E5840" t="inlineStr">
        <is>
          <t>KINDA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9517-2023</t>
        </is>
      </c>
      <c r="B5841" s="1" t="n">
        <v>44981</v>
      </c>
      <c r="C5841" s="1" t="n">
        <v>45710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9570-2023</t>
        </is>
      </c>
      <c r="B5842" s="1" t="n">
        <v>44982</v>
      </c>
      <c r="C5842" s="1" t="n">
        <v>45710</v>
      </c>
      <c r="D5842" t="inlineStr">
        <is>
          <t>ÖSTERGÖTLANDS LÄN</t>
        </is>
      </c>
      <c r="E5842" t="inlineStr">
        <is>
          <t>KINDA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9579-2023</t>
        </is>
      </c>
      <c r="B5843" s="1" t="n">
        <v>44982</v>
      </c>
      <c r="C5843" s="1" t="n">
        <v>45710</v>
      </c>
      <c r="D5843" t="inlineStr">
        <is>
          <t>ÖSTERGÖTLANDS LÄN</t>
        </is>
      </c>
      <c r="E5843" t="inlineStr">
        <is>
          <t>KINDA</t>
        </is>
      </c>
      <c r="G5843" t="n">
        <v>7.2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9568-2023</t>
        </is>
      </c>
      <c r="B5844" s="1" t="n">
        <v>44982</v>
      </c>
      <c r="C5844" s="1" t="n">
        <v>45710</v>
      </c>
      <c r="D5844" t="inlineStr">
        <is>
          <t>ÖSTERGÖTLANDS LÄN</t>
        </is>
      </c>
      <c r="E5844" t="inlineStr">
        <is>
          <t>KINDA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9593-2023</t>
        </is>
      </c>
      <c r="B5845" s="1" t="n">
        <v>44983</v>
      </c>
      <c r="C5845" s="1" t="n">
        <v>45710</v>
      </c>
      <c r="D5845" t="inlineStr">
        <is>
          <t>ÖSTERGÖTLANDS LÄN</t>
        </is>
      </c>
      <c r="E5845" t="inlineStr">
        <is>
          <t>NORRKÖPING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9594-2023</t>
        </is>
      </c>
      <c r="B5846" s="1" t="n">
        <v>44983</v>
      </c>
      <c r="C5846" s="1" t="n">
        <v>45710</v>
      </c>
      <c r="D5846" t="inlineStr">
        <is>
          <t>ÖSTERGÖTLANDS LÄN</t>
        </is>
      </c>
      <c r="E5846" t="inlineStr">
        <is>
          <t>NORRKÖPING</t>
        </is>
      </c>
      <c r="G5846" t="n">
        <v>4.5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9592-2023</t>
        </is>
      </c>
      <c r="B5847" s="1" t="n">
        <v>44983</v>
      </c>
      <c r="C5847" s="1" t="n">
        <v>45710</v>
      </c>
      <c r="D5847" t="inlineStr">
        <is>
          <t>ÖSTERGÖTLANDS LÄN</t>
        </is>
      </c>
      <c r="E5847" t="inlineStr">
        <is>
          <t>NORRKÖPING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9591-2023</t>
        </is>
      </c>
      <c r="B5848" s="1" t="n">
        <v>44983</v>
      </c>
      <c r="C5848" s="1" t="n">
        <v>45710</v>
      </c>
      <c r="D5848" t="inlineStr">
        <is>
          <t>ÖSTERGÖTLANDS LÄN</t>
        </is>
      </c>
      <c r="E5848" t="inlineStr">
        <is>
          <t>NORRKÖPING</t>
        </is>
      </c>
      <c r="G5848" t="n">
        <v>9.300000000000001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9595-2023</t>
        </is>
      </c>
      <c r="B5849" s="1" t="n">
        <v>44983</v>
      </c>
      <c r="C5849" s="1" t="n">
        <v>45710</v>
      </c>
      <c r="D5849" t="inlineStr">
        <is>
          <t>ÖSTERGÖTLANDS LÄN</t>
        </is>
      </c>
      <c r="E5849" t="inlineStr">
        <is>
          <t>NORRKÖPING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9620-2023</t>
        </is>
      </c>
      <c r="B5850" s="1" t="n">
        <v>44984</v>
      </c>
      <c r="C5850" s="1" t="n">
        <v>45710</v>
      </c>
      <c r="D5850" t="inlineStr">
        <is>
          <t>ÖSTERGÖTLANDS LÄN</t>
        </is>
      </c>
      <c r="E5850" t="inlineStr">
        <is>
          <t>MOTALA</t>
        </is>
      </c>
      <c r="G5850" t="n">
        <v>5.1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9729-2023</t>
        </is>
      </c>
      <c r="B5851" s="1" t="n">
        <v>44984</v>
      </c>
      <c r="C5851" s="1" t="n">
        <v>45710</v>
      </c>
      <c r="D5851" t="inlineStr">
        <is>
          <t>ÖSTERGÖTLANDS LÄN</t>
        </is>
      </c>
      <c r="E5851" t="inlineStr">
        <is>
          <t>SÖDERKÖPING</t>
        </is>
      </c>
      <c r="G5851" t="n">
        <v>13.8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9626-2023</t>
        </is>
      </c>
      <c r="B5852" s="1" t="n">
        <v>44984</v>
      </c>
      <c r="C5852" s="1" t="n">
        <v>45710</v>
      </c>
      <c r="D5852" t="inlineStr">
        <is>
          <t>ÖSTERGÖTLANDS LÄN</t>
        </is>
      </c>
      <c r="E5852" t="inlineStr">
        <is>
          <t>MOTALA</t>
        </is>
      </c>
      <c r="G5852" t="n">
        <v>2.8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9622-2023</t>
        </is>
      </c>
      <c r="B5853" s="1" t="n">
        <v>44984</v>
      </c>
      <c r="C5853" s="1" t="n">
        <v>45710</v>
      </c>
      <c r="D5853" t="inlineStr">
        <is>
          <t>ÖSTERGÖTLANDS LÄN</t>
        </is>
      </c>
      <c r="E5853" t="inlineStr">
        <is>
          <t>MOTALA</t>
        </is>
      </c>
      <c r="G5853" t="n">
        <v>2.7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9702-2023</t>
        </is>
      </c>
      <c r="B5854" s="1" t="n">
        <v>44984</v>
      </c>
      <c r="C5854" s="1" t="n">
        <v>45710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9734-2023</t>
        </is>
      </c>
      <c r="B5855" s="1" t="n">
        <v>44984</v>
      </c>
      <c r="C5855" s="1" t="n">
        <v>45710</v>
      </c>
      <c r="D5855" t="inlineStr">
        <is>
          <t>ÖSTERGÖTLANDS LÄN</t>
        </is>
      </c>
      <c r="E5855" t="inlineStr">
        <is>
          <t>SÖDERKÖPING</t>
        </is>
      </c>
      <c r="F5855" t="inlineStr">
        <is>
          <t>Allmännings- och besparingsskogar</t>
        </is>
      </c>
      <c r="G5855" t="n">
        <v>6.7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9774-2023</t>
        </is>
      </c>
      <c r="B5856" s="1" t="n">
        <v>44984</v>
      </c>
      <c r="C5856" s="1" t="n">
        <v>45710</v>
      </c>
      <c r="D5856" t="inlineStr">
        <is>
          <t>ÖSTERGÖTLANDS LÄN</t>
        </is>
      </c>
      <c r="E5856" t="inlineStr">
        <is>
          <t>FINSPÅNG</t>
        </is>
      </c>
      <c r="G5856" t="n">
        <v>9.199999999999999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9799-2023</t>
        </is>
      </c>
      <c r="B5857" s="1" t="n">
        <v>44984</v>
      </c>
      <c r="C5857" s="1" t="n">
        <v>45710</v>
      </c>
      <c r="D5857" t="inlineStr">
        <is>
          <t>ÖSTERGÖTLANDS LÄN</t>
        </is>
      </c>
      <c r="E5857" t="inlineStr">
        <is>
          <t>SÖDERKÖPING</t>
        </is>
      </c>
      <c r="F5857" t="inlineStr">
        <is>
          <t>Allmännings- och besparingsskogar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9736-2023</t>
        </is>
      </c>
      <c r="B5858" s="1" t="n">
        <v>44984</v>
      </c>
      <c r="C5858" s="1" t="n">
        <v>45710</v>
      </c>
      <c r="D5858" t="inlineStr">
        <is>
          <t>ÖSTERGÖTLANDS LÄN</t>
        </is>
      </c>
      <c r="E5858" t="inlineStr">
        <is>
          <t>SÖDERKÖPING</t>
        </is>
      </c>
      <c r="F5858" t="inlineStr">
        <is>
          <t>Allmännings- och besparingsskogar</t>
        </is>
      </c>
      <c r="G5858" t="n">
        <v>7.4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9731-2023</t>
        </is>
      </c>
      <c r="B5859" s="1" t="n">
        <v>44984</v>
      </c>
      <c r="C5859" s="1" t="n">
        <v>45710</v>
      </c>
      <c r="D5859" t="inlineStr">
        <is>
          <t>ÖSTERGÖTLANDS LÄN</t>
        </is>
      </c>
      <c r="E5859" t="inlineStr">
        <is>
          <t>SÖDERKÖPING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9805-2023</t>
        </is>
      </c>
      <c r="B5860" s="1" t="n">
        <v>44984</v>
      </c>
      <c r="C5860" s="1" t="n">
        <v>45710</v>
      </c>
      <c r="D5860" t="inlineStr">
        <is>
          <t>ÖSTERGÖTLANDS LÄN</t>
        </is>
      </c>
      <c r="E5860" t="inlineStr">
        <is>
          <t>KINDA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9901-2023</t>
        </is>
      </c>
      <c r="B5861" s="1" t="n">
        <v>44985</v>
      </c>
      <c r="C5861" s="1" t="n">
        <v>45710</v>
      </c>
      <c r="D5861" t="inlineStr">
        <is>
          <t>ÖSTERGÖTLANDS LÄN</t>
        </is>
      </c>
      <c r="E5861" t="inlineStr">
        <is>
          <t>YDRE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9907-2023</t>
        </is>
      </c>
      <c r="B5862" s="1" t="n">
        <v>44985</v>
      </c>
      <c r="C5862" s="1" t="n">
        <v>45710</v>
      </c>
      <c r="D5862" t="inlineStr">
        <is>
          <t>ÖSTERGÖTLANDS LÄN</t>
        </is>
      </c>
      <c r="E5862" t="inlineStr">
        <is>
          <t>FINSPÅNG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9902-2023</t>
        </is>
      </c>
      <c r="B5863" s="1" t="n">
        <v>44985</v>
      </c>
      <c r="C5863" s="1" t="n">
        <v>45710</v>
      </c>
      <c r="D5863" t="inlineStr">
        <is>
          <t>ÖSTERGÖTLANDS LÄN</t>
        </is>
      </c>
      <c r="E5863" t="inlineStr">
        <is>
          <t>YDRE</t>
        </is>
      </c>
      <c r="F5863" t="inlineStr">
        <is>
          <t>Sveaskog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9903-2023</t>
        </is>
      </c>
      <c r="B5864" s="1" t="n">
        <v>44985</v>
      </c>
      <c r="C5864" s="1" t="n">
        <v>45710</v>
      </c>
      <c r="D5864" t="inlineStr">
        <is>
          <t>ÖSTERGÖTLANDS LÄN</t>
        </is>
      </c>
      <c r="E5864" t="inlineStr">
        <is>
          <t>YDRE</t>
        </is>
      </c>
      <c r="F5864" t="inlineStr">
        <is>
          <t>Sveaskog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9913-2023</t>
        </is>
      </c>
      <c r="B5865" s="1" t="n">
        <v>44985</v>
      </c>
      <c r="C5865" s="1" t="n">
        <v>45710</v>
      </c>
      <c r="D5865" t="inlineStr">
        <is>
          <t>ÖSTERGÖTLANDS LÄN</t>
        </is>
      </c>
      <c r="E5865" t="inlineStr">
        <is>
          <t>YDRE</t>
        </is>
      </c>
      <c r="F5865" t="inlineStr">
        <is>
          <t>Sveaskog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9971-2023</t>
        </is>
      </c>
      <c r="B5866" s="1" t="n">
        <v>44985</v>
      </c>
      <c r="C5866" s="1" t="n">
        <v>45710</v>
      </c>
      <c r="D5866" t="inlineStr">
        <is>
          <t>ÖSTERGÖTLANDS LÄN</t>
        </is>
      </c>
      <c r="E5866" t="inlineStr">
        <is>
          <t>VALDEMARSVIK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9906-2023</t>
        </is>
      </c>
      <c r="B5867" s="1" t="n">
        <v>44985</v>
      </c>
      <c r="C5867" s="1" t="n">
        <v>45710</v>
      </c>
      <c r="D5867" t="inlineStr">
        <is>
          <t>ÖSTERGÖTLANDS LÄN</t>
        </is>
      </c>
      <c r="E5867" t="inlineStr">
        <is>
          <t>YDRE</t>
        </is>
      </c>
      <c r="F5867" t="inlineStr">
        <is>
          <t>Sveaskog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9989-2023</t>
        </is>
      </c>
      <c r="B5868" s="1" t="n">
        <v>44985</v>
      </c>
      <c r="C5868" s="1" t="n">
        <v>45710</v>
      </c>
      <c r="D5868" t="inlineStr">
        <is>
          <t>ÖSTERGÖTLANDS LÄN</t>
        </is>
      </c>
      <c r="E5868" t="inlineStr">
        <is>
          <t>FINSPÅNG</t>
        </is>
      </c>
      <c r="G5868" t="n">
        <v>3.1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10042-2023</t>
        </is>
      </c>
      <c r="B5869" s="1" t="n">
        <v>44985</v>
      </c>
      <c r="C5869" s="1" t="n">
        <v>45710</v>
      </c>
      <c r="D5869" t="inlineStr">
        <is>
          <t>ÖSTERGÖTLANDS LÄN</t>
        </is>
      </c>
      <c r="E5869" t="inlineStr">
        <is>
          <t>VALDEMARSVIK</t>
        </is>
      </c>
      <c r="G5869" t="n">
        <v>2.1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10021-2023</t>
        </is>
      </c>
      <c r="B5870" s="1" t="n">
        <v>44985</v>
      </c>
      <c r="C5870" s="1" t="n">
        <v>45710</v>
      </c>
      <c r="D5870" t="inlineStr">
        <is>
          <t>ÖSTERGÖTLANDS LÄN</t>
        </is>
      </c>
      <c r="E5870" t="inlineStr">
        <is>
          <t>KINDA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10184-2023</t>
        </is>
      </c>
      <c r="B5871" s="1" t="n">
        <v>44986</v>
      </c>
      <c r="C5871" s="1" t="n">
        <v>45710</v>
      </c>
      <c r="D5871" t="inlineStr">
        <is>
          <t>ÖSTERGÖTLANDS LÄN</t>
        </is>
      </c>
      <c r="E5871" t="inlineStr">
        <is>
          <t>FINSPÅNG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10198-2023</t>
        </is>
      </c>
      <c r="B5872" s="1" t="n">
        <v>44986</v>
      </c>
      <c r="C5872" s="1" t="n">
        <v>45710</v>
      </c>
      <c r="D5872" t="inlineStr">
        <is>
          <t>ÖSTERGÖTLANDS LÄN</t>
        </is>
      </c>
      <c r="E5872" t="inlineStr">
        <is>
          <t>LINKÖPING</t>
        </is>
      </c>
      <c r="G5872" t="n">
        <v>4.6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10119-2023</t>
        </is>
      </c>
      <c r="B5873" s="1" t="n">
        <v>44986</v>
      </c>
      <c r="C5873" s="1" t="n">
        <v>45710</v>
      </c>
      <c r="D5873" t="inlineStr">
        <is>
          <t>ÖSTERGÖTLANDS LÄN</t>
        </is>
      </c>
      <c r="E5873" t="inlineStr">
        <is>
          <t>LINKÖPING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10194-2023</t>
        </is>
      </c>
      <c r="B5874" s="1" t="n">
        <v>44986</v>
      </c>
      <c r="C5874" s="1" t="n">
        <v>45710</v>
      </c>
      <c r="D5874" t="inlineStr">
        <is>
          <t>ÖSTERGÖTLANDS LÄN</t>
        </is>
      </c>
      <c r="E5874" t="inlineStr">
        <is>
          <t>LINKÖPING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10203-2023</t>
        </is>
      </c>
      <c r="B5875" s="1" t="n">
        <v>44986</v>
      </c>
      <c r="C5875" s="1" t="n">
        <v>45710</v>
      </c>
      <c r="D5875" t="inlineStr">
        <is>
          <t>ÖSTERGÖTLANDS LÄN</t>
        </is>
      </c>
      <c r="E5875" t="inlineStr">
        <is>
          <t>LINKÖPING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10120-2023</t>
        </is>
      </c>
      <c r="B5876" s="1" t="n">
        <v>44986</v>
      </c>
      <c r="C5876" s="1" t="n">
        <v>45710</v>
      </c>
      <c r="D5876" t="inlineStr">
        <is>
          <t>ÖSTERGÖTLANDS LÄN</t>
        </is>
      </c>
      <c r="E5876" t="inlineStr">
        <is>
          <t>LINKÖPING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10241-2023</t>
        </is>
      </c>
      <c r="B5877" s="1" t="n">
        <v>44986</v>
      </c>
      <c r="C5877" s="1" t="n">
        <v>45710</v>
      </c>
      <c r="D5877" t="inlineStr">
        <is>
          <t>ÖSTERGÖTLANDS LÄN</t>
        </is>
      </c>
      <c r="E5877" t="inlineStr">
        <is>
          <t>YDRE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10420-2023</t>
        </is>
      </c>
      <c r="B5878" s="1" t="n">
        <v>44987</v>
      </c>
      <c r="C5878" s="1" t="n">
        <v>45710</v>
      </c>
      <c r="D5878" t="inlineStr">
        <is>
          <t>ÖSTERGÖTLANDS LÄN</t>
        </is>
      </c>
      <c r="E5878" t="inlineStr">
        <is>
          <t>FINSPÅNG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10427-2023</t>
        </is>
      </c>
      <c r="B5879" s="1" t="n">
        <v>44987</v>
      </c>
      <c r="C5879" s="1" t="n">
        <v>45710</v>
      </c>
      <c r="D5879" t="inlineStr">
        <is>
          <t>ÖSTERGÖTLANDS LÄN</t>
        </is>
      </c>
      <c r="E5879" t="inlineStr">
        <is>
          <t>NORRKÖPING</t>
        </is>
      </c>
      <c r="G5879" t="n">
        <v>5.3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10394-2023</t>
        </is>
      </c>
      <c r="B5880" s="1" t="n">
        <v>44987</v>
      </c>
      <c r="C5880" s="1" t="n">
        <v>45710</v>
      </c>
      <c r="D5880" t="inlineStr">
        <is>
          <t>ÖSTERGÖTLANDS LÄN</t>
        </is>
      </c>
      <c r="E5880" t="inlineStr">
        <is>
          <t>SÖDERKÖPING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10402-2023</t>
        </is>
      </c>
      <c r="B5881" s="1" t="n">
        <v>44987</v>
      </c>
      <c r="C5881" s="1" t="n">
        <v>45710</v>
      </c>
      <c r="D5881" t="inlineStr">
        <is>
          <t>ÖSTERGÖTLANDS LÄN</t>
        </is>
      </c>
      <c r="E5881" t="inlineStr">
        <is>
          <t>YDRE</t>
        </is>
      </c>
      <c r="G5881" t="n">
        <v>10.2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10461-2023</t>
        </is>
      </c>
      <c r="B5882" s="1" t="n">
        <v>44987</v>
      </c>
      <c r="C5882" s="1" t="n">
        <v>45710</v>
      </c>
      <c r="D5882" t="inlineStr">
        <is>
          <t>ÖSTERGÖTLANDS LÄN</t>
        </is>
      </c>
      <c r="E5882" t="inlineStr">
        <is>
          <t>LINKÖPING</t>
        </is>
      </c>
      <c r="G5882" t="n">
        <v>7.8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10324-2023</t>
        </is>
      </c>
      <c r="B5883" s="1" t="n">
        <v>44987</v>
      </c>
      <c r="C5883" s="1" t="n">
        <v>45710</v>
      </c>
      <c r="D5883" t="inlineStr">
        <is>
          <t>ÖSTERGÖTLANDS LÄN</t>
        </is>
      </c>
      <c r="E5883" t="inlineStr">
        <is>
          <t>MOTALA</t>
        </is>
      </c>
      <c r="F5883" t="inlineStr">
        <is>
          <t>Sveaskog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10412-2023</t>
        </is>
      </c>
      <c r="B5884" s="1" t="n">
        <v>44987</v>
      </c>
      <c r="C5884" s="1" t="n">
        <v>45710</v>
      </c>
      <c r="D5884" t="inlineStr">
        <is>
          <t>ÖSTERGÖTLANDS LÄN</t>
        </is>
      </c>
      <c r="E5884" t="inlineStr">
        <is>
          <t>FINSPÅNG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10459-2023</t>
        </is>
      </c>
      <c r="B5885" s="1" t="n">
        <v>44987</v>
      </c>
      <c r="C5885" s="1" t="n">
        <v>45710</v>
      </c>
      <c r="D5885" t="inlineStr">
        <is>
          <t>ÖSTERGÖTLANDS LÄN</t>
        </is>
      </c>
      <c r="E5885" t="inlineStr">
        <is>
          <t>LINKÖPING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10518-2023</t>
        </is>
      </c>
      <c r="B5886" s="1" t="n">
        <v>44987</v>
      </c>
      <c r="C5886" s="1" t="n">
        <v>45710</v>
      </c>
      <c r="D5886" t="inlineStr">
        <is>
          <t>ÖSTERGÖTLANDS LÄN</t>
        </is>
      </c>
      <c r="E5886" t="inlineStr">
        <is>
          <t>NORRKÖPING</t>
        </is>
      </c>
      <c r="G5886" t="n">
        <v>3.6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11163-2023</t>
        </is>
      </c>
      <c r="B5887" s="1" t="n">
        <v>44987</v>
      </c>
      <c r="C5887" s="1" t="n">
        <v>45710</v>
      </c>
      <c r="D5887" t="inlineStr">
        <is>
          <t>ÖSTERGÖTLANDS LÄN</t>
        </is>
      </c>
      <c r="E5887" t="inlineStr">
        <is>
          <t>YDRE</t>
        </is>
      </c>
      <c r="G5887" t="n">
        <v>3.2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10621-2023</t>
        </is>
      </c>
      <c r="B5888" s="1" t="n">
        <v>44988</v>
      </c>
      <c r="C5888" s="1" t="n">
        <v>45710</v>
      </c>
      <c r="D5888" t="inlineStr">
        <is>
          <t>ÖSTERGÖTLANDS LÄN</t>
        </is>
      </c>
      <c r="E5888" t="inlineStr">
        <is>
          <t>KINDA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10661-2023</t>
        </is>
      </c>
      <c r="B5889" s="1" t="n">
        <v>44988</v>
      </c>
      <c r="C5889" s="1" t="n">
        <v>45710</v>
      </c>
      <c r="D5889" t="inlineStr">
        <is>
          <t>ÖSTERGÖTLANDS LÄN</t>
        </is>
      </c>
      <c r="E5889" t="inlineStr">
        <is>
          <t>ÅTVIDABERG</t>
        </is>
      </c>
      <c r="F5889" t="inlineStr">
        <is>
          <t>Övriga Aktiebolag</t>
        </is>
      </c>
      <c r="G5889" t="n">
        <v>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10690-2023</t>
        </is>
      </c>
      <c r="B5890" s="1" t="n">
        <v>44988</v>
      </c>
      <c r="C5890" s="1" t="n">
        <v>45710</v>
      </c>
      <c r="D5890" t="inlineStr">
        <is>
          <t>ÖSTERGÖTLANDS LÄN</t>
        </is>
      </c>
      <c r="E5890" t="inlineStr">
        <is>
          <t>ÅTVIDABERG</t>
        </is>
      </c>
      <c r="F5890" t="inlineStr">
        <is>
          <t>Övriga Aktiebolag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10701-2023</t>
        </is>
      </c>
      <c r="B5891" s="1" t="n">
        <v>44988</v>
      </c>
      <c r="C5891" s="1" t="n">
        <v>45710</v>
      </c>
      <c r="D5891" t="inlineStr">
        <is>
          <t>ÖSTERGÖTLANDS LÄN</t>
        </is>
      </c>
      <c r="E5891" t="inlineStr">
        <is>
          <t>YDRE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10721-2023</t>
        </is>
      </c>
      <c r="B5892" s="1" t="n">
        <v>44988</v>
      </c>
      <c r="C5892" s="1" t="n">
        <v>45710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10692-2023</t>
        </is>
      </c>
      <c r="B5893" s="1" t="n">
        <v>44988</v>
      </c>
      <c r="C5893" s="1" t="n">
        <v>45710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10704-2023</t>
        </is>
      </c>
      <c r="B5894" s="1" t="n">
        <v>44988</v>
      </c>
      <c r="C5894" s="1" t="n">
        <v>45710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10717-2023</t>
        </is>
      </c>
      <c r="B5895" s="1" t="n">
        <v>44988</v>
      </c>
      <c r="C5895" s="1" t="n">
        <v>45710</v>
      </c>
      <c r="D5895" t="inlineStr">
        <is>
          <t>ÖSTERGÖTLANDS LÄN</t>
        </is>
      </c>
      <c r="E5895" t="inlineStr">
        <is>
          <t>ÅTVIDABERG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10732-2023</t>
        </is>
      </c>
      <c r="B5896" s="1" t="n">
        <v>44988</v>
      </c>
      <c r="C5896" s="1" t="n">
        <v>45710</v>
      </c>
      <c r="D5896" t="inlineStr">
        <is>
          <t>ÖSTERGÖTLANDS LÄN</t>
        </is>
      </c>
      <c r="E5896" t="inlineStr">
        <is>
          <t>ÅTVIDABERG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10739-2023</t>
        </is>
      </c>
      <c r="B5897" s="1" t="n">
        <v>44988</v>
      </c>
      <c r="C5897" s="1" t="n">
        <v>45710</v>
      </c>
      <c r="D5897" t="inlineStr">
        <is>
          <t>ÖSTERGÖTLANDS LÄN</t>
        </is>
      </c>
      <c r="E5897" t="inlineStr">
        <is>
          <t>ÅTVIDABERG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11350-2023</t>
        </is>
      </c>
      <c r="B5898" s="1" t="n">
        <v>44988</v>
      </c>
      <c r="C5898" s="1" t="n">
        <v>45710</v>
      </c>
      <c r="D5898" t="inlineStr">
        <is>
          <t>ÖSTERGÖTLANDS LÄN</t>
        </is>
      </c>
      <c r="E5898" t="inlineStr">
        <is>
          <t>VALDEMARSVIK</t>
        </is>
      </c>
      <c r="F5898" t="inlineStr">
        <is>
          <t>Övriga Aktiebolag</t>
        </is>
      </c>
      <c r="G5898" t="n">
        <v>6.8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10741-2023</t>
        </is>
      </c>
      <c r="B5899" s="1" t="n">
        <v>44988</v>
      </c>
      <c r="C5899" s="1" t="n">
        <v>45710</v>
      </c>
      <c r="D5899" t="inlineStr">
        <is>
          <t>ÖSTERGÖTLANDS LÄN</t>
        </is>
      </c>
      <c r="E5899" t="inlineStr">
        <is>
          <t>LINKÖPING</t>
        </is>
      </c>
      <c r="F5899" t="inlineStr">
        <is>
          <t>Allmännings- och besparingsskogar</t>
        </is>
      </c>
      <c r="G5899" t="n">
        <v>11.2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11337-2023</t>
        </is>
      </c>
      <c r="B5900" s="1" t="n">
        <v>44988</v>
      </c>
      <c r="C5900" s="1" t="n">
        <v>45710</v>
      </c>
      <c r="D5900" t="inlineStr">
        <is>
          <t>ÖSTERGÖTLANDS LÄN</t>
        </is>
      </c>
      <c r="E5900" t="inlineStr">
        <is>
          <t>VALDEMARSVIK</t>
        </is>
      </c>
      <c r="F5900" t="inlineStr">
        <is>
          <t>Övriga Aktiebolag</t>
        </is>
      </c>
      <c r="G5900" t="n">
        <v>11.2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11348-2023</t>
        </is>
      </c>
      <c r="B5901" s="1" t="n">
        <v>44988</v>
      </c>
      <c r="C5901" s="1" t="n">
        <v>45710</v>
      </c>
      <c r="D5901" t="inlineStr">
        <is>
          <t>ÖSTERGÖTLANDS LÄN</t>
        </is>
      </c>
      <c r="E5901" t="inlineStr">
        <is>
          <t>VALDEMARSVIK</t>
        </is>
      </c>
      <c r="F5901" t="inlineStr">
        <is>
          <t>Övriga Aktiebolag</t>
        </is>
      </c>
      <c r="G5901" t="n">
        <v>4.8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10799-2023</t>
        </is>
      </c>
      <c r="B5902" s="1" t="n">
        <v>44989</v>
      </c>
      <c r="C5902" s="1" t="n">
        <v>45710</v>
      </c>
      <c r="D5902" t="inlineStr">
        <is>
          <t>ÖSTERGÖTLANDS LÄN</t>
        </is>
      </c>
      <c r="E5902" t="inlineStr">
        <is>
          <t>ÅTVIDABERG</t>
        </is>
      </c>
      <c r="F5902" t="inlineStr">
        <is>
          <t>Övriga Aktiebolag</t>
        </is>
      </c>
      <c r="G5902" t="n">
        <v>8.199999999999999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10842-2023</t>
        </is>
      </c>
      <c r="B5903" s="1" t="n">
        <v>44991</v>
      </c>
      <c r="C5903" s="1" t="n">
        <v>45710</v>
      </c>
      <c r="D5903" t="inlineStr">
        <is>
          <t>ÖSTERGÖTLANDS LÄN</t>
        </is>
      </c>
      <c r="E5903" t="inlineStr">
        <is>
          <t>SÖDERKÖPING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10868-2023</t>
        </is>
      </c>
      <c r="B5904" s="1" t="n">
        <v>44991</v>
      </c>
      <c r="C5904" s="1" t="n">
        <v>45710</v>
      </c>
      <c r="D5904" t="inlineStr">
        <is>
          <t>ÖSTERGÖTLANDS LÄN</t>
        </is>
      </c>
      <c r="E5904" t="inlineStr">
        <is>
          <t>KINDA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10880-2023</t>
        </is>
      </c>
      <c r="B5905" s="1" t="n">
        <v>44991</v>
      </c>
      <c r="C5905" s="1" t="n">
        <v>45710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10841-2023</t>
        </is>
      </c>
      <c r="B5906" s="1" t="n">
        <v>44991</v>
      </c>
      <c r="C5906" s="1" t="n">
        <v>45710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10935-2023</t>
        </is>
      </c>
      <c r="B5907" s="1" t="n">
        <v>44991</v>
      </c>
      <c r="C5907" s="1" t="n">
        <v>45710</v>
      </c>
      <c r="D5907" t="inlineStr">
        <is>
          <t>ÖSTERGÖTLANDS LÄN</t>
        </is>
      </c>
      <c r="E5907" t="inlineStr">
        <is>
          <t>KINDA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10963-2023</t>
        </is>
      </c>
      <c r="B5908" s="1" t="n">
        <v>44991</v>
      </c>
      <c r="C5908" s="1" t="n">
        <v>45710</v>
      </c>
      <c r="D5908" t="inlineStr">
        <is>
          <t>ÖSTERGÖTLANDS LÄN</t>
        </is>
      </c>
      <c r="E5908" t="inlineStr">
        <is>
          <t>MJÖLBY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10996-2023</t>
        </is>
      </c>
      <c r="B5909" s="1" t="n">
        <v>44991</v>
      </c>
      <c r="C5909" s="1" t="n">
        <v>45710</v>
      </c>
      <c r="D5909" t="inlineStr">
        <is>
          <t>ÖSTERGÖTLANDS LÄN</t>
        </is>
      </c>
      <c r="E5909" t="inlineStr">
        <is>
          <t>NORRKÖPING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11025-2023</t>
        </is>
      </c>
      <c r="B5910" s="1" t="n">
        <v>44991</v>
      </c>
      <c r="C5910" s="1" t="n">
        <v>45710</v>
      </c>
      <c r="D5910" t="inlineStr">
        <is>
          <t>ÖSTERGÖTLANDS LÄN</t>
        </is>
      </c>
      <c r="E5910" t="inlineStr">
        <is>
          <t>ÅTVIDABERG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11165-2023</t>
        </is>
      </c>
      <c r="B5911" s="1" t="n">
        <v>44992</v>
      </c>
      <c r="C5911" s="1" t="n">
        <v>45710</v>
      </c>
      <c r="D5911" t="inlineStr">
        <is>
          <t>ÖSTERGÖTLANDS LÄN</t>
        </is>
      </c>
      <c r="E5911" t="inlineStr">
        <is>
          <t>SÖDERKÖPING</t>
        </is>
      </c>
      <c r="G5911" t="n">
        <v>4.9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11168-2023</t>
        </is>
      </c>
      <c r="B5912" s="1" t="n">
        <v>44992</v>
      </c>
      <c r="C5912" s="1" t="n">
        <v>45710</v>
      </c>
      <c r="D5912" t="inlineStr">
        <is>
          <t>ÖSTERGÖTLANDS LÄN</t>
        </is>
      </c>
      <c r="E5912" t="inlineStr">
        <is>
          <t>MOTALA</t>
        </is>
      </c>
      <c r="G5912" t="n">
        <v>3.9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11193-2023</t>
        </is>
      </c>
      <c r="B5913" s="1" t="n">
        <v>44992</v>
      </c>
      <c r="C5913" s="1" t="n">
        <v>45710</v>
      </c>
      <c r="D5913" t="inlineStr">
        <is>
          <t>ÖSTERGÖTLANDS LÄN</t>
        </is>
      </c>
      <c r="E5913" t="inlineStr">
        <is>
          <t>ÖDESHÖG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11202-2023</t>
        </is>
      </c>
      <c r="B5914" s="1" t="n">
        <v>44992</v>
      </c>
      <c r="C5914" s="1" t="n">
        <v>45710</v>
      </c>
      <c r="D5914" t="inlineStr">
        <is>
          <t>ÖSTERGÖTLANDS LÄN</t>
        </is>
      </c>
      <c r="E5914" t="inlineStr">
        <is>
          <t>ÖDESHÖG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11587-2023</t>
        </is>
      </c>
      <c r="B5915" s="1" t="n">
        <v>44992</v>
      </c>
      <c r="C5915" s="1" t="n">
        <v>45710</v>
      </c>
      <c r="D5915" t="inlineStr">
        <is>
          <t>ÖSTERGÖTLANDS LÄN</t>
        </is>
      </c>
      <c r="E5915" t="inlineStr">
        <is>
          <t>NORRKÖPING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11192-2023</t>
        </is>
      </c>
      <c r="B5916" s="1" t="n">
        <v>44992</v>
      </c>
      <c r="C5916" s="1" t="n">
        <v>45710</v>
      </c>
      <c r="D5916" t="inlineStr">
        <is>
          <t>ÖSTERGÖTLANDS LÄN</t>
        </is>
      </c>
      <c r="E5916" t="inlineStr">
        <is>
          <t>ÖDESHÖG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11261-2023</t>
        </is>
      </c>
      <c r="B5917" s="1" t="n">
        <v>44992</v>
      </c>
      <c r="C5917" s="1" t="n">
        <v>45710</v>
      </c>
      <c r="D5917" t="inlineStr">
        <is>
          <t>ÖSTERGÖTLANDS LÄN</t>
        </is>
      </c>
      <c r="E5917" t="inlineStr">
        <is>
          <t>NORRKÖPING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11658-2023</t>
        </is>
      </c>
      <c r="B5918" s="1" t="n">
        <v>44992</v>
      </c>
      <c r="C5918" s="1" t="n">
        <v>45710</v>
      </c>
      <c r="D5918" t="inlineStr">
        <is>
          <t>ÖSTERGÖTLANDS LÄN</t>
        </is>
      </c>
      <c r="E5918" t="inlineStr">
        <is>
          <t>KINDA</t>
        </is>
      </c>
      <c r="G5918" t="n">
        <v>12.9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11668-2023</t>
        </is>
      </c>
      <c r="B5919" s="1" t="n">
        <v>44992</v>
      </c>
      <c r="C5919" s="1" t="n">
        <v>45710</v>
      </c>
      <c r="D5919" t="inlineStr">
        <is>
          <t>ÖSTERGÖTLANDS LÄN</t>
        </is>
      </c>
      <c r="E5919" t="inlineStr">
        <is>
          <t>KINDA</t>
        </is>
      </c>
      <c r="G5919" t="n">
        <v>5.4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11683-2023</t>
        </is>
      </c>
      <c r="B5920" s="1" t="n">
        <v>44992</v>
      </c>
      <c r="C5920" s="1" t="n">
        <v>45710</v>
      </c>
      <c r="D5920" t="inlineStr">
        <is>
          <t>ÖSTERGÖTLANDS LÄN</t>
        </is>
      </c>
      <c r="E5920" t="inlineStr">
        <is>
          <t>KINDA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11677-2023</t>
        </is>
      </c>
      <c r="B5921" s="1" t="n">
        <v>44992</v>
      </c>
      <c r="C5921" s="1" t="n">
        <v>45710</v>
      </c>
      <c r="D5921" t="inlineStr">
        <is>
          <t>ÖSTERGÖTLANDS LÄN</t>
        </is>
      </c>
      <c r="E5921" t="inlineStr">
        <is>
          <t>KINDA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11593-2023</t>
        </is>
      </c>
      <c r="B5922" s="1" t="n">
        <v>44992</v>
      </c>
      <c r="C5922" s="1" t="n">
        <v>45710</v>
      </c>
      <c r="D5922" t="inlineStr">
        <is>
          <t>ÖSTERGÖTLANDS LÄN</t>
        </is>
      </c>
      <c r="E5922" t="inlineStr">
        <is>
          <t>NORRKÖPING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11481-2023</t>
        </is>
      </c>
      <c r="B5923" s="1" t="n">
        <v>44993</v>
      </c>
      <c r="C5923" s="1" t="n">
        <v>45710</v>
      </c>
      <c r="D5923" t="inlineStr">
        <is>
          <t>ÖSTERGÖTLANDS LÄN</t>
        </is>
      </c>
      <c r="E5923" t="inlineStr">
        <is>
          <t>FINSPÅNG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11509-2023</t>
        </is>
      </c>
      <c r="B5924" s="1" t="n">
        <v>44993</v>
      </c>
      <c r="C5924" s="1" t="n">
        <v>45710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11330-2023</t>
        </is>
      </c>
      <c r="B5925" s="1" t="n">
        <v>44993</v>
      </c>
      <c r="C5925" s="1" t="n">
        <v>45710</v>
      </c>
      <c r="D5925" t="inlineStr">
        <is>
          <t>ÖSTERGÖTLANDS LÄN</t>
        </is>
      </c>
      <c r="E5925" t="inlineStr">
        <is>
          <t>LINKÖPING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11329-2023</t>
        </is>
      </c>
      <c r="B5926" s="1" t="n">
        <v>44993</v>
      </c>
      <c r="C5926" s="1" t="n">
        <v>45710</v>
      </c>
      <c r="D5926" t="inlineStr">
        <is>
          <t>ÖSTERGÖTLANDS LÄN</t>
        </is>
      </c>
      <c r="E5926" t="inlineStr">
        <is>
          <t>KINDA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11361-2023</t>
        </is>
      </c>
      <c r="B5927" s="1" t="n">
        <v>44993</v>
      </c>
      <c r="C5927" s="1" t="n">
        <v>45710</v>
      </c>
      <c r="D5927" t="inlineStr">
        <is>
          <t>ÖSTERGÖTLANDS LÄN</t>
        </is>
      </c>
      <c r="E5927" t="inlineStr">
        <is>
          <t>LINKÖPING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11490-2023</t>
        </is>
      </c>
      <c r="B5928" s="1" t="n">
        <v>44993</v>
      </c>
      <c r="C5928" s="1" t="n">
        <v>45710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11502-2023</t>
        </is>
      </c>
      <c r="B5929" s="1" t="n">
        <v>44993</v>
      </c>
      <c r="C5929" s="1" t="n">
        <v>45710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11495-2023</t>
        </is>
      </c>
      <c r="B5930" s="1" t="n">
        <v>44993</v>
      </c>
      <c r="C5930" s="1" t="n">
        <v>45710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11514-2023</t>
        </is>
      </c>
      <c r="B5931" s="1" t="n">
        <v>44993</v>
      </c>
      <c r="C5931" s="1" t="n">
        <v>45710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11541-2023</t>
        </is>
      </c>
      <c r="B5932" s="1" t="n">
        <v>44993</v>
      </c>
      <c r="C5932" s="1" t="n">
        <v>45710</v>
      </c>
      <c r="D5932" t="inlineStr">
        <is>
          <t>ÖSTERGÖTLANDS LÄN</t>
        </is>
      </c>
      <c r="E5932" t="inlineStr">
        <is>
          <t>FINSPÅNG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11540-2023</t>
        </is>
      </c>
      <c r="B5933" s="1" t="n">
        <v>44993</v>
      </c>
      <c r="C5933" s="1" t="n">
        <v>45710</v>
      </c>
      <c r="D5933" t="inlineStr">
        <is>
          <t>ÖSTERGÖTLANDS LÄN</t>
        </is>
      </c>
      <c r="E5933" t="inlineStr">
        <is>
          <t>FINSPÅNG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11673-2023</t>
        </is>
      </c>
      <c r="B5934" s="1" t="n">
        <v>44994</v>
      </c>
      <c r="C5934" s="1" t="n">
        <v>45710</v>
      </c>
      <c r="D5934" t="inlineStr">
        <is>
          <t>ÖSTERGÖTLANDS LÄN</t>
        </is>
      </c>
      <c r="E5934" t="inlineStr">
        <is>
          <t>SÖDERKÖPING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11590-2023</t>
        </is>
      </c>
      <c r="B5935" s="1" t="n">
        <v>44994</v>
      </c>
      <c r="C5935" s="1" t="n">
        <v>45710</v>
      </c>
      <c r="D5935" t="inlineStr">
        <is>
          <t>ÖSTERGÖTLANDS LÄN</t>
        </is>
      </c>
      <c r="E5935" t="inlineStr">
        <is>
          <t>LINKÖPING</t>
        </is>
      </c>
      <c r="G5935" t="n">
        <v>3.1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11601-2023</t>
        </is>
      </c>
      <c r="B5936" s="1" t="n">
        <v>44994</v>
      </c>
      <c r="C5936" s="1" t="n">
        <v>45710</v>
      </c>
      <c r="D5936" t="inlineStr">
        <is>
          <t>ÖSTERGÖTLANDS LÄN</t>
        </is>
      </c>
      <c r="E5936" t="inlineStr">
        <is>
          <t>LINKÖPING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11566-2023</t>
        </is>
      </c>
      <c r="B5937" s="1" t="n">
        <v>44994</v>
      </c>
      <c r="C5937" s="1" t="n">
        <v>45710</v>
      </c>
      <c r="D5937" t="inlineStr">
        <is>
          <t>ÖSTERGÖTLANDS LÄN</t>
        </is>
      </c>
      <c r="E5937" t="inlineStr">
        <is>
          <t>YDRE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11567-2023</t>
        </is>
      </c>
      <c r="B5938" s="1" t="n">
        <v>44994</v>
      </c>
      <c r="C5938" s="1" t="n">
        <v>45710</v>
      </c>
      <c r="D5938" t="inlineStr">
        <is>
          <t>ÖSTERGÖTLANDS LÄN</t>
        </is>
      </c>
      <c r="E5938" t="inlineStr">
        <is>
          <t>YDRE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11576-2023</t>
        </is>
      </c>
      <c r="B5939" s="1" t="n">
        <v>44994</v>
      </c>
      <c r="C5939" s="1" t="n">
        <v>45710</v>
      </c>
      <c r="D5939" t="inlineStr">
        <is>
          <t>ÖSTERGÖTLANDS LÄN</t>
        </is>
      </c>
      <c r="E5939" t="inlineStr">
        <is>
          <t>ÅTVIDABERG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11612-2023</t>
        </is>
      </c>
      <c r="B5940" s="1" t="n">
        <v>44994</v>
      </c>
      <c r="C5940" s="1" t="n">
        <v>45710</v>
      </c>
      <c r="D5940" t="inlineStr">
        <is>
          <t>ÖSTERGÖTLANDS LÄN</t>
        </is>
      </c>
      <c r="E5940" t="inlineStr">
        <is>
          <t>NORRKÖPING</t>
        </is>
      </c>
      <c r="G5940" t="n">
        <v>3.4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11671-2023</t>
        </is>
      </c>
      <c r="B5941" s="1" t="n">
        <v>44994</v>
      </c>
      <c r="C5941" s="1" t="n">
        <v>45710</v>
      </c>
      <c r="D5941" t="inlineStr">
        <is>
          <t>ÖSTERGÖTLANDS LÄN</t>
        </is>
      </c>
      <c r="E5941" t="inlineStr">
        <is>
          <t>LINKÖPING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11758-2023</t>
        </is>
      </c>
      <c r="B5942" s="1" t="n">
        <v>44994</v>
      </c>
      <c r="C5942" s="1" t="n">
        <v>45710</v>
      </c>
      <c r="D5942" t="inlineStr">
        <is>
          <t>ÖSTERGÖTLANDS LÄN</t>
        </is>
      </c>
      <c r="E5942" t="inlineStr">
        <is>
          <t>MOTALA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11766-2023</t>
        </is>
      </c>
      <c r="B5943" s="1" t="n">
        <v>44994</v>
      </c>
      <c r="C5943" s="1" t="n">
        <v>45710</v>
      </c>
      <c r="D5943" t="inlineStr">
        <is>
          <t>ÖSTERGÖTLANDS LÄN</t>
        </is>
      </c>
      <c r="E5943" t="inlineStr">
        <is>
          <t>ÅTVIDABERG</t>
        </is>
      </c>
      <c r="F5943" t="inlineStr">
        <is>
          <t>Övriga Aktiebolag</t>
        </is>
      </c>
      <c r="G5943" t="n">
        <v>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11790-2023</t>
        </is>
      </c>
      <c r="B5944" s="1" t="n">
        <v>44994</v>
      </c>
      <c r="C5944" s="1" t="n">
        <v>45710</v>
      </c>
      <c r="D5944" t="inlineStr">
        <is>
          <t>ÖSTERGÖTLANDS LÄN</t>
        </is>
      </c>
      <c r="E5944" t="inlineStr">
        <is>
          <t>YDRE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11785-2023</t>
        </is>
      </c>
      <c r="B5945" s="1" t="n">
        <v>44994</v>
      </c>
      <c r="C5945" s="1" t="n">
        <v>45710</v>
      </c>
      <c r="D5945" t="inlineStr">
        <is>
          <t>ÖSTERGÖTLANDS LÄN</t>
        </is>
      </c>
      <c r="E5945" t="inlineStr">
        <is>
          <t>YDRE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11788-2023</t>
        </is>
      </c>
      <c r="B5946" s="1" t="n">
        <v>44994</v>
      </c>
      <c r="C5946" s="1" t="n">
        <v>45710</v>
      </c>
      <c r="D5946" t="inlineStr">
        <is>
          <t>ÖSTERGÖTLANDS LÄN</t>
        </is>
      </c>
      <c r="E5946" t="inlineStr">
        <is>
          <t>YDRE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11967-2023</t>
        </is>
      </c>
      <c r="B5947" s="1" t="n">
        <v>44994</v>
      </c>
      <c r="C5947" s="1" t="n">
        <v>45710</v>
      </c>
      <c r="D5947" t="inlineStr">
        <is>
          <t>ÖSTERGÖTLANDS LÄN</t>
        </is>
      </c>
      <c r="E5947" t="inlineStr">
        <is>
          <t>ÖDESHÖG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11972-2023</t>
        </is>
      </c>
      <c r="B5948" s="1" t="n">
        <v>44994</v>
      </c>
      <c r="C5948" s="1" t="n">
        <v>45710</v>
      </c>
      <c r="D5948" t="inlineStr">
        <is>
          <t>ÖSTERGÖTLANDS LÄN</t>
        </is>
      </c>
      <c r="E5948" t="inlineStr">
        <is>
          <t>ÖDESHÖG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11882-2023</t>
        </is>
      </c>
      <c r="B5949" s="1" t="n">
        <v>44995</v>
      </c>
      <c r="C5949" s="1" t="n">
        <v>45710</v>
      </c>
      <c r="D5949" t="inlineStr">
        <is>
          <t>ÖSTERGÖTLANDS LÄN</t>
        </is>
      </c>
      <c r="E5949" t="inlineStr">
        <is>
          <t>ÅTVIDABERG</t>
        </is>
      </c>
      <c r="F5949" t="inlineStr">
        <is>
          <t>Övriga Aktiebolag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11974-2023</t>
        </is>
      </c>
      <c r="B5950" s="1" t="n">
        <v>44995</v>
      </c>
      <c r="C5950" s="1" t="n">
        <v>45710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Holmen skog AB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11950-2023</t>
        </is>
      </c>
      <c r="B5951" s="1" t="n">
        <v>44995</v>
      </c>
      <c r="C5951" s="1" t="n">
        <v>45710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11858-2023</t>
        </is>
      </c>
      <c r="B5952" s="1" t="n">
        <v>44995</v>
      </c>
      <c r="C5952" s="1" t="n">
        <v>45710</v>
      </c>
      <c r="D5952" t="inlineStr">
        <is>
          <t>ÖSTERGÖTLANDS LÄN</t>
        </is>
      </c>
      <c r="E5952" t="inlineStr">
        <is>
          <t>ÅTVIDABERG</t>
        </is>
      </c>
      <c r="F5952" t="inlineStr">
        <is>
          <t>Övriga Aktiebolag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12176-2023</t>
        </is>
      </c>
      <c r="B5953" s="1" t="n">
        <v>44998</v>
      </c>
      <c r="C5953" s="1" t="n">
        <v>45710</v>
      </c>
      <c r="D5953" t="inlineStr">
        <is>
          <t>ÖSTERGÖTLANDS LÄN</t>
        </is>
      </c>
      <c r="E5953" t="inlineStr">
        <is>
          <t>NORRKÖPING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12191-2023</t>
        </is>
      </c>
      <c r="B5954" s="1" t="n">
        <v>44998</v>
      </c>
      <c r="C5954" s="1" t="n">
        <v>45710</v>
      </c>
      <c r="D5954" t="inlineStr">
        <is>
          <t>ÖSTERGÖTLANDS LÄN</t>
        </is>
      </c>
      <c r="E5954" t="inlineStr">
        <is>
          <t>NORRKÖPING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12249-2023</t>
        </is>
      </c>
      <c r="B5955" s="1" t="n">
        <v>44998</v>
      </c>
      <c r="C5955" s="1" t="n">
        <v>45710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12090-2023</t>
        </is>
      </c>
      <c r="B5956" s="1" t="n">
        <v>44998</v>
      </c>
      <c r="C5956" s="1" t="n">
        <v>45710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Sveaskog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12088-2023</t>
        </is>
      </c>
      <c r="B5957" s="1" t="n">
        <v>44998</v>
      </c>
      <c r="C5957" s="1" t="n">
        <v>45710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Sveaskog</t>
        </is>
      </c>
      <c r="G5957" t="n">
        <v>4.1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12091-2023</t>
        </is>
      </c>
      <c r="B5958" s="1" t="n">
        <v>44998</v>
      </c>
      <c r="C5958" s="1" t="n">
        <v>45710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12269-2023</t>
        </is>
      </c>
      <c r="B5959" s="1" t="n">
        <v>44998</v>
      </c>
      <c r="C5959" s="1" t="n">
        <v>45710</v>
      </c>
      <c r="D5959" t="inlineStr">
        <is>
          <t>ÖSTERGÖTLANDS LÄN</t>
        </is>
      </c>
      <c r="E5959" t="inlineStr">
        <is>
          <t>KINDA</t>
        </is>
      </c>
      <c r="G5959" t="n">
        <v>0.3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12126-2023</t>
        </is>
      </c>
      <c r="B5960" s="1" t="n">
        <v>44998</v>
      </c>
      <c r="C5960" s="1" t="n">
        <v>45710</v>
      </c>
      <c r="D5960" t="inlineStr">
        <is>
          <t>ÖSTERGÖTLANDS LÄN</t>
        </is>
      </c>
      <c r="E5960" t="inlineStr">
        <is>
          <t>YDRE</t>
        </is>
      </c>
      <c r="G5960" t="n">
        <v>6.7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12189-2023</t>
        </is>
      </c>
      <c r="B5961" s="1" t="n">
        <v>44998</v>
      </c>
      <c r="C5961" s="1" t="n">
        <v>45710</v>
      </c>
      <c r="D5961" t="inlineStr">
        <is>
          <t>ÖSTERGÖTLANDS LÄN</t>
        </is>
      </c>
      <c r="E5961" t="inlineStr">
        <is>
          <t>NORRKÖPING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12383-2023</t>
        </is>
      </c>
      <c r="B5962" s="1" t="n">
        <v>44999</v>
      </c>
      <c r="C5962" s="1" t="n">
        <v>45710</v>
      </c>
      <c r="D5962" t="inlineStr">
        <is>
          <t>ÖSTERGÖTLANDS LÄN</t>
        </is>
      </c>
      <c r="E5962" t="inlineStr">
        <is>
          <t>MOTALA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12332-2023</t>
        </is>
      </c>
      <c r="B5963" s="1" t="n">
        <v>44999</v>
      </c>
      <c r="C5963" s="1" t="n">
        <v>45710</v>
      </c>
      <c r="D5963" t="inlineStr">
        <is>
          <t>ÖSTERGÖTLANDS LÄN</t>
        </is>
      </c>
      <c r="E5963" t="inlineStr">
        <is>
          <t>ÖDESHÖG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12387-2023</t>
        </is>
      </c>
      <c r="B5964" s="1" t="n">
        <v>44999</v>
      </c>
      <c r="C5964" s="1" t="n">
        <v>45710</v>
      </c>
      <c r="D5964" t="inlineStr">
        <is>
          <t>ÖSTERGÖTLANDS LÄN</t>
        </is>
      </c>
      <c r="E5964" t="inlineStr">
        <is>
          <t>MOTALA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12431-2023</t>
        </is>
      </c>
      <c r="B5965" s="1" t="n">
        <v>44999</v>
      </c>
      <c r="C5965" s="1" t="n">
        <v>45710</v>
      </c>
      <c r="D5965" t="inlineStr">
        <is>
          <t>ÖSTERGÖTLANDS LÄN</t>
        </is>
      </c>
      <c r="E5965" t="inlineStr">
        <is>
          <t>VALDEMARSVIK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12459-2023</t>
        </is>
      </c>
      <c r="B5966" s="1" t="n">
        <v>44999</v>
      </c>
      <c r="C5966" s="1" t="n">
        <v>45710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12434-2023</t>
        </is>
      </c>
      <c r="B5967" s="1" t="n">
        <v>44999</v>
      </c>
      <c r="C5967" s="1" t="n">
        <v>45710</v>
      </c>
      <c r="D5967" t="inlineStr">
        <is>
          <t>ÖSTERGÖTLANDS LÄN</t>
        </is>
      </c>
      <c r="E5967" t="inlineStr">
        <is>
          <t>MOTALA</t>
        </is>
      </c>
      <c r="F5967" t="inlineStr">
        <is>
          <t>Allmännings- och besparingsskogar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12461-2023</t>
        </is>
      </c>
      <c r="B5968" s="1" t="n">
        <v>44999</v>
      </c>
      <c r="C5968" s="1" t="n">
        <v>45710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12479-2023</t>
        </is>
      </c>
      <c r="B5969" s="1" t="n">
        <v>44999</v>
      </c>
      <c r="C5969" s="1" t="n">
        <v>45710</v>
      </c>
      <c r="D5969" t="inlineStr">
        <is>
          <t>ÖSTERGÖTLANDS LÄN</t>
        </is>
      </c>
      <c r="E5969" t="inlineStr">
        <is>
          <t>LINKÖPING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12493-2023</t>
        </is>
      </c>
      <c r="B5970" s="1" t="n">
        <v>44999</v>
      </c>
      <c r="C5970" s="1" t="n">
        <v>45710</v>
      </c>
      <c r="D5970" t="inlineStr">
        <is>
          <t>ÖSTERGÖTLANDS LÄN</t>
        </is>
      </c>
      <c r="E5970" t="inlineStr">
        <is>
          <t>NORRKÖPING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12511-2023</t>
        </is>
      </c>
      <c r="B5971" s="1" t="n">
        <v>44999</v>
      </c>
      <c r="C5971" s="1" t="n">
        <v>45710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Allmännings- och besparingsskogar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12501-2023</t>
        </is>
      </c>
      <c r="B5972" s="1" t="n">
        <v>44999</v>
      </c>
      <c r="C5972" s="1" t="n">
        <v>45710</v>
      </c>
      <c r="D5972" t="inlineStr">
        <is>
          <t>ÖSTERGÖTLANDS LÄN</t>
        </is>
      </c>
      <c r="E5972" t="inlineStr">
        <is>
          <t>FINSPÅNG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12706-2023</t>
        </is>
      </c>
      <c r="B5973" s="1" t="n">
        <v>45000</v>
      </c>
      <c r="C5973" s="1" t="n">
        <v>45710</v>
      </c>
      <c r="D5973" t="inlineStr">
        <is>
          <t>ÖSTERGÖTLANDS LÄN</t>
        </is>
      </c>
      <c r="E5973" t="inlineStr">
        <is>
          <t>KINDA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12646-2023</t>
        </is>
      </c>
      <c r="B5974" s="1" t="n">
        <v>45000</v>
      </c>
      <c r="C5974" s="1" t="n">
        <v>45710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12668-2023</t>
        </is>
      </c>
      <c r="B5975" s="1" t="n">
        <v>45000</v>
      </c>
      <c r="C5975" s="1" t="n">
        <v>45710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12569-2023</t>
        </is>
      </c>
      <c r="B5976" s="1" t="n">
        <v>45000</v>
      </c>
      <c r="C5976" s="1" t="n">
        <v>45710</v>
      </c>
      <c r="D5976" t="inlineStr">
        <is>
          <t>ÖSTERGÖTLANDS LÄN</t>
        </is>
      </c>
      <c r="E5976" t="inlineStr">
        <is>
          <t>YDRE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12627-2023</t>
        </is>
      </c>
      <c r="B5977" s="1" t="n">
        <v>45000</v>
      </c>
      <c r="C5977" s="1" t="n">
        <v>45710</v>
      </c>
      <c r="D5977" t="inlineStr">
        <is>
          <t>ÖSTERGÖTLANDS LÄN</t>
        </is>
      </c>
      <c r="E5977" t="inlineStr">
        <is>
          <t>VALDEMARSVIK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12549-2023</t>
        </is>
      </c>
      <c r="B5978" s="1" t="n">
        <v>45000</v>
      </c>
      <c r="C5978" s="1" t="n">
        <v>45710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12702-2023</t>
        </is>
      </c>
      <c r="B5979" s="1" t="n">
        <v>45000</v>
      </c>
      <c r="C5979" s="1" t="n">
        <v>45710</v>
      </c>
      <c r="D5979" t="inlineStr">
        <is>
          <t>ÖSTERGÖTLANDS LÄN</t>
        </is>
      </c>
      <c r="E5979" t="inlineStr">
        <is>
          <t>ÖDESHÖG</t>
        </is>
      </c>
      <c r="G5979" t="n">
        <v>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12804-2023</t>
        </is>
      </c>
      <c r="B5980" s="1" t="n">
        <v>45000</v>
      </c>
      <c r="C5980" s="1" t="n">
        <v>45710</v>
      </c>
      <c r="D5980" t="inlineStr">
        <is>
          <t>ÖSTERGÖTLANDS LÄN</t>
        </is>
      </c>
      <c r="E5980" t="inlineStr">
        <is>
          <t>KINDA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12817-2023</t>
        </is>
      </c>
      <c r="B5981" s="1" t="n">
        <v>45000</v>
      </c>
      <c r="C5981" s="1" t="n">
        <v>45710</v>
      </c>
      <c r="D5981" t="inlineStr">
        <is>
          <t>ÖSTERGÖTLANDS LÄN</t>
        </is>
      </c>
      <c r="E5981" t="inlineStr">
        <is>
          <t>KINDA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12829-2023</t>
        </is>
      </c>
      <c r="B5982" s="1" t="n">
        <v>45000</v>
      </c>
      <c r="C5982" s="1" t="n">
        <v>45710</v>
      </c>
      <c r="D5982" t="inlineStr">
        <is>
          <t>ÖSTERGÖTLANDS LÄN</t>
        </is>
      </c>
      <c r="E5982" t="inlineStr">
        <is>
          <t>KINDA</t>
        </is>
      </c>
      <c r="G5982" t="n">
        <v>3.7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12822-2023</t>
        </is>
      </c>
      <c r="B5983" s="1" t="n">
        <v>45000</v>
      </c>
      <c r="C5983" s="1" t="n">
        <v>45710</v>
      </c>
      <c r="D5983" t="inlineStr">
        <is>
          <t>ÖSTERGÖTLANDS LÄN</t>
        </is>
      </c>
      <c r="E5983" t="inlineStr">
        <is>
          <t>KINDA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12845-2023</t>
        </is>
      </c>
      <c r="B5984" s="1" t="n">
        <v>45000</v>
      </c>
      <c r="C5984" s="1" t="n">
        <v>45710</v>
      </c>
      <c r="D5984" t="inlineStr">
        <is>
          <t>ÖSTERGÖTLANDS LÄN</t>
        </is>
      </c>
      <c r="E5984" t="inlineStr">
        <is>
          <t>KINDA</t>
        </is>
      </c>
      <c r="G5984" t="n">
        <v>7.6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12811-2023</t>
        </is>
      </c>
      <c r="B5985" s="1" t="n">
        <v>45000</v>
      </c>
      <c r="C5985" s="1" t="n">
        <v>45710</v>
      </c>
      <c r="D5985" t="inlineStr">
        <is>
          <t>ÖSTERGÖTLANDS LÄN</t>
        </is>
      </c>
      <c r="E5985" t="inlineStr">
        <is>
          <t>KINDA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12904-2023</t>
        </is>
      </c>
      <c r="B5986" s="1" t="n">
        <v>45000</v>
      </c>
      <c r="C5986" s="1" t="n">
        <v>45710</v>
      </c>
      <c r="D5986" t="inlineStr">
        <is>
          <t>ÖSTERGÖTLANDS LÄN</t>
        </is>
      </c>
      <c r="E5986" t="inlineStr">
        <is>
          <t>KINDA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12896-2023</t>
        </is>
      </c>
      <c r="B5987" s="1" t="n">
        <v>45000</v>
      </c>
      <c r="C5987" s="1" t="n">
        <v>45710</v>
      </c>
      <c r="D5987" t="inlineStr">
        <is>
          <t>ÖSTERGÖTLANDS LÄN</t>
        </is>
      </c>
      <c r="E5987" t="inlineStr">
        <is>
          <t>KINDA</t>
        </is>
      </c>
      <c r="G5987" t="n">
        <v>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12844-2023</t>
        </is>
      </c>
      <c r="B5988" s="1" t="n">
        <v>45001</v>
      </c>
      <c r="C5988" s="1" t="n">
        <v>45710</v>
      </c>
      <c r="D5988" t="inlineStr">
        <is>
          <t>ÖSTERGÖTLANDS LÄN</t>
        </is>
      </c>
      <c r="E5988" t="inlineStr">
        <is>
          <t>YDRE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12849-2023</t>
        </is>
      </c>
      <c r="B5989" s="1" t="n">
        <v>45001</v>
      </c>
      <c r="C5989" s="1" t="n">
        <v>45710</v>
      </c>
      <c r="D5989" t="inlineStr">
        <is>
          <t>ÖSTERGÖTLANDS LÄN</t>
        </is>
      </c>
      <c r="E5989" t="inlineStr">
        <is>
          <t>YDRE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12838-2023</t>
        </is>
      </c>
      <c r="B5990" s="1" t="n">
        <v>45001</v>
      </c>
      <c r="C5990" s="1" t="n">
        <v>45710</v>
      </c>
      <c r="D5990" t="inlineStr">
        <is>
          <t>ÖSTERGÖTLANDS LÄN</t>
        </is>
      </c>
      <c r="E5990" t="inlineStr">
        <is>
          <t>YDRE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12905-2023</t>
        </is>
      </c>
      <c r="B5991" s="1" t="n">
        <v>45001</v>
      </c>
      <c r="C5991" s="1" t="n">
        <v>45710</v>
      </c>
      <c r="D5991" t="inlineStr">
        <is>
          <t>ÖSTERGÖTLANDS LÄN</t>
        </is>
      </c>
      <c r="E5991" t="inlineStr">
        <is>
          <t>MOTALA</t>
        </is>
      </c>
      <c r="G5991" t="n">
        <v>3.7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12907-2023</t>
        </is>
      </c>
      <c r="B5992" s="1" t="n">
        <v>45001</v>
      </c>
      <c r="C5992" s="1" t="n">
        <v>45710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Övriga Aktiebolag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12836-2023</t>
        </is>
      </c>
      <c r="B5993" s="1" t="n">
        <v>45001</v>
      </c>
      <c r="C5993" s="1" t="n">
        <v>45710</v>
      </c>
      <c r="D5993" t="inlineStr">
        <is>
          <t>ÖSTERGÖTLANDS LÄN</t>
        </is>
      </c>
      <c r="E5993" t="inlineStr">
        <is>
          <t>YDRE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12914-2023</t>
        </is>
      </c>
      <c r="B5994" s="1" t="n">
        <v>45001</v>
      </c>
      <c r="C5994" s="1" t="n">
        <v>45710</v>
      </c>
      <c r="D5994" t="inlineStr">
        <is>
          <t>ÖSTERGÖTLANDS LÄN</t>
        </is>
      </c>
      <c r="E5994" t="inlineStr">
        <is>
          <t>MOTALA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12919-2023</t>
        </is>
      </c>
      <c r="B5995" s="1" t="n">
        <v>45001</v>
      </c>
      <c r="C5995" s="1" t="n">
        <v>45710</v>
      </c>
      <c r="D5995" t="inlineStr">
        <is>
          <t>ÖSTERGÖTLANDS LÄN</t>
        </is>
      </c>
      <c r="E5995" t="inlineStr">
        <is>
          <t>MOTALA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12916-2023</t>
        </is>
      </c>
      <c r="B5996" s="1" t="n">
        <v>45001</v>
      </c>
      <c r="C5996" s="1" t="n">
        <v>45710</v>
      </c>
      <c r="D5996" t="inlineStr">
        <is>
          <t>ÖSTERGÖTLANDS LÄN</t>
        </is>
      </c>
      <c r="E5996" t="inlineStr">
        <is>
          <t>MOTALA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12948-2023</t>
        </is>
      </c>
      <c r="B5997" s="1" t="n">
        <v>45001</v>
      </c>
      <c r="C5997" s="1" t="n">
        <v>45710</v>
      </c>
      <c r="D5997" t="inlineStr">
        <is>
          <t>ÖSTERGÖTLANDS LÄN</t>
        </is>
      </c>
      <c r="E5997" t="inlineStr">
        <is>
          <t>KINDA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12967-2023</t>
        </is>
      </c>
      <c r="B5998" s="1" t="n">
        <v>45001</v>
      </c>
      <c r="C5998" s="1" t="n">
        <v>45710</v>
      </c>
      <c r="D5998" t="inlineStr">
        <is>
          <t>ÖSTERGÖTLANDS LÄN</t>
        </is>
      </c>
      <c r="E5998" t="inlineStr">
        <is>
          <t>ÅTVIDABERG</t>
        </is>
      </c>
      <c r="G5998" t="n">
        <v>8.4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12969-2023</t>
        </is>
      </c>
      <c r="B5999" s="1" t="n">
        <v>45001</v>
      </c>
      <c r="C5999" s="1" t="n">
        <v>45710</v>
      </c>
      <c r="D5999" t="inlineStr">
        <is>
          <t>ÖSTERGÖTLANDS LÄN</t>
        </is>
      </c>
      <c r="E5999" t="inlineStr">
        <is>
          <t>ÅTVIDABERG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12970-2023</t>
        </is>
      </c>
      <c r="B6000" s="1" t="n">
        <v>45001</v>
      </c>
      <c r="C6000" s="1" t="n">
        <v>45710</v>
      </c>
      <c r="D6000" t="inlineStr">
        <is>
          <t>ÖSTERGÖTLANDS LÄN</t>
        </is>
      </c>
      <c r="E6000" t="inlineStr">
        <is>
          <t>ÅTVIDABERG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13084-2023</t>
        </is>
      </c>
      <c r="B6001" s="1" t="n">
        <v>45002</v>
      </c>
      <c r="C6001" s="1" t="n">
        <v>45710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13129-2023</t>
        </is>
      </c>
      <c r="B6002" s="1" t="n">
        <v>45002</v>
      </c>
      <c r="C6002" s="1" t="n">
        <v>45710</v>
      </c>
      <c r="D6002" t="inlineStr">
        <is>
          <t>ÖSTERGÖTLANDS LÄN</t>
        </is>
      </c>
      <c r="E6002" t="inlineStr">
        <is>
          <t>ÖDESHÖG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13104-2023</t>
        </is>
      </c>
      <c r="B6003" s="1" t="n">
        <v>45002</v>
      </c>
      <c r="C6003" s="1" t="n">
        <v>45710</v>
      </c>
      <c r="D6003" t="inlineStr">
        <is>
          <t>ÖSTERGÖTLANDS LÄN</t>
        </is>
      </c>
      <c r="E6003" t="inlineStr">
        <is>
          <t>FINSPÅNG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13171-2023</t>
        </is>
      </c>
      <c r="B6004" s="1" t="n">
        <v>45002</v>
      </c>
      <c r="C6004" s="1" t="n">
        <v>45710</v>
      </c>
      <c r="D6004" t="inlineStr">
        <is>
          <t>ÖSTERGÖTLANDS LÄN</t>
        </is>
      </c>
      <c r="E6004" t="inlineStr">
        <is>
          <t>NORRKÖPING</t>
        </is>
      </c>
      <c r="G6004" t="n">
        <v>3.4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13219-2023</t>
        </is>
      </c>
      <c r="B6005" s="1" t="n">
        <v>45002</v>
      </c>
      <c r="C6005" s="1" t="n">
        <v>45710</v>
      </c>
      <c r="D6005" t="inlineStr">
        <is>
          <t>ÖSTERGÖTLANDS LÄN</t>
        </is>
      </c>
      <c r="E6005" t="inlineStr">
        <is>
          <t>VALDEMARSVIK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13231-2023</t>
        </is>
      </c>
      <c r="B6006" s="1" t="n">
        <v>45002</v>
      </c>
      <c r="C6006" s="1" t="n">
        <v>45710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Kyrkan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13221-2023</t>
        </is>
      </c>
      <c r="B6007" s="1" t="n">
        <v>45002</v>
      </c>
      <c r="C6007" s="1" t="n">
        <v>45710</v>
      </c>
      <c r="D6007" t="inlineStr">
        <is>
          <t>ÖSTERGÖTLANDS LÄN</t>
        </is>
      </c>
      <c r="E6007" t="inlineStr">
        <is>
          <t>VALDEMARSVIK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13229-2023</t>
        </is>
      </c>
      <c r="B6008" s="1" t="n">
        <v>45002</v>
      </c>
      <c r="C6008" s="1" t="n">
        <v>45710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Kyrkan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13234-2023</t>
        </is>
      </c>
      <c r="B6009" s="1" t="n">
        <v>45002</v>
      </c>
      <c r="C6009" s="1" t="n">
        <v>45710</v>
      </c>
      <c r="D6009" t="inlineStr">
        <is>
          <t>ÖSTERGÖTLANDS LÄN</t>
        </is>
      </c>
      <c r="E6009" t="inlineStr">
        <is>
          <t>FINSPÅNG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13392-2023</t>
        </is>
      </c>
      <c r="B6010" s="1" t="n">
        <v>45005</v>
      </c>
      <c r="C6010" s="1" t="n">
        <v>45710</v>
      </c>
      <c r="D6010" t="inlineStr">
        <is>
          <t>ÖSTERGÖTLANDS LÄN</t>
        </is>
      </c>
      <c r="E6010" t="inlineStr">
        <is>
          <t>NORRKÖPING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13424-2023</t>
        </is>
      </c>
      <c r="B6011" s="1" t="n">
        <v>45005</v>
      </c>
      <c r="C6011" s="1" t="n">
        <v>45710</v>
      </c>
      <c r="D6011" t="inlineStr">
        <is>
          <t>ÖSTERGÖTLANDS LÄN</t>
        </is>
      </c>
      <c r="E6011" t="inlineStr">
        <is>
          <t>KINDA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13443-2023</t>
        </is>
      </c>
      <c r="B6012" s="1" t="n">
        <v>45005</v>
      </c>
      <c r="C6012" s="1" t="n">
        <v>45710</v>
      </c>
      <c r="D6012" t="inlineStr">
        <is>
          <t>ÖSTERGÖTLANDS LÄN</t>
        </is>
      </c>
      <c r="E6012" t="inlineStr">
        <is>
          <t>NORRKÖPING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13413-2023</t>
        </is>
      </c>
      <c r="B6013" s="1" t="n">
        <v>45005</v>
      </c>
      <c r="C6013" s="1" t="n">
        <v>45710</v>
      </c>
      <c r="D6013" t="inlineStr">
        <is>
          <t>ÖSTERGÖTLANDS LÄN</t>
        </is>
      </c>
      <c r="E6013" t="inlineStr">
        <is>
          <t>LINKÖPING</t>
        </is>
      </c>
      <c r="G6013" t="n">
        <v>2.4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13406-2023</t>
        </is>
      </c>
      <c r="B6014" s="1" t="n">
        <v>45005</v>
      </c>
      <c r="C6014" s="1" t="n">
        <v>45710</v>
      </c>
      <c r="D6014" t="inlineStr">
        <is>
          <t>ÖSTERGÖTLANDS LÄN</t>
        </is>
      </c>
      <c r="E6014" t="inlineStr">
        <is>
          <t>LINKÖPING</t>
        </is>
      </c>
      <c r="G6014" t="n">
        <v>4.6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13387-2023</t>
        </is>
      </c>
      <c r="B6015" s="1" t="n">
        <v>45005</v>
      </c>
      <c r="C6015" s="1" t="n">
        <v>45710</v>
      </c>
      <c r="D6015" t="inlineStr">
        <is>
          <t>ÖSTERGÖTLANDS LÄN</t>
        </is>
      </c>
      <c r="E6015" t="inlineStr">
        <is>
          <t>NORRKÖPING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13439-2023</t>
        </is>
      </c>
      <c r="B6016" s="1" t="n">
        <v>45005</v>
      </c>
      <c r="C6016" s="1" t="n">
        <v>45710</v>
      </c>
      <c r="D6016" t="inlineStr">
        <is>
          <t>ÖSTERGÖTLANDS LÄN</t>
        </is>
      </c>
      <c r="E6016" t="inlineStr">
        <is>
          <t>KINDA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13517-2023</t>
        </is>
      </c>
      <c r="B6017" s="1" t="n">
        <v>45006</v>
      </c>
      <c r="C6017" s="1" t="n">
        <v>45710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13525-2023</t>
        </is>
      </c>
      <c r="B6018" s="1" t="n">
        <v>45006</v>
      </c>
      <c r="C6018" s="1" t="n">
        <v>45710</v>
      </c>
      <c r="D6018" t="inlineStr">
        <is>
          <t>ÖSTERGÖTLANDS LÄN</t>
        </is>
      </c>
      <c r="E6018" t="inlineStr">
        <is>
          <t>MOTALA</t>
        </is>
      </c>
      <c r="G6018" t="n">
        <v>3.5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13579-2023</t>
        </is>
      </c>
      <c r="B6019" s="1" t="n">
        <v>45006</v>
      </c>
      <c r="C6019" s="1" t="n">
        <v>45710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13516-2023</t>
        </is>
      </c>
      <c r="B6020" s="1" t="n">
        <v>45006</v>
      </c>
      <c r="C6020" s="1" t="n">
        <v>45710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13551-2023</t>
        </is>
      </c>
      <c r="B6021" s="1" t="n">
        <v>45006</v>
      </c>
      <c r="C6021" s="1" t="n">
        <v>45710</v>
      </c>
      <c r="D6021" t="inlineStr">
        <is>
          <t>ÖSTERGÖTLANDS LÄN</t>
        </is>
      </c>
      <c r="E6021" t="inlineStr">
        <is>
          <t>ÖDESHÖG</t>
        </is>
      </c>
      <c r="G6021" t="n">
        <v>3.1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13535-2023</t>
        </is>
      </c>
      <c r="B6022" s="1" t="n">
        <v>45006</v>
      </c>
      <c r="C6022" s="1" t="n">
        <v>45710</v>
      </c>
      <c r="D6022" t="inlineStr">
        <is>
          <t>ÖSTERGÖTLANDS LÄN</t>
        </is>
      </c>
      <c r="E6022" t="inlineStr">
        <is>
          <t>MOTALA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13671-2023</t>
        </is>
      </c>
      <c r="B6023" s="1" t="n">
        <v>45006</v>
      </c>
      <c r="C6023" s="1" t="n">
        <v>45710</v>
      </c>
      <c r="D6023" t="inlineStr">
        <is>
          <t>ÖSTERGÖTLANDS LÄN</t>
        </is>
      </c>
      <c r="E6023" t="inlineStr">
        <is>
          <t>FINSPÅNG</t>
        </is>
      </c>
      <c r="G6023" t="n">
        <v>5.3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13564-2023</t>
        </is>
      </c>
      <c r="B6024" s="1" t="n">
        <v>45006</v>
      </c>
      <c r="C6024" s="1" t="n">
        <v>45710</v>
      </c>
      <c r="D6024" t="inlineStr">
        <is>
          <t>ÖSTERGÖTLANDS LÄN</t>
        </is>
      </c>
      <c r="E6024" t="inlineStr">
        <is>
          <t>ÖDESHÖG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13591-2023</t>
        </is>
      </c>
      <c r="B6025" s="1" t="n">
        <v>45006</v>
      </c>
      <c r="C6025" s="1" t="n">
        <v>45710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2.6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13519-2023</t>
        </is>
      </c>
      <c r="B6026" s="1" t="n">
        <v>45006</v>
      </c>
      <c r="C6026" s="1" t="n">
        <v>45710</v>
      </c>
      <c r="D6026" t="inlineStr">
        <is>
          <t>ÖSTERGÖTLANDS LÄN</t>
        </is>
      </c>
      <c r="E6026" t="inlineStr">
        <is>
          <t>SÖDERKÖPING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13534-2023</t>
        </is>
      </c>
      <c r="B6027" s="1" t="n">
        <v>45006</v>
      </c>
      <c r="C6027" s="1" t="n">
        <v>45710</v>
      </c>
      <c r="D6027" t="inlineStr">
        <is>
          <t>ÖSTERGÖTLANDS LÄN</t>
        </is>
      </c>
      <c r="E6027" t="inlineStr">
        <is>
          <t>LINKÖPING</t>
        </is>
      </c>
      <c r="F6027" t="inlineStr">
        <is>
          <t>Kyrkan</t>
        </is>
      </c>
      <c r="G6027" t="n">
        <v>7.9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13769-2023</t>
        </is>
      </c>
      <c r="B6028" s="1" t="n">
        <v>45007</v>
      </c>
      <c r="C6028" s="1" t="n">
        <v>45710</v>
      </c>
      <c r="D6028" t="inlineStr">
        <is>
          <t>ÖSTERGÖTLANDS LÄN</t>
        </is>
      </c>
      <c r="E6028" t="inlineStr">
        <is>
          <t>KINDA</t>
        </is>
      </c>
      <c r="G6028" t="n">
        <v>3.8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13776-2023</t>
        </is>
      </c>
      <c r="B6029" s="1" t="n">
        <v>45007</v>
      </c>
      <c r="C6029" s="1" t="n">
        <v>45710</v>
      </c>
      <c r="D6029" t="inlineStr">
        <is>
          <t>ÖSTERGÖTLANDS LÄN</t>
        </is>
      </c>
      <c r="E6029" t="inlineStr">
        <is>
          <t>KINDA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13782-2023</t>
        </is>
      </c>
      <c r="B6030" s="1" t="n">
        <v>45007</v>
      </c>
      <c r="C6030" s="1" t="n">
        <v>45710</v>
      </c>
      <c r="D6030" t="inlineStr">
        <is>
          <t>ÖSTERGÖTLANDS LÄN</t>
        </is>
      </c>
      <c r="E6030" t="inlineStr">
        <is>
          <t>KINDA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13711-2023</t>
        </is>
      </c>
      <c r="B6031" s="1" t="n">
        <v>45007</v>
      </c>
      <c r="C6031" s="1" t="n">
        <v>45710</v>
      </c>
      <c r="D6031" t="inlineStr">
        <is>
          <t>ÖSTERGÖTLANDS LÄN</t>
        </is>
      </c>
      <c r="E6031" t="inlineStr">
        <is>
          <t>ÅTVIDABERG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13840-2023</t>
        </is>
      </c>
      <c r="B6032" s="1" t="n">
        <v>45007</v>
      </c>
      <c r="C6032" s="1" t="n">
        <v>45710</v>
      </c>
      <c r="D6032" t="inlineStr">
        <is>
          <t>ÖSTERGÖTLANDS LÄN</t>
        </is>
      </c>
      <c r="E6032" t="inlineStr">
        <is>
          <t>MJÖLBY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13872-2023</t>
        </is>
      </c>
      <c r="B6033" s="1" t="n">
        <v>45007</v>
      </c>
      <c r="C6033" s="1" t="n">
        <v>45710</v>
      </c>
      <c r="D6033" t="inlineStr">
        <is>
          <t>ÖSTERGÖTLANDS LÄN</t>
        </is>
      </c>
      <c r="E6033" t="inlineStr">
        <is>
          <t>KINDA</t>
        </is>
      </c>
      <c r="G6033" t="n">
        <v>4.5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13968-2023</t>
        </is>
      </c>
      <c r="B6034" s="1" t="n">
        <v>45008</v>
      </c>
      <c r="C6034" s="1" t="n">
        <v>45710</v>
      </c>
      <c r="D6034" t="inlineStr">
        <is>
          <t>ÖSTERGÖTLANDS LÄN</t>
        </is>
      </c>
      <c r="E6034" t="inlineStr">
        <is>
          <t>KINDA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13944-2023</t>
        </is>
      </c>
      <c r="B6035" s="1" t="n">
        <v>45008</v>
      </c>
      <c r="C6035" s="1" t="n">
        <v>45710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5.5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13911-2023</t>
        </is>
      </c>
      <c r="B6036" s="1" t="n">
        <v>45008</v>
      </c>
      <c r="C6036" s="1" t="n">
        <v>45710</v>
      </c>
      <c r="D6036" t="inlineStr">
        <is>
          <t>ÖSTERGÖTLANDS LÄN</t>
        </is>
      </c>
      <c r="E6036" t="inlineStr">
        <is>
          <t>NORRKÖPING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13918-2023</t>
        </is>
      </c>
      <c r="B6037" s="1" t="n">
        <v>45008</v>
      </c>
      <c r="C6037" s="1" t="n">
        <v>45710</v>
      </c>
      <c r="D6037" t="inlineStr">
        <is>
          <t>ÖSTERGÖTLANDS LÄN</t>
        </is>
      </c>
      <c r="E6037" t="inlineStr">
        <is>
          <t>NORRKÖPING</t>
        </is>
      </c>
      <c r="G6037" t="n">
        <v>2.8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14151-2023</t>
        </is>
      </c>
      <c r="B6038" s="1" t="n">
        <v>45008</v>
      </c>
      <c r="C6038" s="1" t="n">
        <v>45710</v>
      </c>
      <c r="D6038" t="inlineStr">
        <is>
          <t>ÖSTERGÖTLANDS LÄN</t>
        </is>
      </c>
      <c r="E6038" t="inlineStr">
        <is>
          <t>BOXHOLM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14022-2023</t>
        </is>
      </c>
      <c r="B6039" s="1" t="n">
        <v>45008</v>
      </c>
      <c r="C6039" s="1" t="n">
        <v>45710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14037-2023</t>
        </is>
      </c>
      <c r="B6040" s="1" t="n">
        <v>45008</v>
      </c>
      <c r="C6040" s="1" t="n">
        <v>45710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14061-2023</t>
        </is>
      </c>
      <c r="B6041" s="1" t="n">
        <v>45008</v>
      </c>
      <c r="C6041" s="1" t="n">
        <v>45710</v>
      </c>
      <c r="D6041" t="inlineStr">
        <is>
          <t>ÖSTERGÖTLANDS LÄN</t>
        </is>
      </c>
      <c r="E6041" t="inlineStr">
        <is>
          <t>FINSPÅNG</t>
        </is>
      </c>
      <c r="G6041" t="n">
        <v>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14019-2023</t>
        </is>
      </c>
      <c r="B6042" s="1" t="n">
        <v>45008</v>
      </c>
      <c r="C6042" s="1" t="n">
        <v>45710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3.1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14044-2023</t>
        </is>
      </c>
      <c r="B6043" s="1" t="n">
        <v>45008</v>
      </c>
      <c r="C6043" s="1" t="n">
        <v>45710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14031-2023</t>
        </is>
      </c>
      <c r="B6044" s="1" t="n">
        <v>45008</v>
      </c>
      <c r="C6044" s="1" t="n">
        <v>45710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14054-2023</t>
        </is>
      </c>
      <c r="B6045" s="1" t="n">
        <v>45008</v>
      </c>
      <c r="C6045" s="1" t="n">
        <v>45710</v>
      </c>
      <c r="D6045" t="inlineStr">
        <is>
          <t>ÖSTERGÖTLANDS LÄN</t>
        </is>
      </c>
      <c r="E6045" t="inlineStr">
        <is>
          <t>ÅTVIDABERG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14166-2023</t>
        </is>
      </c>
      <c r="B6046" s="1" t="n">
        <v>45009</v>
      </c>
      <c r="C6046" s="1" t="n">
        <v>45710</v>
      </c>
      <c r="D6046" t="inlineStr">
        <is>
          <t>ÖSTERGÖTLANDS LÄN</t>
        </is>
      </c>
      <c r="E6046" t="inlineStr">
        <is>
          <t>ÖDESHÖG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14110-2023</t>
        </is>
      </c>
      <c r="B6047" s="1" t="n">
        <v>45009</v>
      </c>
      <c r="C6047" s="1" t="n">
        <v>45710</v>
      </c>
      <c r="D6047" t="inlineStr">
        <is>
          <t>ÖSTERGÖTLANDS LÄN</t>
        </is>
      </c>
      <c r="E6047" t="inlineStr">
        <is>
          <t>FINSPÅNG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14126-2023</t>
        </is>
      </c>
      <c r="B6048" s="1" t="n">
        <v>45009</v>
      </c>
      <c r="C6048" s="1" t="n">
        <v>45710</v>
      </c>
      <c r="D6048" t="inlineStr">
        <is>
          <t>ÖSTERGÖTLANDS LÄN</t>
        </is>
      </c>
      <c r="E6048" t="inlineStr">
        <is>
          <t>SÖDERKÖPING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14175-2023</t>
        </is>
      </c>
      <c r="B6049" s="1" t="n">
        <v>45009</v>
      </c>
      <c r="C6049" s="1" t="n">
        <v>45710</v>
      </c>
      <c r="D6049" t="inlineStr">
        <is>
          <t>ÖSTERGÖTLANDS LÄN</t>
        </is>
      </c>
      <c r="E6049" t="inlineStr">
        <is>
          <t>KINDA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14182-2023</t>
        </is>
      </c>
      <c r="B6050" s="1" t="n">
        <v>45009</v>
      </c>
      <c r="C6050" s="1" t="n">
        <v>45710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14156-2023</t>
        </is>
      </c>
      <c r="B6051" s="1" t="n">
        <v>45009</v>
      </c>
      <c r="C6051" s="1" t="n">
        <v>45710</v>
      </c>
      <c r="D6051" t="inlineStr">
        <is>
          <t>ÖSTERGÖTLANDS LÄN</t>
        </is>
      </c>
      <c r="E6051" t="inlineStr">
        <is>
          <t>ÖDESHÖG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14106-2023</t>
        </is>
      </c>
      <c r="B6052" s="1" t="n">
        <v>45009</v>
      </c>
      <c r="C6052" s="1" t="n">
        <v>45710</v>
      </c>
      <c r="D6052" t="inlineStr">
        <is>
          <t>ÖSTERGÖTLANDS LÄN</t>
        </is>
      </c>
      <c r="E6052" t="inlineStr">
        <is>
          <t>FINSPÅNG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14173-2023</t>
        </is>
      </c>
      <c r="B6053" s="1" t="n">
        <v>45009</v>
      </c>
      <c r="C6053" s="1" t="n">
        <v>45710</v>
      </c>
      <c r="D6053" t="inlineStr">
        <is>
          <t>ÖSTERGÖTLANDS LÄN</t>
        </is>
      </c>
      <c r="E6053" t="inlineStr">
        <is>
          <t>KINDA</t>
        </is>
      </c>
      <c r="G6053" t="n">
        <v>4.5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14184-2023</t>
        </is>
      </c>
      <c r="B6054" s="1" t="n">
        <v>45009</v>
      </c>
      <c r="C6054" s="1" t="n">
        <v>45710</v>
      </c>
      <c r="D6054" t="inlineStr">
        <is>
          <t>ÖSTERGÖTLANDS LÄN</t>
        </is>
      </c>
      <c r="E6054" t="inlineStr">
        <is>
          <t>SÖDERKÖPING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14199-2023</t>
        </is>
      </c>
      <c r="B6055" s="1" t="n">
        <v>45009</v>
      </c>
      <c r="C6055" s="1" t="n">
        <v>45710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14193-2023</t>
        </is>
      </c>
      <c r="B6056" s="1" t="n">
        <v>45009</v>
      </c>
      <c r="C6056" s="1" t="n">
        <v>45710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14210-2023</t>
        </is>
      </c>
      <c r="B6057" s="1" t="n">
        <v>45009</v>
      </c>
      <c r="C6057" s="1" t="n">
        <v>45710</v>
      </c>
      <c r="D6057" t="inlineStr">
        <is>
          <t>ÖSTERGÖTLANDS LÄN</t>
        </is>
      </c>
      <c r="E6057" t="inlineStr">
        <is>
          <t>MJÖLBY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14185-2023</t>
        </is>
      </c>
      <c r="B6058" s="1" t="n">
        <v>45009</v>
      </c>
      <c r="C6058" s="1" t="n">
        <v>45710</v>
      </c>
      <c r="D6058" t="inlineStr">
        <is>
          <t>ÖSTERGÖTLANDS LÄN</t>
        </is>
      </c>
      <c r="E6058" t="inlineStr">
        <is>
          <t>ÖDESHÖG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14206-2023</t>
        </is>
      </c>
      <c r="B6059" s="1" t="n">
        <v>45009</v>
      </c>
      <c r="C6059" s="1" t="n">
        <v>45710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14093-2023</t>
        </is>
      </c>
      <c r="B6060" s="1" t="n">
        <v>45009</v>
      </c>
      <c r="C6060" s="1" t="n">
        <v>45710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14097-2023</t>
        </is>
      </c>
      <c r="B6061" s="1" t="n">
        <v>45009</v>
      </c>
      <c r="C6061" s="1" t="n">
        <v>45710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14215-2023</t>
        </is>
      </c>
      <c r="B6062" s="1" t="n">
        <v>45009</v>
      </c>
      <c r="C6062" s="1" t="n">
        <v>45710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14082-2023</t>
        </is>
      </c>
      <c r="B6063" s="1" t="n">
        <v>45009</v>
      </c>
      <c r="C6063" s="1" t="n">
        <v>45710</v>
      </c>
      <c r="D6063" t="inlineStr">
        <is>
          <t>ÖSTERGÖTLANDS LÄN</t>
        </is>
      </c>
      <c r="E6063" t="inlineStr">
        <is>
          <t>VALDEMARSVIK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14237-2023</t>
        </is>
      </c>
      <c r="B6064" s="1" t="n">
        <v>45009</v>
      </c>
      <c r="C6064" s="1" t="n">
        <v>45710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14241-2023</t>
        </is>
      </c>
      <c r="B6065" s="1" t="n">
        <v>45009</v>
      </c>
      <c r="C6065" s="1" t="n">
        <v>45710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14279-2023</t>
        </is>
      </c>
      <c r="B6066" s="1" t="n">
        <v>45010</v>
      </c>
      <c r="C6066" s="1" t="n">
        <v>45710</v>
      </c>
      <c r="D6066" t="inlineStr">
        <is>
          <t>ÖSTERGÖTLANDS LÄN</t>
        </is>
      </c>
      <c r="E6066" t="inlineStr">
        <is>
          <t>SÖDERKÖPING</t>
        </is>
      </c>
      <c r="F6066" t="inlineStr">
        <is>
          <t>Holmen skog AB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14284-2023</t>
        </is>
      </c>
      <c r="B6067" s="1" t="n">
        <v>45010</v>
      </c>
      <c r="C6067" s="1" t="n">
        <v>45710</v>
      </c>
      <c r="D6067" t="inlineStr">
        <is>
          <t>ÖSTERGÖTLANDS LÄN</t>
        </is>
      </c>
      <c r="E6067" t="inlineStr">
        <is>
          <t>VALDEMARSVIK</t>
        </is>
      </c>
      <c r="F6067" t="inlineStr">
        <is>
          <t>Holmen skog AB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14486-2023</t>
        </is>
      </c>
      <c r="B6068" s="1" t="n">
        <v>45012</v>
      </c>
      <c r="C6068" s="1" t="n">
        <v>45710</v>
      </c>
      <c r="D6068" t="inlineStr">
        <is>
          <t>ÖSTERGÖTLANDS LÄN</t>
        </is>
      </c>
      <c r="E6068" t="inlineStr">
        <is>
          <t>NORRKÖPING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14503-2023</t>
        </is>
      </c>
      <c r="B6069" s="1" t="n">
        <v>45012</v>
      </c>
      <c r="C6069" s="1" t="n">
        <v>45710</v>
      </c>
      <c r="D6069" t="inlineStr">
        <is>
          <t>ÖSTERGÖTLANDS LÄN</t>
        </is>
      </c>
      <c r="E6069" t="inlineStr">
        <is>
          <t>NORRKÖPING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14485-2023</t>
        </is>
      </c>
      <c r="B6070" s="1" t="n">
        <v>45012</v>
      </c>
      <c r="C6070" s="1" t="n">
        <v>45710</v>
      </c>
      <c r="D6070" t="inlineStr">
        <is>
          <t>ÖSTERGÖTLANDS LÄN</t>
        </is>
      </c>
      <c r="E6070" t="inlineStr">
        <is>
          <t>NORRKÖPING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14368-2023</t>
        </is>
      </c>
      <c r="B6071" s="1" t="n">
        <v>45012</v>
      </c>
      <c r="C6071" s="1" t="n">
        <v>45710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14715-2023</t>
        </is>
      </c>
      <c r="B6072" s="1" t="n">
        <v>45012</v>
      </c>
      <c r="C6072" s="1" t="n">
        <v>45710</v>
      </c>
      <c r="D6072" t="inlineStr">
        <is>
          <t>ÖSTERGÖTLANDS LÄN</t>
        </is>
      </c>
      <c r="E6072" t="inlineStr">
        <is>
          <t>LINKÖPING</t>
        </is>
      </c>
      <c r="G6072" t="n">
        <v>9.4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14609-2023</t>
        </is>
      </c>
      <c r="B6073" s="1" t="n">
        <v>45013</v>
      </c>
      <c r="C6073" s="1" t="n">
        <v>45710</v>
      </c>
      <c r="D6073" t="inlineStr">
        <is>
          <t>ÖSTERGÖTLANDS LÄN</t>
        </is>
      </c>
      <c r="E6073" t="inlineStr">
        <is>
          <t>NORRKÖPING</t>
        </is>
      </c>
      <c r="G6073" t="n">
        <v>12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14628-2023</t>
        </is>
      </c>
      <c r="B6074" s="1" t="n">
        <v>45013</v>
      </c>
      <c r="C6074" s="1" t="n">
        <v>45710</v>
      </c>
      <c r="D6074" t="inlineStr">
        <is>
          <t>ÖSTERGÖTLANDS LÄN</t>
        </is>
      </c>
      <c r="E6074" t="inlineStr">
        <is>
          <t>BOXHOLM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14560-2023</t>
        </is>
      </c>
      <c r="B6075" s="1" t="n">
        <v>45013</v>
      </c>
      <c r="C6075" s="1" t="n">
        <v>45710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0.4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14565-2023</t>
        </is>
      </c>
      <c r="B6076" s="1" t="n">
        <v>45013</v>
      </c>
      <c r="C6076" s="1" t="n">
        <v>45710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14611-2023</t>
        </is>
      </c>
      <c r="B6077" s="1" t="n">
        <v>45013</v>
      </c>
      <c r="C6077" s="1" t="n">
        <v>45710</v>
      </c>
      <c r="D6077" t="inlineStr">
        <is>
          <t>ÖSTERGÖTLANDS LÄN</t>
        </is>
      </c>
      <c r="E6077" t="inlineStr">
        <is>
          <t>NORRKÖPING</t>
        </is>
      </c>
      <c r="G6077" t="n">
        <v>3.1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14576-2023</t>
        </is>
      </c>
      <c r="B6078" s="1" t="n">
        <v>45013</v>
      </c>
      <c r="C6078" s="1" t="n">
        <v>45710</v>
      </c>
      <c r="D6078" t="inlineStr">
        <is>
          <t>ÖSTERGÖTLANDS LÄN</t>
        </is>
      </c>
      <c r="E6078" t="inlineStr">
        <is>
          <t>LINKÖPING</t>
        </is>
      </c>
      <c r="G6078" t="n">
        <v>3.2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14627-2023</t>
        </is>
      </c>
      <c r="B6079" s="1" t="n">
        <v>45013</v>
      </c>
      <c r="C6079" s="1" t="n">
        <v>45710</v>
      </c>
      <c r="D6079" t="inlineStr">
        <is>
          <t>ÖSTERGÖTLANDS LÄN</t>
        </is>
      </c>
      <c r="E6079" t="inlineStr">
        <is>
          <t>BOXHOLM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14678-2023</t>
        </is>
      </c>
      <c r="B6080" s="1" t="n">
        <v>45014</v>
      </c>
      <c r="C6080" s="1" t="n">
        <v>45710</v>
      </c>
      <c r="D6080" t="inlineStr">
        <is>
          <t>ÖSTERGÖTLANDS LÄN</t>
        </is>
      </c>
      <c r="E6080" t="inlineStr">
        <is>
          <t>VALDEMARSVIK</t>
        </is>
      </c>
      <c r="F6080" t="inlineStr">
        <is>
          <t>Holmen skog AB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14763-2023</t>
        </is>
      </c>
      <c r="B6081" s="1" t="n">
        <v>45014</v>
      </c>
      <c r="C6081" s="1" t="n">
        <v>45710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Sveaskog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14771-2023</t>
        </is>
      </c>
      <c r="B6082" s="1" t="n">
        <v>45014</v>
      </c>
      <c r="C6082" s="1" t="n">
        <v>45710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Sveaskog</t>
        </is>
      </c>
      <c r="G6082" t="n">
        <v>7.7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14762-2023</t>
        </is>
      </c>
      <c r="B6083" s="1" t="n">
        <v>45014</v>
      </c>
      <c r="C6083" s="1" t="n">
        <v>45710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Sveaskog</t>
        </is>
      </c>
      <c r="G6083" t="n">
        <v>5.6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14728-2023</t>
        </is>
      </c>
      <c r="B6084" s="1" t="n">
        <v>45014</v>
      </c>
      <c r="C6084" s="1" t="n">
        <v>45710</v>
      </c>
      <c r="D6084" t="inlineStr">
        <is>
          <t>ÖSTERGÖTLANDS LÄN</t>
        </is>
      </c>
      <c r="E6084" t="inlineStr">
        <is>
          <t>ÖDESHÖG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14679-2023</t>
        </is>
      </c>
      <c r="B6085" s="1" t="n">
        <v>45014</v>
      </c>
      <c r="C6085" s="1" t="n">
        <v>45710</v>
      </c>
      <c r="D6085" t="inlineStr">
        <is>
          <t>ÖSTERGÖTLANDS LÄN</t>
        </is>
      </c>
      <c r="E6085" t="inlineStr">
        <is>
          <t>SÖDERKÖPING</t>
        </is>
      </c>
      <c r="F6085" t="inlineStr">
        <is>
          <t>Holmen skog AB</t>
        </is>
      </c>
      <c r="G6085" t="n">
        <v>3.9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14701-2023</t>
        </is>
      </c>
      <c r="B6086" s="1" t="n">
        <v>45014</v>
      </c>
      <c r="C6086" s="1" t="n">
        <v>45710</v>
      </c>
      <c r="D6086" t="inlineStr">
        <is>
          <t>ÖSTERGÖTLANDS LÄN</t>
        </is>
      </c>
      <c r="E6086" t="inlineStr">
        <is>
          <t>ÖDESHÖG</t>
        </is>
      </c>
      <c r="G6086" t="n">
        <v>2.8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14750-2023</t>
        </is>
      </c>
      <c r="B6087" s="1" t="n">
        <v>45014</v>
      </c>
      <c r="C6087" s="1" t="n">
        <v>45710</v>
      </c>
      <c r="D6087" t="inlineStr">
        <is>
          <t>ÖSTERGÖTLANDS LÄN</t>
        </is>
      </c>
      <c r="E6087" t="inlineStr">
        <is>
          <t>ÖDESHÖG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14817-2023</t>
        </is>
      </c>
      <c r="B6088" s="1" t="n">
        <v>45014</v>
      </c>
      <c r="C6088" s="1" t="n">
        <v>45710</v>
      </c>
      <c r="D6088" t="inlineStr">
        <is>
          <t>ÖSTERGÖTLANDS LÄN</t>
        </is>
      </c>
      <c r="E6088" t="inlineStr">
        <is>
          <t>KINDA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14799-2023</t>
        </is>
      </c>
      <c r="B6089" s="1" t="n">
        <v>45014</v>
      </c>
      <c r="C6089" s="1" t="n">
        <v>45710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Sveaskog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14901-2023</t>
        </is>
      </c>
      <c r="B6090" s="1" t="n">
        <v>45014</v>
      </c>
      <c r="C6090" s="1" t="n">
        <v>45710</v>
      </c>
      <c r="D6090" t="inlineStr">
        <is>
          <t>ÖSTERGÖTLANDS LÄN</t>
        </is>
      </c>
      <c r="E6090" t="inlineStr">
        <is>
          <t>NORRKÖPING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14899-2023</t>
        </is>
      </c>
      <c r="B6091" s="1" t="n">
        <v>45014</v>
      </c>
      <c r="C6091" s="1" t="n">
        <v>45710</v>
      </c>
      <c r="D6091" t="inlineStr">
        <is>
          <t>ÖSTERGÖTLANDS LÄN</t>
        </is>
      </c>
      <c r="E6091" t="inlineStr">
        <is>
          <t>NORRKÖPING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14896-2023</t>
        </is>
      </c>
      <c r="B6092" s="1" t="n">
        <v>45015</v>
      </c>
      <c r="C6092" s="1" t="n">
        <v>45710</v>
      </c>
      <c r="D6092" t="inlineStr">
        <is>
          <t>ÖSTERGÖTLANDS LÄN</t>
        </is>
      </c>
      <c r="E6092" t="inlineStr">
        <is>
          <t>SÖDERKÖPING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14908-2023</t>
        </is>
      </c>
      <c r="B6093" s="1" t="n">
        <v>45015</v>
      </c>
      <c r="C6093" s="1" t="n">
        <v>45710</v>
      </c>
      <c r="D6093" t="inlineStr">
        <is>
          <t>ÖSTERGÖTLANDS LÄN</t>
        </is>
      </c>
      <c r="E6093" t="inlineStr">
        <is>
          <t>LINKÖPING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14993-2023</t>
        </is>
      </c>
      <c r="B6094" s="1" t="n">
        <v>45015</v>
      </c>
      <c r="C6094" s="1" t="n">
        <v>45710</v>
      </c>
      <c r="D6094" t="inlineStr">
        <is>
          <t>ÖSTERGÖTLANDS LÄN</t>
        </is>
      </c>
      <c r="E6094" t="inlineStr">
        <is>
          <t>ÖDESHÖG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15039-2023</t>
        </is>
      </c>
      <c r="B6095" s="1" t="n">
        <v>45015</v>
      </c>
      <c r="C6095" s="1" t="n">
        <v>45710</v>
      </c>
      <c r="D6095" t="inlineStr">
        <is>
          <t>ÖSTERGÖTLANDS LÄN</t>
        </is>
      </c>
      <c r="E6095" t="inlineStr">
        <is>
          <t>ÅTVIDABERG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14984-2023</t>
        </is>
      </c>
      <c r="B6096" s="1" t="n">
        <v>45015</v>
      </c>
      <c r="C6096" s="1" t="n">
        <v>45710</v>
      </c>
      <c r="D6096" t="inlineStr">
        <is>
          <t>ÖSTERGÖTLANDS LÄN</t>
        </is>
      </c>
      <c r="E6096" t="inlineStr">
        <is>
          <t>MOTALA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15007-2023</t>
        </is>
      </c>
      <c r="B6097" s="1" t="n">
        <v>45015</v>
      </c>
      <c r="C6097" s="1" t="n">
        <v>45710</v>
      </c>
      <c r="D6097" t="inlineStr">
        <is>
          <t>ÖSTERGÖTLANDS LÄN</t>
        </is>
      </c>
      <c r="E6097" t="inlineStr">
        <is>
          <t>MOTALA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15038-2023</t>
        </is>
      </c>
      <c r="B6098" s="1" t="n">
        <v>45015</v>
      </c>
      <c r="C6098" s="1" t="n">
        <v>45710</v>
      </c>
      <c r="D6098" t="inlineStr">
        <is>
          <t>ÖSTERGÖTLANDS LÄN</t>
        </is>
      </c>
      <c r="E6098" t="inlineStr">
        <is>
          <t>ÅTVIDABERG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15139-2023</t>
        </is>
      </c>
      <c r="B6099" s="1" t="n">
        <v>45016</v>
      </c>
      <c r="C6099" s="1" t="n">
        <v>45710</v>
      </c>
      <c r="D6099" t="inlineStr">
        <is>
          <t>ÖSTERGÖTLANDS LÄN</t>
        </is>
      </c>
      <c r="E6099" t="inlineStr">
        <is>
          <t>LINKÖPING</t>
        </is>
      </c>
      <c r="F6099" t="inlineStr">
        <is>
          <t>Allmännings- och besparingsskogar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15112-2023</t>
        </is>
      </c>
      <c r="B6100" s="1" t="n">
        <v>45016</v>
      </c>
      <c r="C6100" s="1" t="n">
        <v>45710</v>
      </c>
      <c r="D6100" t="inlineStr">
        <is>
          <t>ÖSTERGÖTLANDS LÄN</t>
        </is>
      </c>
      <c r="E6100" t="inlineStr">
        <is>
          <t>YDRE</t>
        </is>
      </c>
      <c r="F6100" t="inlineStr">
        <is>
          <t>Övriga Aktiebolag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15079-2023</t>
        </is>
      </c>
      <c r="B6101" s="1" t="n">
        <v>45016</v>
      </c>
      <c r="C6101" s="1" t="n">
        <v>45710</v>
      </c>
      <c r="D6101" t="inlineStr">
        <is>
          <t>ÖSTERGÖTLANDS LÄN</t>
        </is>
      </c>
      <c r="E6101" t="inlineStr">
        <is>
          <t>SÖDERKÖPING</t>
        </is>
      </c>
      <c r="F6101" t="inlineStr">
        <is>
          <t>Holmen skog AB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15177-2023</t>
        </is>
      </c>
      <c r="B6102" s="1" t="n">
        <v>45016</v>
      </c>
      <c r="C6102" s="1" t="n">
        <v>45710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15183-2023</t>
        </is>
      </c>
      <c r="B6103" s="1" t="n">
        <v>45016</v>
      </c>
      <c r="C6103" s="1" t="n">
        <v>45710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15254-2023</t>
        </is>
      </c>
      <c r="B6104" s="1" t="n">
        <v>45019</v>
      </c>
      <c r="C6104" s="1" t="n">
        <v>45710</v>
      </c>
      <c r="D6104" t="inlineStr">
        <is>
          <t>ÖSTERGÖTLANDS LÄN</t>
        </is>
      </c>
      <c r="E6104" t="inlineStr">
        <is>
          <t>SÖDERKÖPING</t>
        </is>
      </c>
      <c r="F6104" t="inlineStr">
        <is>
          <t>Holmen skog AB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15307-2023</t>
        </is>
      </c>
      <c r="B6105" s="1" t="n">
        <v>45019</v>
      </c>
      <c r="C6105" s="1" t="n">
        <v>45710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15448-2023</t>
        </is>
      </c>
      <c r="B6106" s="1" t="n">
        <v>45020</v>
      </c>
      <c r="C6106" s="1" t="n">
        <v>45710</v>
      </c>
      <c r="D6106" t="inlineStr">
        <is>
          <t>ÖSTERGÖTLANDS LÄN</t>
        </is>
      </c>
      <c r="E6106" t="inlineStr">
        <is>
          <t>MOTALA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15454-2023</t>
        </is>
      </c>
      <c r="B6107" s="1" t="n">
        <v>45020</v>
      </c>
      <c r="C6107" s="1" t="n">
        <v>45710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Sveaskog</t>
        </is>
      </c>
      <c r="G6107" t="n">
        <v>6.5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15498-2023</t>
        </is>
      </c>
      <c r="B6108" s="1" t="n">
        <v>45020</v>
      </c>
      <c r="C6108" s="1" t="n">
        <v>45710</v>
      </c>
      <c r="D6108" t="inlineStr">
        <is>
          <t>ÖSTERGÖTLANDS LÄN</t>
        </is>
      </c>
      <c r="E6108" t="inlineStr">
        <is>
          <t>BOXHOLM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15545-2023</t>
        </is>
      </c>
      <c r="B6109" s="1" t="n">
        <v>45020</v>
      </c>
      <c r="C6109" s="1" t="n">
        <v>45710</v>
      </c>
      <c r="D6109" t="inlineStr">
        <is>
          <t>ÖSTERGÖTLANDS LÄN</t>
        </is>
      </c>
      <c r="E6109" t="inlineStr">
        <is>
          <t>VALDEMARSVIK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15569-2023</t>
        </is>
      </c>
      <c r="B6110" s="1" t="n">
        <v>45020</v>
      </c>
      <c r="C6110" s="1" t="n">
        <v>45710</v>
      </c>
      <c r="D6110" t="inlineStr">
        <is>
          <t>ÖSTERGÖTLANDS LÄN</t>
        </is>
      </c>
      <c r="E6110" t="inlineStr">
        <is>
          <t>KINDA</t>
        </is>
      </c>
      <c r="F6110" t="inlineStr">
        <is>
          <t>Sveaskog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15583-2023</t>
        </is>
      </c>
      <c r="B6111" s="1" t="n">
        <v>45020</v>
      </c>
      <c r="C6111" s="1" t="n">
        <v>45710</v>
      </c>
      <c r="D6111" t="inlineStr">
        <is>
          <t>ÖSTERGÖTLANDS LÄN</t>
        </is>
      </c>
      <c r="E6111" t="inlineStr">
        <is>
          <t>LINKÖPING</t>
        </is>
      </c>
      <c r="F6111" t="inlineStr">
        <is>
          <t>Sveaskog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15599-2023</t>
        </is>
      </c>
      <c r="B6112" s="1" t="n">
        <v>45020</v>
      </c>
      <c r="C6112" s="1" t="n">
        <v>45710</v>
      </c>
      <c r="D6112" t="inlineStr">
        <is>
          <t>ÖSTERGÖTLANDS LÄN</t>
        </is>
      </c>
      <c r="E6112" t="inlineStr">
        <is>
          <t>KINDA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15458-2023</t>
        </is>
      </c>
      <c r="B6113" s="1" t="n">
        <v>45020</v>
      </c>
      <c r="C6113" s="1" t="n">
        <v>45710</v>
      </c>
      <c r="D6113" t="inlineStr">
        <is>
          <t>ÖSTERGÖTLANDS LÄN</t>
        </is>
      </c>
      <c r="E6113" t="inlineStr">
        <is>
          <t>MJÖLBY</t>
        </is>
      </c>
      <c r="G6113" t="n">
        <v>5.1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15476-2023</t>
        </is>
      </c>
      <c r="B6114" s="1" t="n">
        <v>45020</v>
      </c>
      <c r="C6114" s="1" t="n">
        <v>45710</v>
      </c>
      <c r="D6114" t="inlineStr">
        <is>
          <t>ÖSTERGÖTLANDS LÄN</t>
        </is>
      </c>
      <c r="E6114" t="inlineStr">
        <is>
          <t>BOXHOLM</t>
        </is>
      </c>
      <c r="G6114" t="n">
        <v>0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15501-2023</t>
        </is>
      </c>
      <c r="B6115" s="1" t="n">
        <v>45020</v>
      </c>
      <c r="C6115" s="1" t="n">
        <v>45710</v>
      </c>
      <c r="D6115" t="inlineStr">
        <is>
          <t>ÖSTERGÖTLANDS LÄN</t>
        </is>
      </c>
      <c r="E6115" t="inlineStr">
        <is>
          <t>BOXHOLM</t>
        </is>
      </c>
      <c r="G6115" t="n">
        <v>0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15505-2023</t>
        </is>
      </c>
      <c r="B6116" s="1" t="n">
        <v>45020</v>
      </c>
      <c r="C6116" s="1" t="n">
        <v>45710</v>
      </c>
      <c r="D6116" t="inlineStr">
        <is>
          <t>ÖSTERGÖTLANDS LÄN</t>
        </is>
      </c>
      <c r="E6116" t="inlineStr">
        <is>
          <t>BOXHOLM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15534-2023</t>
        </is>
      </c>
      <c r="B6117" s="1" t="n">
        <v>45020</v>
      </c>
      <c r="C6117" s="1" t="n">
        <v>45710</v>
      </c>
      <c r="D6117" t="inlineStr">
        <is>
          <t>ÖSTERGÖTLANDS LÄN</t>
        </is>
      </c>
      <c r="E6117" t="inlineStr">
        <is>
          <t>VALDEMARSVIK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15538-2023</t>
        </is>
      </c>
      <c r="B6118" s="1" t="n">
        <v>45020</v>
      </c>
      <c r="C6118" s="1" t="n">
        <v>45710</v>
      </c>
      <c r="D6118" t="inlineStr">
        <is>
          <t>ÖSTERGÖTLANDS LÄN</t>
        </is>
      </c>
      <c r="E6118" t="inlineStr">
        <is>
          <t>VALDEMARSVIK</t>
        </is>
      </c>
      <c r="G6118" t="n">
        <v>5.1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15542-2023</t>
        </is>
      </c>
      <c r="B6119" s="1" t="n">
        <v>45020</v>
      </c>
      <c r="C6119" s="1" t="n">
        <v>45710</v>
      </c>
      <c r="D6119" t="inlineStr">
        <is>
          <t>ÖSTERGÖTLANDS LÄN</t>
        </is>
      </c>
      <c r="E6119" t="inlineStr">
        <is>
          <t>VALDEMARSVIK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15562-2023</t>
        </is>
      </c>
      <c r="B6120" s="1" t="n">
        <v>45020</v>
      </c>
      <c r="C6120" s="1" t="n">
        <v>45710</v>
      </c>
      <c r="D6120" t="inlineStr">
        <is>
          <t>ÖSTERGÖTLANDS LÄN</t>
        </is>
      </c>
      <c r="E6120" t="inlineStr">
        <is>
          <t>KINDA</t>
        </is>
      </c>
      <c r="F6120" t="inlineStr">
        <is>
          <t>Sveaskog</t>
        </is>
      </c>
      <c r="G6120" t="n">
        <v>12.1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15467-2023</t>
        </is>
      </c>
      <c r="B6121" s="1" t="n">
        <v>45020</v>
      </c>
      <c r="C6121" s="1" t="n">
        <v>45710</v>
      </c>
      <c r="D6121" t="inlineStr">
        <is>
          <t>ÖSTERGÖTLANDS LÄN</t>
        </is>
      </c>
      <c r="E6121" t="inlineStr">
        <is>
          <t>MJÖLBY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15572-2023</t>
        </is>
      </c>
      <c r="B6122" s="1" t="n">
        <v>45020</v>
      </c>
      <c r="C6122" s="1" t="n">
        <v>45710</v>
      </c>
      <c r="D6122" t="inlineStr">
        <is>
          <t>ÖSTERGÖTLANDS LÄN</t>
        </is>
      </c>
      <c r="E6122" t="inlineStr">
        <is>
          <t>VALDEMARSVIK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15502-2023</t>
        </is>
      </c>
      <c r="B6123" s="1" t="n">
        <v>45020</v>
      </c>
      <c r="C6123" s="1" t="n">
        <v>45710</v>
      </c>
      <c r="D6123" t="inlineStr">
        <is>
          <t>ÖSTERGÖTLANDS LÄN</t>
        </is>
      </c>
      <c r="E6123" t="inlineStr">
        <is>
          <t>BOXHOLM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15544-2023</t>
        </is>
      </c>
      <c r="B6124" s="1" t="n">
        <v>45020</v>
      </c>
      <c r="C6124" s="1" t="n">
        <v>45710</v>
      </c>
      <c r="D6124" t="inlineStr">
        <is>
          <t>ÖSTERGÖTLANDS LÄN</t>
        </is>
      </c>
      <c r="E6124" t="inlineStr">
        <is>
          <t>VALDEMARSVIK</t>
        </is>
      </c>
      <c r="G6124" t="n">
        <v>3.3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15568-2023</t>
        </is>
      </c>
      <c r="B6125" s="1" t="n">
        <v>45020</v>
      </c>
      <c r="C6125" s="1" t="n">
        <v>45710</v>
      </c>
      <c r="D6125" t="inlineStr">
        <is>
          <t>ÖSTERGÖTLANDS LÄN</t>
        </is>
      </c>
      <c r="E6125" t="inlineStr">
        <is>
          <t>KINDA</t>
        </is>
      </c>
      <c r="F6125" t="inlineStr">
        <is>
          <t>Sveaskog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15614-2023</t>
        </is>
      </c>
      <c r="B6126" s="1" t="n">
        <v>45020</v>
      </c>
      <c r="C6126" s="1" t="n">
        <v>45710</v>
      </c>
      <c r="D6126" t="inlineStr">
        <is>
          <t>ÖSTERGÖTLANDS LÄN</t>
        </is>
      </c>
      <c r="E6126" t="inlineStr">
        <is>
          <t>FINSPÅNG</t>
        </is>
      </c>
      <c r="G6126" t="n">
        <v>4.6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15469-2023</t>
        </is>
      </c>
      <c r="B6127" s="1" t="n">
        <v>45020</v>
      </c>
      <c r="C6127" s="1" t="n">
        <v>45710</v>
      </c>
      <c r="D6127" t="inlineStr">
        <is>
          <t>ÖSTERGÖTLANDS LÄN</t>
        </is>
      </c>
      <c r="E6127" t="inlineStr">
        <is>
          <t>MJÖLBY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15500-2023</t>
        </is>
      </c>
      <c r="B6128" s="1" t="n">
        <v>45020</v>
      </c>
      <c r="C6128" s="1" t="n">
        <v>45710</v>
      </c>
      <c r="D6128" t="inlineStr">
        <is>
          <t>ÖSTERGÖTLANDS LÄN</t>
        </is>
      </c>
      <c r="E6128" t="inlineStr">
        <is>
          <t>BOXHOLM</t>
        </is>
      </c>
      <c r="G6128" t="n">
        <v>0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15504-2023</t>
        </is>
      </c>
      <c r="B6129" s="1" t="n">
        <v>45020</v>
      </c>
      <c r="C6129" s="1" t="n">
        <v>45710</v>
      </c>
      <c r="D6129" t="inlineStr">
        <is>
          <t>ÖSTERGÖTLANDS LÄN</t>
        </is>
      </c>
      <c r="E6129" t="inlineStr">
        <is>
          <t>BOXHOLM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15509-2023</t>
        </is>
      </c>
      <c r="B6130" s="1" t="n">
        <v>45020</v>
      </c>
      <c r="C6130" s="1" t="n">
        <v>45710</v>
      </c>
      <c r="D6130" t="inlineStr">
        <is>
          <t>ÖSTERGÖTLANDS LÄN</t>
        </is>
      </c>
      <c r="E6130" t="inlineStr">
        <is>
          <t>SÖDERKÖPING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15526-2023</t>
        </is>
      </c>
      <c r="B6131" s="1" t="n">
        <v>45020</v>
      </c>
      <c r="C6131" s="1" t="n">
        <v>45710</v>
      </c>
      <c r="D6131" t="inlineStr">
        <is>
          <t>ÖSTERGÖTLANDS LÄN</t>
        </is>
      </c>
      <c r="E6131" t="inlineStr">
        <is>
          <t>BOXHOLM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15532-2023</t>
        </is>
      </c>
      <c r="B6132" s="1" t="n">
        <v>45020</v>
      </c>
      <c r="C6132" s="1" t="n">
        <v>45710</v>
      </c>
      <c r="D6132" t="inlineStr">
        <is>
          <t>ÖSTERGÖTLANDS LÄN</t>
        </is>
      </c>
      <c r="E6132" t="inlineStr">
        <is>
          <t>SÖDERKÖPING</t>
        </is>
      </c>
      <c r="G6132" t="n">
        <v>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15541-2023</t>
        </is>
      </c>
      <c r="B6133" s="1" t="n">
        <v>45020</v>
      </c>
      <c r="C6133" s="1" t="n">
        <v>45710</v>
      </c>
      <c r="D6133" t="inlineStr">
        <is>
          <t>ÖSTERGÖTLANDS LÄN</t>
        </is>
      </c>
      <c r="E6133" t="inlineStr">
        <is>
          <t>VALDEMARSVIK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15565-2023</t>
        </is>
      </c>
      <c r="B6134" s="1" t="n">
        <v>45020</v>
      </c>
      <c r="C6134" s="1" t="n">
        <v>45710</v>
      </c>
      <c r="D6134" t="inlineStr">
        <is>
          <t>ÖSTERGÖTLANDS LÄN</t>
        </is>
      </c>
      <c r="E6134" t="inlineStr">
        <is>
          <t>KINDA</t>
        </is>
      </c>
      <c r="F6134" t="inlineStr">
        <is>
          <t>Sveaskog</t>
        </is>
      </c>
      <c r="G6134" t="n">
        <v>7.7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15600-2023</t>
        </is>
      </c>
      <c r="B6135" s="1" t="n">
        <v>45020</v>
      </c>
      <c r="C6135" s="1" t="n">
        <v>45710</v>
      </c>
      <c r="D6135" t="inlineStr">
        <is>
          <t>ÖSTERGÖTLANDS LÄN</t>
        </is>
      </c>
      <c r="E6135" t="inlineStr">
        <is>
          <t>BOXHOLM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15672-2023</t>
        </is>
      </c>
      <c r="B6136" s="1" t="n">
        <v>45020</v>
      </c>
      <c r="C6136" s="1" t="n">
        <v>45710</v>
      </c>
      <c r="D6136" t="inlineStr">
        <is>
          <t>ÖSTERGÖTLANDS LÄN</t>
        </is>
      </c>
      <c r="E6136" t="inlineStr">
        <is>
          <t>ÅTVIDABERG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15769-2023</t>
        </is>
      </c>
      <c r="B6137" s="1" t="n">
        <v>45021</v>
      </c>
      <c r="C6137" s="1" t="n">
        <v>45710</v>
      </c>
      <c r="D6137" t="inlineStr">
        <is>
          <t>ÖSTERGÖTLANDS LÄN</t>
        </is>
      </c>
      <c r="E6137" t="inlineStr">
        <is>
          <t>BOXHOLM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15676-2023</t>
        </is>
      </c>
      <c r="B6138" s="1" t="n">
        <v>45021</v>
      </c>
      <c r="C6138" s="1" t="n">
        <v>45710</v>
      </c>
      <c r="D6138" t="inlineStr">
        <is>
          <t>ÖSTERGÖTLANDS LÄN</t>
        </is>
      </c>
      <c r="E6138" t="inlineStr">
        <is>
          <t>FINSPÅNG</t>
        </is>
      </c>
      <c r="G6138" t="n">
        <v>3.9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15638-2023</t>
        </is>
      </c>
      <c r="B6139" s="1" t="n">
        <v>45021</v>
      </c>
      <c r="C6139" s="1" t="n">
        <v>45710</v>
      </c>
      <c r="D6139" t="inlineStr">
        <is>
          <t>ÖSTERGÖTLANDS LÄN</t>
        </is>
      </c>
      <c r="E6139" t="inlineStr">
        <is>
          <t>ÅTVIDABERG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15658-2023</t>
        </is>
      </c>
      <c r="B6140" s="1" t="n">
        <v>45021</v>
      </c>
      <c r="C6140" s="1" t="n">
        <v>45710</v>
      </c>
      <c r="D6140" t="inlineStr">
        <is>
          <t>ÖSTERGÖTLANDS LÄN</t>
        </is>
      </c>
      <c r="E6140" t="inlineStr">
        <is>
          <t>LINKÖPING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15664-2023</t>
        </is>
      </c>
      <c r="B6141" s="1" t="n">
        <v>45021</v>
      </c>
      <c r="C6141" s="1" t="n">
        <v>45710</v>
      </c>
      <c r="D6141" t="inlineStr">
        <is>
          <t>ÖSTERGÖTLANDS LÄN</t>
        </is>
      </c>
      <c r="E6141" t="inlineStr">
        <is>
          <t>FINSPÅNG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15669-2023</t>
        </is>
      </c>
      <c r="B6142" s="1" t="n">
        <v>45021</v>
      </c>
      <c r="C6142" s="1" t="n">
        <v>45710</v>
      </c>
      <c r="D6142" t="inlineStr">
        <is>
          <t>ÖSTERGÖTLANDS LÄN</t>
        </is>
      </c>
      <c r="E6142" t="inlineStr">
        <is>
          <t>FINSPÅNG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15674-2023</t>
        </is>
      </c>
      <c r="B6143" s="1" t="n">
        <v>45021</v>
      </c>
      <c r="C6143" s="1" t="n">
        <v>45710</v>
      </c>
      <c r="D6143" t="inlineStr">
        <is>
          <t>ÖSTERGÖTLANDS LÄN</t>
        </is>
      </c>
      <c r="E6143" t="inlineStr">
        <is>
          <t>FINSPÅNG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15746-2023</t>
        </is>
      </c>
      <c r="B6144" s="1" t="n">
        <v>45021</v>
      </c>
      <c r="C6144" s="1" t="n">
        <v>45710</v>
      </c>
      <c r="D6144" t="inlineStr">
        <is>
          <t>ÖSTERGÖTLANDS LÄN</t>
        </is>
      </c>
      <c r="E6144" t="inlineStr">
        <is>
          <t>BOXHOLM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15764-2023</t>
        </is>
      </c>
      <c r="B6145" s="1" t="n">
        <v>45021</v>
      </c>
      <c r="C6145" s="1" t="n">
        <v>45710</v>
      </c>
      <c r="D6145" t="inlineStr">
        <is>
          <t>ÖSTERGÖTLANDS LÄN</t>
        </is>
      </c>
      <c r="E6145" t="inlineStr">
        <is>
          <t>BOXHOLM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15852-2023</t>
        </is>
      </c>
      <c r="B6146" s="1" t="n">
        <v>45022</v>
      </c>
      <c r="C6146" s="1" t="n">
        <v>45710</v>
      </c>
      <c r="D6146" t="inlineStr">
        <is>
          <t>ÖSTERGÖTLANDS LÄN</t>
        </is>
      </c>
      <c r="E6146" t="inlineStr">
        <is>
          <t>NORRKÖPING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15865-2023</t>
        </is>
      </c>
      <c r="B6147" s="1" t="n">
        <v>45022</v>
      </c>
      <c r="C6147" s="1" t="n">
        <v>45710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15911-2023</t>
        </is>
      </c>
      <c r="B6148" s="1" t="n">
        <v>45022</v>
      </c>
      <c r="C6148" s="1" t="n">
        <v>45710</v>
      </c>
      <c r="D6148" t="inlineStr">
        <is>
          <t>ÖSTERGÖTLANDS LÄN</t>
        </is>
      </c>
      <c r="E6148" t="inlineStr">
        <is>
          <t>ÅTVIDABERG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15843-2023</t>
        </is>
      </c>
      <c r="B6149" s="1" t="n">
        <v>45022</v>
      </c>
      <c r="C6149" s="1" t="n">
        <v>45710</v>
      </c>
      <c r="D6149" t="inlineStr">
        <is>
          <t>ÖSTERGÖTLANDS LÄN</t>
        </is>
      </c>
      <c r="E6149" t="inlineStr">
        <is>
          <t>NORRKÖPING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15880-2023</t>
        </is>
      </c>
      <c r="B6150" s="1" t="n">
        <v>45022</v>
      </c>
      <c r="C6150" s="1" t="n">
        <v>45710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15913-2023</t>
        </is>
      </c>
      <c r="B6151" s="1" t="n">
        <v>45022</v>
      </c>
      <c r="C6151" s="1" t="n">
        <v>45710</v>
      </c>
      <c r="D6151" t="inlineStr">
        <is>
          <t>ÖSTERGÖTLANDS LÄN</t>
        </is>
      </c>
      <c r="E6151" t="inlineStr">
        <is>
          <t>ÅTVIDABERG</t>
        </is>
      </c>
      <c r="G6151" t="n">
        <v>0.3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15951-2023</t>
        </is>
      </c>
      <c r="B6152" s="1" t="n">
        <v>45022</v>
      </c>
      <c r="C6152" s="1" t="n">
        <v>45710</v>
      </c>
      <c r="D6152" t="inlineStr">
        <is>
          <t>ÖSTERGÖTLANDS LÄN</t>
        </is>
      </c>
      <c r="E6152" t="inlineStr">
        <is>
          <t>YDRE</t>
        </is>
      </c>
      <c r="F6152" t="inlineStr">
        <is>
          <t>Övriga Aktiebolag</t>
        </is>
      </c>
      <c r="G6152" t="n">
        <v>6.5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15952-2023</t>
        </is>
      </c>
      <c r="B6153" s="1" t="n">
        <v>45022</v>
      </c>
      <c r="C6153" s="1" t="n">
        <v>45710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15967-2023</t>
        </is>
      </c>
      <c r="B6154" s="1" t="n">
        <v>45022</v>
      </c>
      <c r="C6154" s="1" t="n">
        <v>45710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Naturvårdsverket</t>
        </is>
      </c>
      <c r="G6154" t="n">
        <v>7.1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15972-2023</t>
        </is>
      </c>
      <c r="B6155" s="1" t="n">
        <v>45022</v>
      </c>
      <c r="C6155" s="1" t="n">
        <v>45710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15950-2023</t>
        </is>
      </c>
      <c r="B6156" s="1" t="n">
        <v>45022</v>
      </c>
      <c r="C6156" s="1" t="n">
        <v>45710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15866-2023</t>
        </is>
      </c>
      <c r="B6157" s="1" t="n">
        <v>45022</v>
      </c>
      <c r="C6157" s="1" t="n">
        <v>45710</v>
      </c>
      <c r="D6157" t="inlineStr">
        <is>
          <t>ÖSTERGÖTLANDS LÄN</t>
        </is>
      </c>
      <c r="E6157" t="inlineStr">
        <is>
          <t>LINKÖPING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15947-2023</t>
        </is>
      </c>
      <c r="B6158" s="1" t="n">
        <v>45022</v>
      </c>
      <c r="C6158" s="1" t="n">
        <v>45710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15973-2023</t>
        </is>
      </c>
      <c r="B6159" s="1" t="n">
        <v>45022</v>
      </c>
      <c r="C6159" s="1" t="n">
        <v>45710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16156-2023</t>
        </is>
      </c>
      <c r="B6160" s="1" t="n">
        <v>45027</v>
      </c>
      <c r="C6160" s="1" t="n">
        <v>45710</v>
      </c>
      <c r="D6160" t="inlineStr">
        <is>
          <t>ÖSTERGÖTLANDS LÄN</t>
        </is>
      </c>
      <c r="E6160" t="inlineStr">
        <is>
          <t>BOXHOLM</t>
        </is>
      </c>
      <c r="F6160" t="inlineStr">
        <is>
          <t>Allmännings- och besparingsskogar</t>
        </is>
      </c>
      <c r="G6160" t="n">
        <v>6.2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16163-2023</t>
        </is>
      </c>
      <c r="B6161" s="1" t="n">
        <v>45027</v>
      </c>
      <c r="C6161" s="1" t="n">
        <v>45710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16167-2023</t>
        </is>
      </c>
      <c r="B6162" s="1" t="n">
        <v>45027</v>
      </c>
      <c r="C6162" s="1" t="n">
        <v>45710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4.4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16146-2023</t>
        </is>
      </c>
      <c r="B6163" s="1" t="n">
        <v>45027</v>
      </c>
      <c r="C6163" s="1" t="n">
        <v>45710</v>
      </c>
      <c r="D6163" t="inlineStr">
        <is>
          <t>ÖSTERGÖTLANDS LÄN</t>
        </is>
      </c>
      <c r="E6163" t="inlineStr">
        <is>
          <t>BOXHOLM</t>
        </is>
      </c>
      <c r="F6163" t="inlineStr">
        <is>
          <t>Allmännings- och besparingsskogar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16158-2023</t>
        </is>
      </c>
      <c r="B6164" s="1" t="n">
        <v>45027</v>
      </c>
      <c r="C6164" s="1" t="n">
        <v>45710</v>
      </c>
      <c r="D6164" t="inlineStr">
        <is>
          <t>ÖSTERGÖTLANDS LÄN</t>
        </is>
      </c>
      <c r="E6164" t="inlineStr">
        <is>
          <t>BOXHOLM</t>
        </is>
      </c>
      <c r="F6164" t="inlineStr">
        <is>
          <t>Allmännings- och besparingsskogar</t>
        </is>
      </c>
      <c r="G6164" t="n">
        <v>6.5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16162-2023</t>
        </is>
      </c>
      <c r="B6165" s="1" t="n">
        <v>45027</v>
      </c>
      <c r="C6165" s="1" t="n">
        <v>45710</v>
      </c>
      <c r="D6165" t="inlineStr">
        <is>
          <t>ÖSTERGÖTLANDS LÄN</t>
        </is>
      </c>
      <c r="E6165" t="inlineStr">
        <is>
          <t>ÖDESHÖG</t>
        </is>
      </c>
      <c r="F6165" t="inlineStr">
        <is>
          <t>Allmännings- och besparingsskogar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16166-2023</t>
        </is>
      </c>
      <c r="B6166" s="1" t="n">
        <v>45027</v>
      </c>
      <c r="C6166" s="1" t="n">
        <v>45710</v>
      </c>
      <c r="D6166" t="inlineStr">
        <is>
          <t>ÖSTERGÖTLANDS LÄN</t>
        </is>
      </c>
      <c r="E6166" t="inlineStr">
        <is>
          <t>ÖDESHÖG</t>
        </is>
      </c>
      <c r="F6166" t="inlineStr">
        <is>
          <t>Allmännings- och besparingsskogar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16170-2023</t>
        </is>
      </c>
      <c r="B6167" s="1" t="n">
        <v>45027</v>
      </c>
      <c r="C6167" s="1" t="n">
        <v>45710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6.6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16164-2023</t>
        </is>
      </c>
      <c r="B6168" s="1" t="n">
        <v>45027</v>
      </c>
      <c r="C6168" s="1" t="n">
        <v>45710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16168-2023</t>
        </is>
      </c>
      <c r="B6169" s="1" t="n">
        <v>45027</v>
      </c>
      <c r="C6169" s="1" t="n">
        <v>45710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3.4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16594-2023</t>
        </is>
      </c>
      <c r="B6170" s="1" t="n">
        <v>45027</v>
      </c>
      <c r="C6170" s="1" t="n">
        <v>45710</v>
      </c>
      <c r="D6170" t="inlineStr">
        <is>
          <t>ÖSTERGÖTLANDS LÄN</t>
        </is>
      </c>
      <c r="E6170" t="inlineStr">
        <is>
          <t>NORRKÖPING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16249-2023</t>
        </is>
      </c>
      <c r="B6171" s="1" t="n">
        <v>45028</v>
      </c>
      <c r="C6171" s="1" t="n">
        <v>45710</v>
      </c>
      <c r="D6171" t="inlineStr">
        <is>
          <t>ÖSTERGÖTLANDS LÄN</t>
        </is>
      </c>
      <c r="E6171" t="inlineStr">
        <is>
          <t>NORRKÖPING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16253-2023</t>
        </is>
      </c>
      <c r="B6172" s="1" t="n">
        <v>45028</v>
      </c>
      <c r="C6172" s="1" t="n">
        <v>45710</v>
      </c>
      <c r="D6172" t="inlineStr">
        <is>
          <t>ÖSTERGÖTLANDS LÄN</t>
        </is>
      </c>
      <c r="E6172" t="inlineStr">
        <is>
          <t>NORRKÖPING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16276-2023</t>
        </is>
      </c>
      <c r="B6173" s="1" t="n">
        <v>45028</v>
      </c>
      <c r="C6173" s="1" t="n">
        <v>45710</v>
      </c>
      <c r="D6173" t="inlineStr">
        <is>
          <t>ÖSTERGÖTLANDS LÄN</t>
        </is>
      </c>
      <c r="E6173" t="inlineStr">
        <is>
          <t>SÖDERKÖPING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16298-2023</t>
        </is>
      </c>
      <c r="B6174" s="1" t="n">
        <v>45028</v>
      </c>
      <c r="C6174" s="1" t="n">
        <v>45710</v>
      </c>
      <c r="D6174" t="inlineStr">
        <is>
          <t>ÖSTERGÖTLANDS LÄN</t>
        </is>
      </c>
      <c r="E6174" t="inlineStr">
        <is>
          <t>LINKÖPING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16342-2023</t>
        </is>
      </c>
      <c r="B6175" s="1" t="n">
        <v>45028</v>
      </c>
      <c r="C6175" s="1" t="n">
        <v>45710</v>
      </c>
      <c r="D6175" t="inlineStr">
        <is>
          <t>ÖSTERGÖTLANDS LÄN</t>
        </is>
      </c>
      <c r="E6175" t="inlineStr">
        <is>
          <t>VALDEMARSVIK</t>
        </is>
      </c>
      <c r="G6175" t="n">
        <v>4.1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16251-2023</t>
        </is>
      </c>
      <c r="B6176" s="1" t="n">
        <v>45028</v>
      </c>
      <c r="C6176" s="1" t="n">
        <v>45710</v>
      </c>
      <c r="D6176" t="inlineStr">
        <is>
          <t>ÖSTERGÖTLANDS LÄN</t>
        </is>
      </c>
      <c r="E6176" t="inlineStr">
        <is>
          <t>NORRKÖPING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16274-2023</t>
        </is>
      </c>
      <c r="B6177" s="1" t="n">
        <v>45028</v>
      </c>
      <c r="C6177" s="1" t="n">
        <v>45710</v>
      </c>
      <c r="D6177" t="inlineStr">
        <is>
          <t>ÖSTERGÖTLANDS LÄN</t>
        </is>
      </c>
      <c r="E6177" t="inlineStr">
        <is>
          <t>SÖDERKÖPING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16272-2023</t>
        </is>
      </c>
      <c r="B6178" s="1" t="n">
        <v>45028</v>
      </c>
      <c r="C6178" s="1" t="n">
        <v>45710</v>
      </c>
      <c r="D6178" t="inlineStr">
        <is>
          <t>ÖSTERGÖTLANDS LÄN</t>
        </is>
      </c>
      <c r="E6178" t="inlineStr">
        <is>
          <t>SÖDERKÖPING</t>
        </is>
      </c>
      <c r="G6178" t="n">
        <v>4.3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16286-2023</t>
        </is>
      </c>
      <c r="B6179" s="1" t="n">
        <v>45028</v>
      </c>
      <c r="C6179" s="1" t="n">
        <v>45710</v>
      </c>
      <c r="D6179" t="inlineStr">
        <is>
          <t>ÖSTERGÖTLANDS LÄN</t>
        </is>
      </c>
      <c r="E6179" t="inlineStr">
        <is>
          <t>SÖDERKÖPING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16339-2023</t>
        </is>
      </c>
      <c r="B6180" s="1" t="n">
        <v>45028</v>
      </c>
      <c r="C6180" s="1" t="n">
        <v>45710</v>
      </c>
      <c r="D6180" t="inlineStr">
        <is>
          <t>ÖSTERGÖTLANDS LÄN</t>
        </is>
      </c>
      <c r="E6180" t="inlineStr">
        <is>
          <t>LINKÖPING</t>
        </is>
      </c>
      <c r="G6180" t="n">
        <v>4.4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16252-2023</t>
        </is>
      </c>
      <c r="B6181" s="1" t="n">
        <v>45028</v>
      </c>
      <c r="C6181" s="1" t="n">
        <v>45710</v>
      </c>
      <c r="D6181" t="inlineStr">
        <is>
          <t>ÖSTERGÖTLANDS LÄN</t>
        </is>
      </c>
      <c r="E6181" t="inlineStr">
        <is>
          <t>NORRKÖPING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16452-2023</t>
        </is>
      </c>
      <c r="B6182" s="1" t="n">
        <v>45029</v>
      </c>
      <c r="C6182" s="1" t="n">
        <v>45710</v>
      </c>
      <c r="D6182" t="inlineStr">
        <is>
          <t>ÖSTERGÖTLANDS LÄN</t>
        </is>
      </c>
      <c r="E6182" t="inlineStr">
        <is>
          <t>MOTALA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16541-2023</t>
        </is>
      </c>
      <c r="B6183" s="1" t="n">
        <v>45029</v>
      </c>
      <c r="C6183" s="1" t="n">
        <v>45710</v>
      </c>
      <c r="D6183" t="inlineStr">
        <is>
          <t>ÖSTERGÖTLANDS LÄN</t>
        </is>
      </c>
      <c r="E6183" t="inlineStr">
        <is>
          <t>KINDA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16611-2023</t>
        </is>
      </c>
      <c r="B6184" s="1" t="n">
        <v>45030</v>
      </c>
      <c r="C6184" s="1" t="n">
        <v>45710</v>
      </c>
      <c r="D6184" t="inlineStr">
        <is>
          <t>ÖSTERGÖTLANDS LÄN</t>
        </is>
      </c>
      <c r="E6184" t="inlineStr">
        <is>
          <t>KINDA</t>
        </is>
      </c>
      <c r="G6184" t="n">
        <v>4.3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16620-2023</t>
        </is>
      </c>
      <c r="B6185" s="1" t="n">
        <v>45030</v>
      </c>
      <c r="C6185" s="1" t="n">
        <v>45710</v>
      </c>
      <c r="D6185" t="inlineStr">
        <is>
          <t>ÖSTERGÖTLANDS LÄN</t>
        </is>
      </c>
      <c r="E6185" t="inlineStr">
        <is>
          <t>BOXHOLM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16665-2023</t>
        </is>
      </c>
      <c r="B6186" s="1" t="n">
        <v>45030</v>
      </c>
      <c r="C6186" s="1" t="n">
        <v>45710</v>
      </c>
      <c r="D6186" t="inlineStr">
        <is>
          <t>ÖSTERGÖTLANDS LÄN</t>
        </is>
      </c>
      <c r="E6186" t="inlineStr">
        <is>
          <t>LINKÖPING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16695-2023</t>
        </is>
      </c>
      <c r="B6187" s="1" t="n">
        <v>45030</v>
      </c>
      <c r="C6187" s="1" t="n">
        <v>45710</v>
      </c>
      <c r="D6187" t="inlineStr">
        <is>
          <t>ÖSTERGÖTLANDS LÄN</t>
        </is>
      </c>
      <c r="E6187" t="inlineStr">
        <is>
          <t>NORRKÖPING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16700-2023</t>
        </is>
      </c>
      <c r="B6188" s="1" t="n">
        <v>45030</v>
      </c>
      <c r="C6188" s="1" t="n">
        <v>45710</v>
      </c>
      <c r="D6188" t="inlineStr">
        <is>
          <t>ÖSTERGÖTLANDS LÄN</t>
        </is>
      </c>
      <c r="E6188" t="inlineStr">
        <is>
          <t>NORRKÖPING</t>
        </is>
      </c>
      <c r="G6188" t="n">
        <v>3.6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16714-2023</t>
        </is>
      </c>
      <c r="B6189" s="1" t="n">
        <v>45030</v>
      </c>
      <c r="C6189" s="1" t="n">
        <v>45710</v>
      </c>
      <c r="D6189" t="inlineStr">
        <is>
          <t>ÖSTERGÖTLANDS LÄN</t>
        </is>
      </c>
      <c r="E6189" t="inlineStr">
        <is>
          <t>NORRKÖPING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16586-2023</t>
        </is>
      </c>
      <c r="B6190" s="1" t="n">
        <v>45030</v>
      </c>
      <c r="C6190" s="1" t="n">
        <v>45710</v>
      </c>
      <c r="D6190" t="inlineStr">
        <is>
          <t>ÖSTERGÖTLANDS LÄN</t>
        </is>
      </c>
      <c r="E6190" t="inlineStr">
        <is>
          <t>MOTALA</t>
        </is>
      </c>
      <c r="F6190" t="inlineStr">
        <is>
          <t>Kyrkan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16607-2023</t>
        </is>
      </c>
      <c r="B6191" s="1" t="n">
        <v>45030</v>
      </c>
      <c r="C6191" s="1" t="n">
        <v>45710</v>
      </c>
      <c r="D6191" t="inlineStr">
        <is>
          <t>ÖSTERGÖTLANDS LÄN</t>
        </is>
      </c>
      <c r="E6191" t="inlineStr">
        <is>
          <t>KINDA</t>
        </is>
      </c>
      <c r="G6191" t="n">
        <v>4.7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16610-2023</t>
        </is>
      </c>
      <c r="B6192" s="1" t="n">
        <v>45030</v>
      </c>
      <c r="C6192" s="1" t="n">
        <v>45710</v>
      </c>
      <c r="D6192" t="inlineStr">
        <is>
          <t>ÖSTERGÖTLANDS LÄN</t>
        </is>
      </c>
      <c r="E6192" t="inlineStr">
        <is>
          <t>KINDA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16619-2023</t>
        </is>
      </c>
      <c r="B6193" s="1" t="n">
        <v>45030</v>
      </c>
      <c r="C6193" s="1" t="n">
        <v>45710</v>
      </c>
      <c r="D6193" t="inlineStr">
        <is>
          <t>ÖSTERGÖTLANDS LÄN</t>
        </is>
      </c>
      <c r="E6193" t="inlineStr">
        <is>
          <t>BOXHOLM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16659-2023</t>
        </is>
      </c>
      <c r="B6194" s="1" t="n">
        <v>45030</v>
      </c>
      <c r="C6194" s="1" t="n">
        <v>45710</v>
      </c>
      <c r="D6194" t="inlineStr">
        <is>
          <t>ÖSTERGÖTLANDS LÄN</t>
        </is>
      </c>
      <c r="E6194" t="inlineStr">
        <is>
          <t>NORRKÖPING</t>
        </is>
      </c>
      <c r="G6194" t="n">
        <v>5.4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16664-2023</t>
        </is>
      </c>
      <c r="B6195" s="1" t="n">
        <v>45030</v>
      </c>
      <c r="C6195" s="1" t="n">
        <v>45710</v>
      </c>
      <c r="D6195" t="inlineStr">
        <is>
          <t>ÖSTERGÖTLANDS LÄN</t>
        </is>
      </c>
      <c r="E6195" t="inlineStr">
        <is>
          <t>LINKÖPING</t>
        </is>
      </c>
      <c r="G6195" t="n">
        <v>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16609-2023</t>
        </is>
      </c>
      <c r="B6196" s="1" t="n">
        <v>45030</v>
      </c>
      <c r="C6196" s="1" t="n">
        <v>45710</v>
      </c>
      <c r="D6196" t="inlineStr">
        <is>
          <t>ÖSTERGÖTLANDS LÄN</t>
        </is>
      </c>
      <c r="E6196" t="inlineStr">
        <is>
          <t>KINDA</t>
        </is>
      </c>
      <c r="G6196" t="n">
        <v>5.5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16634-2023</t>
        </is>
      </c>
      <c r="B6197" s="1" t="n">
        <v>45030</v>
      </c>
      <c r="C6197" s="1" t="n">
        <v>45710</v>
      </c>
      <c r="D6197" t="inlineStr">
        <is>
          <t>ÖSTERGÖTLANDS LÄN</t>
        </is>
      </c>
      <c r="E6197" t="inlineStr">
        <is>
          <t>ÖDESHÖG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16692-2023</t>
        </is>
      </c>
      <c r="B6198" s="1" t="n">
        <v>45030</v>
      </c>
      <c r="C6198" s="1" t="n">
        <v>45710</v>
      </c>
      <c r="D6198" t="inlineStr">
        <is>
          <t>ÖSTERGÖTLANDS LÄN</t>
        </is>
      </c>
      <c r="E6198" t="inlineStr">
        <is>
          <t>NORRKÖPING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16698-2023</t>
        </is>
      </c>
      <c r="B6199" s="1" t="n">
        <v>45030</v>
      </c>
      <c r="C6199" s="1" t="n">
        <v>45710</v>
      </c>
      <c r="D6199" t="inlineStr">
        <is>
          <t>ÖSTERGÖTLANDS LÄN</t>
        </is>
      </c>
      <c r="E6199" t="inlineStr">
        <is>
          <t>NORRKÖPING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16706-2023</t>
        </is>
      </c>
      <c r="B6200" s="1" t="n">
        <v>45030</v>
      </c>
      <c r="C6200" s="1" t="n">
        <v>45710</v>
      </c>
      <c r="D6200" t="inlineStr">
        <is>
          <t>ÖSTERGÖTLANDS LÄN</t>
        </is>
      </c>
      <c r="E6200" t="inlineStr">
        <is>
          <t>NORRKÖPING</t>
        </is>
      </c>
      <c r="G6200" t="n">
        <v>6.1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16691-2023</t>
        </is>
      </c>
      <c r="B6201" s="1" t="n">
        <v>45030</v>
      </c>
      <c r="C6201" s="1" t="n">
        <v>45710</v>
      </c>
      <c r="D6201" t="inlineStr">
        <is>
          <t>ÖSTERGÖTLANDS LÄN</t>
        </is>
      </c>
      <c r="E6201" t="inlineStr">
        <is>
          <t>NORRKÖPING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16696-2023</t>
        </is>
      </c>
      <c r="B6202" s="1" t="n">
        <v>45030</v>
      </c>
      <c r="C6202" s="1" t="n">
        <v>45710</v>
      </c>
      <c r="D6202" t="inlineStr">
        <is>
          <t>ÖSTERGÖTLANDS LÄN</t>
        </is>
      </c>
      <c r="E6202" t="inlineStr">
        <is>
          <t>NORRKÖPING</t>
        </is>
      </c>
      <c r="G6202" t="n">
        <v>0.4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16705-2023</t>
        </is>
      </c>
      <c r="B6203" s="1" t="n">
        <v>45030</v>
      </c>
      <c r="C6203" s="1" t="n">
        <v>45710</v>
      </c>
      <c r="D6203" t="inlineStr">
        <is>
          <t>ÖSTERGÖTLANDS LÄN</t>
        </is>
      </c>
      <c r="E6203" t="inlineStr">
        <is>
          <t>NORRKÖPING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16711-2023</t>
        </is>
      </c>
      <c r="B6204" s="1" t="n">
        <v>45030</v>
      </c>
      <c r="C6204" s="1" t="n">
        <v>45710</v>
      </c>
      <c r="D6204" t="inlineStr">
        <is>
          <t>ÖSTERGÖTLANDS LÄN</t>
        </is>
      </c>
      <c r="E6204" t="inlineStr">
        <is>
          <t>NORRKÖPING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16689-2023</t>
        </is>
      </c>
      <c r="B6205" s="1" t="n">
        <v>45030</v>
      </c>
      <c r="C6205" s="1" t="n">
        <v>45710</v>
      </c>
      <c r="D6205" t="inlineStr">
        <is>
          <t>ÖSTERGÖTLANDS LÄN</t>
        </is>
      </c>
      <c r="E6205" t="inlineStr">
        <is>
          <t>NORRKÖPING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16694-2023</t>
        </is>
      </c>
      <c r="B6206" s="1" t="n">
        <v>45030</v>
      </c>
      <c r="C6206" s="1" t="n">
        <v>45710</v>
      </c>
      <c r="D6206" t="inlineStr">
        <is>
          <t>ÖSTERGÖTLANDS LÄN</t>
        </is>
      </c>
      <c r="E6206" t="inlineStr">
        <is>
          <t>NORRKÖPING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16703-2023</t>
        </is>
      </c>
      <c r="B6207" s="1" t="n">
        <v>45030</v>
      </c>
      <c r="C6207" s="1" t="n">
        <v>45710</v>
      </c>
      <c r="D6207" t="inlineStr">
        <is>
          <t>ÖSTERGÖTLANDS LÄN</t>
        </is>
      </c>
      <c r="E6207" t="inlineStr">
        <is>
          <t>NORRKÖPING</t>
        </is>
      </c>
      <c r="G6207" t="n">
        <v>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16708-2023</t>
        </is>
      </c>
      <c r="B6208" s="1" t="n">
        <v>45030</v>
      </c>
      <c r="C6208" s="1" t="n">
        <v>45710</v>
      </c>
      <c r="D6208" t="inlineStr">
        <is>
          <t>ÖSTERGÖTLANDS LÄN</t>
        </is>
      </c>
      <c r="E6208" t="inlineStr">
        <is>
          <t>NORRKÖPING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16860-2023</t>
        </is>
      </c>
      <c r="B6209" s="1" t="n">
        <v>45033</v>
      </c>
      <c r="C6209" s="1" t="n">
        <v>45710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16964-2023</t>
        </is>
      </c>
      <c r="B6210" s="1" t="n">
        <v>45033</v>
      </c>
      <c r="C6210" s="1" t="n">
        <v>45710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16804-2023</t>
        </is>
      </c>
      <c r="B6211" s="1" t="n">
        <v>45033</v>
      </c>
      <c r="C6211" s="1" t="n">
        <v>45710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Holmen skog AB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16880-2023</t>
        </is>
      </c>
      <c r="B6212" s="1" t="n">
        <v>45033</v>
      </c>
      <c r="C6212" s="1" t="n">
        <v>45710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16918-2023</t>
        </is>
      </c>
      <c r="B6213" s="1" t="n">
        <v>45033</v>
      </c>
      <c r="C6213" s="1" t="n">
        <v>45710</v>
      </c>
      <c r="D6213" t="inlineStr">
        <is>
          <t>ÖSTERGÖTLANDS LÄN</t>
        </is>
      </c>
      <c r="E6213" t="inlineStr">
        <is>
          <t>NORRKÖPING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16949-2023</t>
        </is>
      </c>
      <c r="B6214" s="1" t="n">
        <v>45033</v>
      </c>
      <c r="C6214" s="1" t="n">
        <v>45710</v>
      </c>
      <c r="D6214" t="inlineStr">
        <is>
          <t>ÖSTERGÖTLANDS LÄN</t>
        </is>
      </c>
      <c r="E6214" t="inlineStr">
        <is>
          <t>NORRKÖPING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16975-2023</t>
        </is>
      </c>
      <c r="B6215" s="1" t="n">
        <v>45033</v>
      </c>
      <c r="C6215" s="1" t="n">
        <v>45710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Naturvårdsverket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16971-2023</t>
        </is>
      </c>
      <c r="B6216" s="1" t="n">
        <v>45033</v>
      </c>
      <c r="C6216" s="1" t="n">
        <v>45710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Naturvårdsverket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17104-2023</t>
        </is>
      </c>
      <c r="B6217" s="1" t="n">
        <v>45034</v>
      </c>
      <c r="C6217" s="1" t="n">
        <v>45710</v>
      </c>
      <c r="D6217" t="inlineStr">
        <is>
          <t>ÖSTERGÖTLANDS LÄN</t>
        </is>
      </c>
      <c r="E6217" t="inlineStr">
        <is>
          <t>LINKÖPING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17111-2023</t>
        </is>
      </c>
      <c r="B6218" s="1" t="n">
        <v>45034</v>
      </c>
      <c r="C6218" s="1" t="n">
        <v>45710</v>
      </c>
      <c r="D6218" t="inlineStr">
        <is>
          <t>ÖSTERGÖTLANDS LÄN</t>
        </is>
      </c>
      <c r="E6218" t="inlineStr">
        <is>
          <t>LINKÖPING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17148-2023</t>
        </is>
      </c>
      <c r="B6219" s="1" t="n">
        <v>45034</v>
      </c>
      <c r="C6219" s="1" t="n">
        <v>45710</v>
      </c>
      <c r="D6219" t="inlineStr">
        <is>
          <t>ÖSTERGÖTLANDS LÄN</t>
        </is>
      </c>
      <c r="E6219" t="inlineStr">
        <is>
          <t>MOTALA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17142-2023</t>
        </is>
      </c>
      <c r="B6220" s="1" t="n">
        <v>45034</v>
      </c>
      <c r="C6220" s="1" t="n">
        <v>45710</v>
      </c>
      <c r="D6220" t="inlineStr">
        <is>
          <t>ÖSTERGÖTLANDS LÄN</t>
        </is>
      </c>
      <c r="E6220" t="inlineStr">
        <is>
          <t>MOTALA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17151-2023</t>
        </is>
      </c>
      <c r="B6221" s="1" t="n">
        <v>45034</v>
      </c>
      <c r="C6221" s="1" t="n">
        <v>45710</v>
      </c>
      <c r="D6221" t="inlineStr">
        <is>
          <t>ÖSTERGÖTLANDS LÄN</t>
        </is>
      </c>
      <c r="E6221" t="inlineStr">
        <is>
          <t>MOTALA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17260-2023</t>
        </is>
      </c>
      <c r="B6222" s="1" t="n">
        <v>45035</v>
      </c>
      <c r="C6222" s="1" t="n">
        <v>45710</v>
      </c>
      <c r="D6222" t="inlineStr">
        <is>
          <t>ÖSTERGÖTLANDS LÄN</t>
        </is>
      </c>
      <c r="E6222" t="inlineStr">
        <is>
          <t>VALDEMARSVIK</t>
        </is>
      </c>
      <c r="F6222" t="inlineStr">
        <is>
          <t>Holmen skog AB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17366-2023</t>
        </is>
      </c>
      <c r="B6223" s="1" t="n">
        <v>45035</v>
      </c>
      <c r="C6223" s="1" t="n">
        <v>45710</v>
      </c>
      <c r="D6223" t="inlineStr">
        <is>
          <t>ÖSTERGÖTLANDS LÄN</t>
        </is>
      </c>
      <c r="E6223" t="inlineStr">
        <is>
          <t>KINDA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17243-2023</t>
        </is>
      </c>
      <c r="B6224" s="1" t="n">
        <v>45035</v>
      </c>
      <c r="C6224" s="1" t="n">
        <v>45710</v>
      </c>
      <c r="D6224" t="inlineStr">
        <is>
          <t>ÖSTERGÖTLANDS LÄN</t>
        </is>
      </c>
      <c r="E6224" t="inlineStr">
        <is>
          <t>ÖDESHÖG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17245-2023</t>
        </is>
      </c>
      <c r="B6225" s="1" t="n">
        <v>45035</v>
      </c>
      <c r="C6225" s="1" t="n">
        <v>45710</v>
      </c>
      <c r="D6225" t="inlineStr">
        <is>
          <t>ÖSTERGÖTLANDS LÄN</t>
        </is>
      </c>
      <c r="E6225" t="inlineStr">
        <is>
          <t>ÖDESHÖG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17296-2023</t>
        </is>
      </c>
      <c r="B6226" s="1" t="n">
        <v>45035</v>
      </c>
      <c r="C6226" s="1" t="n">
        <v>45710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17405-2023</t>
        </is>
      </c>
      <c r="B6227" s="1" t="n">
        <v>45035</v>
      </c>
      <c r="C6227" s="1" t="n">
        <v>45710</v>
      </c>
      <c r="D6227" t="inlineStr">
        <is>
          <t>ÖSTERGÖTLANDS LÄN</t>
        </is>
      </c>
      <c r="E6227" t="inlineStr">
        <is>
          <t>KINDA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17646-2023</t>
        </is>
      </c>
      <c r="B6228" s="1" t="n">
        <v>45036</v>
      </c>
      <c r="C6228" s="1" t="n">
        <v>45710</v>
      </c>
      <c r="D6228" t="inlineStr">
        <is>
          <t>ÖSTERGÖTLANDS LÄN</t>
        </is>
      </c>
      <c r="E6228" t="inlineStr">
        <is>
          <t>NORRKÖPING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17638-2023</t>
        </is>
      </c>
      <c r="B6229" s="1" t="n">
        <v>45036</v>
      </c>
      <c r="C6229" s="1" t="n">
        <v>45710</v>
      </c>
      <c r="D6229" t="inlineStr">
        <is>
          <t>ÖSTERGÖTLANDS LÄN</t>
        </is>
      </c>
      <c r="E6229" t="inlineStr">
        <is>
          <t>KINDA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17585-2023</t>
        </is>
      </c>
      <c r="B6230" s="1" t="n">
        <v>45036</v>
      </c>
      <c r="C6230" s="1" t="n">
        <v>45710</v>
      </c>
      <c r="D6230" t="inlineStr">
        <is>
          <t>ÖSTERGÖTLANDS LÄN</t>
        </is>
      </c>
      <c r="E6230" t="inlineStr">
        <is>
          <t>VALDEMARSVIK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17590-2023</t>
        </is>
      </c>
      <c r="B6231" s="1" t="n">
        <v>45036</v>
      </c>
      <c r="C6231" s="1" t="n">
        <v>45710</v>
      </c>
      <c r="D6231" t="inlineStr">
        <is>
          <t>ÖSTERGÖTLANDS LÄN</t>
        </is>
      </c>
      <c r="E6231" t="inlineStr">
        <is>
          <t>VALDEMARSVIK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17542-2023</t>
        </is>
      </c>
      <c r="B6232" s="1" t="n">
        <v>45036</v>
      </c>
      <c r="C6232" s="1" t="n">
        <v>45710</v>
      </c>
      <c r="D6232" t="inlineStr">
        <is>
          <t>ÖSTERGÖTLANDS LÄN</t>
        </is>
      </c>
      <c r="E6232" t="inlineStr">
        <is>
          <t>ÅTVIDABERG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17637-2023</t>
        </is>
      </c>
      <c r="B6233" s="1" t="n">
        <v>45036</v>
      </c>
      <c r="C6233" s="1" t="n">
        <v>45710</v>
      </c>
      <c r="D6233" t="inlineStr">
        <is>
          <t>ÖSTERGÖTLANDS LÄN</t>
        </is>
      </c>
      <c r="E6233" t="inlineStr">
        <is>
          <t>KINDA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17707-2023</t>
        </is>
      </c>
      <c r="B6234" s="1" t="n">
        <v>45037</v>
      </c>
      <c r="C6234" s="1" t="n">
        <v>45710</v>
      </c>
      <c r="D6234" t="inlineStr">
        <is>
          <t>ÖSTERGÖTLANDS LÄN</t>
        </is>
      </c>
      <c r="E6234" t="inlineStr">
        <is>
          <t>MJÖLBY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17713-2023</t>
        </is>
      </c>
      <c r="B6235" s="1" t="n">
        <v>45037</v>
      </c>
      <c r="C6235" s="1" t="n">
        <v>45710</v>
      </c>
      <c r="D6235" t="inlineStr">
        <is>
          <t>ÖSTERGÖTLANDS LÄN</t>
        </is>
      </c>
      <c r="E6235" t="inlineStr">
        <is>
          <t>NORRKÖPING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17782-2023</t>
        </is>
      </c>
      <c r="B6236" s="1" t="n">
        <v>45037</v>
      </c>
      <c r="C6236" s="1" t="n">
        <v>45710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Naturvårdsverket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17714-2023</t>
        </is>
      </c>
      <c r="B6237" s="1" t="n">
        <v>45037</v>
      </c>
      <c r="C6237" s="1" t="n">
        <v>45710</v>
      </c>
      <c r="D6237" t="inlineStr">
        <is>
          <t>ÖSTERGÖTLANDS LÄN</t>
        </is>
      </c>
      <c r="E6237" t="inlineStr">
        <is>
          <t>NORRKÖPING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17784-2023</t>
        </is>
      </c>
      <c r="B6238" s="1" t="n">
        <v>45037</v>
      </c>
      <c r="C6238" s="1" t="n">
        <v>45710</v>
      </c>
      <c r="D6238" t="inlineStr">
        <is>
          <t>ÖSTERGÖTLANDS LÄN</t>
        </is>
      </c>
      <c r="E6238" t="inlineStr">
        <is>
          <t>KINDA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17697-2023</t>
        </is>
      </c>
      <c r="B6239" s="1" t="n">
        <v>45037</v>
      </c>
      <c r="C6239" s="1" t="n">
        <v>45710</v>
      </c>
      <c r="D6239" t="inlineStr">
        <is>
          <t>ÖSTERGÖTLANDS LÄN</t>
        </is>
      </c>
      <c r="E6239" t="inlineStr">
        <is>
          <t>MJÖLBY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17718-2023</t>
        </is>
      </c>
      <c r="B6240" s="1" t="n">
        <v>45037</v>
      </c>
      <c r="C6240" s="1" t="n">
        <v>45710</v>
      </c>
      <c r="D6240" t="inlineStr">
        <is>
          <t>ÖSTERGÖTLANDS LÄN</t>
        </is>
      </c>
      <c r="E6240" t="inlineStr">
        <is>
          <t>NORRKÖPING</t>
        </is>
      </c>
      <c r="F6240" t="inlineStr">
        <is>
          <t>Naturvårdsverket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17754-2023</t>
        </is>
      </c>
      <c r="B6241" s="1" t="n">
        <v>45037</v>
      </c>
      <c r="C6241" s="1" t="n">
        <v>45710</v>
      </c>
      <c r="D6241" t="inlineStr">
        <is>
          <t>ÖSTERGÖTLANDS LÄN</t>
        </is>
      </c>
      <c r="E6241" t="inlineStr">
        <is>
          <t>NORRKÖPING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17701-2023</t>
        </is>
      </c>
      <c r="B6242" s="1" t="n">
        <v>45037</v>
      </c>
      <c r="C6242" s="1" t="n">
        <v>45710</v>
      </c>
      <c r="D6242" t="inlineStr">
        <is>
          <t>ÖSTERGÖTLANDS LÄN</t>
        </is>
      </c>
      <c r="E6242" t="inlineStr">
        <is>
          <t>NORRKÖPING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17785-2023</t>
        </is>
      </c>
      <c r="B6243" s="1" t="n">
        <v>45037</v>
      </c>
      <c r="C6243" s="1" t="n">
        <v>45710</v>
      </c>
      <c r="D6243" t="inlineStr">
        <is>
          <t>ÖSTERGÖTLANDS LÄN</t>
        </is>
      </c>
      <c r="E6243" t="inlineStr">
        <is>
          <t>LINKÖPING</t>
        </is>
      </c>
      <c r="F6243" t="inlineStr">
        <is>
          <t>Allmännings- och besparingsskogar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17802-2023</t>
        </is>
      </c>
      <c r="B6244" s="1" t="n">
        <v>45037</v>
      </c>
      <c r="C6244" s="1" t="n">
        <v>45710</v>
      </c>
      <c r="D6244" t="inlineStr">
        <is>
          <t>ÖSTERGÖTLANDS LÄN</t>
        </is>
      </c>
      <c r="E6244" t="inlineStr">
        <is>
          <t>NORRKÖPING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17835-2023</t>
        </is>
      </c>
      <c r="B6245" s="1" t="n">
        <v>45037</v>
      </c>
      <c r="C6245" s="1" t="n">
        <v>45710</v>
      </c>
      <c r="D6245" t="inlineStr">
        <is>
          <t>ÖSTERGÖTLANDS LÄN</t>
        </is>
      </c>
      <c r="E6245" t="inlineStr">
        <is>
          <t>KINDA</t>
        </is>
      </c>
      <c r="G6245" t="n">
        <v>4.6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17811-2023</t>
        </is>
      </c>
      <c r="B6246" s="1" t="n">
        <v>45037</v>
      </c>
      <c r="C6246" s="1" t="n">
        <v>45710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Naturvårdsverket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17795-2023</t>
        </is>
      </c>
      <c r="B6247" s="1" t="n">
        <v>45037</v>
      </c>
      <c r="C6247" s="1" t="n">
        <v>45710</v>
      </c>
      <c r="D6247" t="inlineStr">
        <is>
          <t>ÖSTERGÖTLANDS LÄN</t>
        </is>
      </c>
      <c r="E6247" t="inlineStr">
        <is>
          <t>NORRKÖPING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18098-2023</t>
        </is>
      </c>
      <c r="B6248" s="1" t="n">
        <v>45040</v>
      </c>
      <c r="C6248" s="1" t="n">
        <v>45710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17952-2023</t>
        </is>
      </c>
      <c r="B6249" s="1" t="n">
        <v>45040</v>
      </c>
      <c r="C6249" s="1" t="n">
        <v>45710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Naturvårdsverket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17960-2023</t>
        </is>
      </c>
      <c r="B6250" s="1" t="n">
        <v>45040</v>
      </c>
      <c r="C6250" s="1" t="n">
        <v>45710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Naturvårdsverket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18134-2023</t>
        </is>
      </c>
      <c r="B6251" s="1" t="n">
        <v>45040</v>
      </c>
      <c r="C6251" s="1" t="n">
        <v>45710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17994-2023</t>
        </is>
      </c>
      <c r="B6252" s="1" t="n">
        <v>45040</v>
      </c>
      <c r="C6252" s="1" t="n">
        <v>45710</v>
      </c>
      <c r="D6252" t="inlineStr">
        <is>
          <t>ÖSTERGÖTLANDS LÄN</t>
        </is>
      </c>
      <c r="E6252" t="inlineStr">
        <is>
          <t>FINSPÅNG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17937-2023</t>
        </is>
      </c>
      <c r="B6253" s="1" t="n">
        <v>45040</v>
      </c>
      <c r="C6253" s="1" t="n">
        <v>45710</v>
      </c>
      <c r="D6253" t="inlineStr">
        <is>
          <t>ÖSTERGÖTLANDS LÄN</t>
        </is>
      </c>
      <c r="E6253" t="inlineStr">
        <is>
          <t>VALDEMARSVIK</t>
        </is>
      </c>
      <c r="F6253" t="inlineStr">
        <is>
          <t>Holmen skog AB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18004-2023</t>
        </is>
      </c>
      <c r="B6254" s="1" t="n">
        <v>45040</v>
      </c>
      <c r="C6254" s="1" t="n">
        <v>45710</v>
      </c>
      <c r="D6254" t="inlineStr">
        <is>
          <t>ÖSTERGÖTLANDS LÄN</t>
        </is>
      </c>
      <c r="E6254" t="inlineStr">
        <is>
          <t>ÅTVIDABERG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17992-2023</t>
        </is>
      </c>
      <c r="B6255" s="1" t="n">
        <v>45040</v>
      </c>
      <c r="C6255" s="1" t="n">
        <v>45710</v>
      </c>
      <c r="D6255" t="inlineStr">
        <is>
          <t>ÖSTERGÖTLANDS LÄN</t>
        </is>
      </c>
      <c r="E6255" t="inlineStr">
        <is>
          <t>FINSPÅNG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18005-2023</t>
        </is>
      </c>
      <c r="B6256" s="1" t="n">
        <v>45040</v>
      </c>
      <c r="C6256" s="1" t="n">
        <v>45710</v>
      </c>
      <c r="D6256" t="inlineStr">
        <is>
          <t>ÖSTERGÖTLANDS LÄN</t>
        </is>
      </c>
      <c r="E6256" t="inlineStr">
        <is>
          <t>ÅTVIDABERG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18018-2023</t>
        </is>
      </c>
      <c r="B6257" s="1" t="n">
        <v>45040</v>
      </c>
      <c r="C6257" s="1" t="n">
        <v>45710</v>
      </c>
      <c r="D6257" t="inlineStr">
        <is>
          <t>ÖSTERGÖTLANDS LÄN</t>
        </is>
      </c>
      <c r="E6257" t="inlineStr">
        <is>
          <t>NORRKÖPING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18012-2023</t>
        </is>
      </c>
      <c r="B6258" s="1" t="n">
        <v>45040</v>
      </c>
      <c r="C6258" s="1" t="n">
        <v>45710</v>
      </c>
      <c r="D6258" t="inlineStr">
        <is>
          <t>ÖSTERGÖTLANDS LÄN</t>
        </is>
      </c>
      <c r="E6258" t="inlineStr">
        <is>
          <t>YDRE</t>
        </is>
      </c>
      <c r="G6258" t="n">
        <v>4.2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18295-2023</t>
        </is>
      </c>
      <c r="B6259" s="1" t="n">
        <v>45041</v>
      </c>
      <c r="C6259" s="1" t="n">
        <v>45710</v>
      </c>
      <c r="D6259" t="inlineStr">
        <is>
          <t>ÖSTERGÖTLANDS LÄN</t>
        </is>
      </c>
      <c r="E6259" t="inlineStr">
        <is>
          <t>FINSPÅNG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18234-2023</t>
        </is>
      </c>
      <c r="B6260" s="1" t="n">
        <v>45041</v>
      </c>
      <c r="C6260" s="1" t="n">
        <v>45710</v>
      </c>
      <c r="D6260" t="inlineStr">
        <is>
          <t>ÖSTERGÖTLANDS LÄN</t>
        </is>
      </c>
      <c r="E6260" t="inlineStr">
        <is>
          <t>SÖDERKÖPING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18225-2023</t>
        </is>
      </c>
      <c r="B6261" s="1" t="n">
        <v>45041</v>
      </c>
      <c r="C6261" s="1" t="n">
        <v>45710</v>
      </c>
      <c r="D6261" t="inlineStr">
        <is>
          <t>ÖSTERGÖTLANDS LÄN</t>
        </is>
      </c>
      <c r="E6261" t="inlineStr">
        <is>
          <t>VALDEMARSVIK</t>
        </is>
      </c>
      <c r="F6261" t="inlineStr">
        <is>
          <t>Holmen skog AB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18306-2023</t>
        </is>
      </c>
      <c r="B6262" s="1" t="n">
        <v>45041</v>
      </c>
      <c r="C6262" s="1" t="n">
        <v>45710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Naturvårdsverket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18380-2023</t>
        </is>
      </c>
      <c r="B6263" s="1" t="n">
        <v>45041</v>
      </c>
      <c r="C6263" s="1" t="n">
        <v>45710</v>
      </c>
      <c r="D6263" t="inlineStr">
        <is>
          <t>ÖSTERGÖTLANDS LÄN</t>
        </is>
      </c>
      <c r="E6263" t="inlineStr">
        <is>
          <t>VALDEMARSVIK</t>
        </is>
      </c>
      <c r="F6263" t="inlineStr">
        <is>
          <t>Holmen skog AB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18379-2023</t>
        </is>
      </c>
      <c r="B6264" s="1" t="n">
        <v>45042</v>
      </c>
      <c r="C6264" s="1" t="n">
        <v>45710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18672-2023</t>
        </is>
      </c>
      <c r="B6265" s="1" t="n">
        <v>45041</v>
      </c>
      <c r="C6265" s="1" t="n">
        <v>45710</v>
      </c>
      <c r="D6265" t="inlineStr">
        <is>
          <t>ÖSTERGÖTLANDS LÄN</t>
        </is>
      </c>
      <c r="E6265" t="inlineStr">
        <is>
          <t>MOTALA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18439-2023</t>
        </is>
      </c>
      <c r="B6266" s="1" t="n">
        <v>45042</v>
      </c>
      <c r="C6266" s="1" t="n">
        <v>45710</v>
      </c>
      <c r="D6266" t="inlineStr">
        <is>
          <t>ÖSTERGÖTLANDS LÄN</t>
        </is>
      </c>
      <c r="E6266" t="inlineStr">
        <is>
          <t>FINSPÅNG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18462-2023</t>
        </is>
      </c>
      <c r="B6267" s="1" t="n">
        <v>45042</v>
      </c>
      <c r="C6267" s="1" t="n">
        <v>45710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18485-2023</t>
        </is>
      </c>
      <c r="B6268" s="1" t="n">
        <v>45042</v>
      </c>
      <c r="C6268" s="1" t="n">
        <v>45710</v>
      </c>
      <c r="D6268" t="inlineStr">
        <is>
          <t>ÖSTERGÖTLANDS LÄN</t>
        </is>
      </c>
      <c r="E6268" t="inlineStr">
        <is>
          <t>ÅTVIDABERG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18518-2023</t>
        </is>
      </c>
      <c r="B6269" s="1" t="n">
        <v>45042</v>
      </c>
      <c r="C6269" s="1" t="n">
        <v>45710</v>
      </c>
      <c r="D6269" t="inlineStr">
        <is>
          <t>ÖSTERGÖTLANDS LÄN</t>
        </is>
      </c>
      <c r="E6269" t="inlineStr">
        <is>
          <t>ÅTVIDABERG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18410-2023</t>
        </is>
      </c>
      <c r="B6270" s="1" t="n">
        <v>45042</v>
      </c>
      <c r="C6270" s="1" t="n">
        <v>45710</v>
      </c>
      <c r="D6270" t="inlineStr">
        <is>
          <t>ÖSTERGÖTLANDS LÄN</t>
        </is>
      </c>
      <c r="E6270" t="inlineStr">
        <is>
          <t>KINDA</t>
        </is>
      </c>
      <c r="G6270" t="n">
        <v>5.6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18425-2023</t>
        </is>
      </c>
      <c r="B6271" s="1" t="n">
        <v>45042</v>
      </c>
      <c r="C6271" s="1" t="n">
        <v>45710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Holmen skog AB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18461-2023</t>
        </is>
      </c>
      <c r="B6272" s="1" t="n">
        <v>45042</v>
      </c>
      <c r="C6272" s="1" t="n">
        <v>45710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Sveaskog</t>
        </is>
      </c>
      <c r="G6272" t="n">
        <v>7.9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18408-2023</t>
        </is>
      </c>
      <c r="B6273" s="1" t="n">
        <v>45042</v>
      </c>
      <c r="C6273" s="1" t="n">
        <v>45710</v>
      </c>
      <c r="D6273" t="inlineStr">
        <is>
          <t>ÖSTERGÖTLANDS LÄN</t>
        </is>
      </c>
      <c r="E6273" t="inlineStr">
        <is>
          <t>LINKÖPING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18393-2023</t>
        </is>
      </c>
      <c r="B6274" s="1" t="n">
        <v>45042</v>
      </c>
      <c r="C6274" s="1" t="n">
        <v>45710</v>
      </c>
      <c r="D6274" t="inlineStr">
        <is>
          <t>ÖSTERGÖTLANDS LÄN</t>
        </is>
      </c>
      <c r="E6274" t="inlineStr">
        <is>
          <t>LINKÖPING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18458-2023</t>
        </is>
      </c>
      <c r="B6275" s="1" t="n">
        <v>45042</v>
      </c>
      <c r="C6275" s="1" t="n">
        <v>45710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Sveaskog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18464-2023</t>
        </is>
      </c>
      <c r="B6276" s="1" t="n">
        <v>45042</v>
      </c>
      <c r="C6276" s="1" t="n">
        <v>45710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Sveaskog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18469-2023</t>
        </is>
      </c>
      <c r="B6277" s="1" t="n">
        <v>45042</v>
      </c>
      <c r="C6277" s="1" t="n">
        <v>45710</v>
      </c>
      <c r="D6277" t="inlineStr">
        <is>
          <t>ÖSTERGÖTLANDS LÄN</t>
        </is>
      </c>
      <c r="E6277" t="inlineStr">
        <is>
          <t>KINDA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18494-2023</t>
        </is>
      </c>
      <c r="B6278" s="1" t="n">
        <v>45042</v>
      </c>
      <c r="C6278" s="1" t="n">
        <v>45710</v>
      </c>
      <c r="D6278" t="inlineStr">
        <is>
          <t>ÖSTERGÖTLANDS LÄN</t>
        </is>
      </c>
      <c r="E6278" t="inlineStr">
        <is>
          <t>FINSPÅNG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18445-2023</t>
        </is>
      </c>
      <c r="B6279" s="1" t="n">
        <v>45042</v>
      </c>
      <c r="C6279" s="1" t="n">
        <v>45710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18463-2023</t>
        </is>
      </c>
      <c r="B6280" s="1" t="n">
        <v>45042</v>
      </c>
      <c r="C6280" s="1" t="n">
        <v>45710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Sveaskog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18477-2023</t>
        </is>
      </c>
      <c r="B6281" s="1" t="n">
        <v>45042</v>
      </c>
      <c r="C6281" s="1" t="n">
        <v>45710</v>
      </c>
      <c r="D6281" t="inlineStr">
        <is>
          <t>ÖSTERGÖTLANDS LÄN</t>
        </is>
      </c>
      <c r="E6281" t="inlineStr">
        <is>
          <t>VALDEMARSVIK</t>
        </is>
      </c>
      <c r="F6281" t="inlineStr">
        <is>
          <t>Holmen skog AB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18481-2023</t>
        </is>
      </c>
      <c r="B6282" s="1" t="n">
        <v>45042</v>
      </c>
      <c r="C6282" s="1" t="n">
        <v>45710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Naturvårdsverket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18514-2023</t>
        </is>
      </c>
      <c r="B6283" s="1" t="n">
        <v>45042</v>
      </c>
      <c r="C6283" s="1" t="n">
        <v>45710</v>
      </c>
      <c r="D6283" t="inlineStr">
        <is>
          <t>ÖSTERGÖTLANDS LÄN</t>
        </is>
      </c>
      <c r="E6283" t="inlineStr">
        <is>
          <t>NORRKÖPING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18639-2023</t>
        </is>
      </c>
      <c r="B6284" s="1" t="n">
        <v>45043</v>
      </c>
      <c r="C6284" s="1" t="n">
        <v>45710</v>
      </c>
      <c r="D6284" t="inlineStr">
        <is>
          <t>ÖSTERGÖTLANDS LÄN</t>
        </is>
      </c>
      <c r="E6284" t="inlineStr">
        <is>
          <t>NORRKÖPING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18591-2023</t>
        </is>
      </c>
      <c r="B6285" s="1" t="n">
        <v>45043</v>
      </c>
      <c r="C6285" s="1" t="n">
        <v>45710</v>
      </c>
      <c r="D6285" t="inlineStr">
        <is>
          <t>ÖSTERGÖTLANDS LÄN</t>
        </is>
      </c>
      <c r="E6285" t="inlineStr">
        <is>
          <t>MOTALA</t>
        </is>
      </c>
      <c r="G6285" t="n">
        <v>10.6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18658-2023</t>
        </is>
      </c>
      <c r="B6286" s="1" t="n">
        <v>45043</v>
      </c>
      <c r="C6286" s="1" t="n">
        <v>45710</v>
      </c>
      <c r="D6286" t="inlineStr">
        <is>
          <t>ÖSTERGÖTLANDS LÄN</t>
        </is>
      </c>
      <c r="E6286" t="inlineStr">
        <is>
          <t>NORRKÖPING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18664-2023</t>
        </is>
      </c>
      <c r="B6287" s="1" t="n">
        <v>45043</v>
      </c>
      <c r="C6287" s="1" t="n">
        <v>45710</v>
      </c>
      <c r="D6287" t="inlineStr">
        <is>
          <t>ÖSTERGÖTLANDS LÄN</t>
        </is>
      </c>
      <c r="E6287" t="inlineStr">
        <is>
          <t>NORRKÖPING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18634-2023</t>
        </is>
      </c>
      <c r="B6288" s="1" t="n">
        <v>45043</v>
      </c>
      <c r="C6288" s="1" t="n">
        <v>45710</v>
      </c>
      <c r="D6288" t="inlineStr">
        <is>
          <t>ÖSTERGÖTLANDS LÄN</t>
        </is>
      </c>
      <c r="E6288" t="inlineStr">
        <is>
          <t>NORRKÖPING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18667-2023</t>
        </is>
      </c>
      <c r="B6289" s="1" t="n">
        <v>45043</v>
      </c>
      <c r="C6289" s="1" t="n">
        <v>45710</v>
      </c>
      <c r="D6289" t="inlineStr">
        <is>
          <t>ÖSTERGÖTLANDS LÄN</t>
        </is>
      </c>
      <c r="E6289" t="inlineStr">
        <is>
          <t>NORRKÖPING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18746-2023</t>
        </is>
      </c>
      <c r="B6290" s="1" t="n">
        <v>45043</v>
      </c>
      <c r="C6290" s="1" t="n">
        <v>45710</v>
      </c>
      <c r="D6290" t="inlineStr">
        <is>
          <t>ÖSTERGÖTLANDS LÄN</t>
        </is>
      </c>
      <c r="E6290" t="inlineStr">
        <is>
          <t>BOXHOLM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18758-2023</t>
        </is>
      </c>
      <c r="B6291" s="1" t="n">
        <v>45043</v>
      </c>
      <c r="C6291" s="1" t="n">
        <v>45710</v>
      </c>
      <c r="D6291" t="inlineStr">
        <is>
          <t>ÖSTERGÖTLANDS LÄN</t>
        </is>
      </c>
      <c r="E6291" t="inlineStr">
        <is>
          <t>VALDEMARSVIK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18650-2023</t>
        </is>
      </c>
      <c r="B6292" s="1" t="n">
        <v>45043</v>
      </c>
      <c r="C6292" s="1" t="n">
        <v>45710</v>
      </c>
      <c r="D6292" t="inlineStr">
        <is>
          <t>ÖSTERGÖTLANDS LÄN</t>
        </is>
      </c>
      <c r="E6292" t="inlineStr">
        <is>
          <t>NORRKÖPING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18661-2023</t>
        </is>
      </c>
      <c r="B6293" s="1" t="n">
        <v>45043</v>
      </c>
      <c r="C6293" s="1" t="n">
        <v>45710</v>
      </c>
      <c r="D6293" t="inlineStr">
        <is>
          <t>ÖSTERGÖTLANDS LÄN</t>
        </is>
      </c>
      <c r="E6293" t="inlineStr">
        <is>
          <t>NORRKÖPING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18686-2023</t>
        </is>
      </c>
      <c r="B6294" s="1" t="n">
        <v>45043</v>
      </c>
      <c r="C6294" s="1" t="n">
        <v>45710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18636-2023</t>
        </is>
      </c>
      <c r="B6295" s="1" t="n">
        <v>45043</v>
      </c>
      <c r="C6295" s="1" t="n">
        <v>45710</v>
      </c>
      <c r="D6295" t="inlineStr">
        <is>
          <t>ÖSTERGÖTLANDS LÄN</t>
        </is>
      </c>
      <c r="E6295" t="inlineStr">
        <is>
          <t>NORRKÖPING</t>
        </is>
      </c>
      <c r="G6295" t="n">
        <v>5.7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18705-2023</t>
        </is>
      </c>
      <c r="B6296" s="1" t="n">
        <v>45043</v>
      </c>
      <c r="C6296" s="1" t="n">
        <v>45710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18738-2023</t>
        </is>
      </c>
      <c r="B6297" s="1" t="n">
        <v>45043</v>
      </c>
      <c r="C6297" s="1" t="n">
        <v>45710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Holmen skog AB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18915-2023</t>
        </is>
      </c>
      <c r="B6298" s="1" t="n">
        <v>45043</v>
      </c>
      <c r="C6298" s="1" t="n">
        <v>45710</v>
      </c>
      <c r="D6298" t="inlineStr">
        <is>
          <t>ÖSTERGÖTLANDS LÄN</t>
        </is>
      </c>
      <c r="E6298" t="inlineStr">
        <is>
          <t>MOTALA</t>
        </is>
      </c>
      <c r="F6298" t="inlineStr">
        <is>
          <t>Övriga statliga verk och myndigheter</t>
        </is>
      </c>
      <c r="G6298" t="n">
        <v>4.1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18923-2023</t>
        </is>
      </c>
      <c r="B6299" s="1" t="n">
        <v>45043</v>
      </c>
      <c r="C6299" s="1" t="n">
        <v>45710</v>
      </c>
      <c r="D6299" t="inlineStr">
        <is>
          <t>ÖSTERGÖTLANDS LÄN</t>
        </is>
      </c>
      <c r="E6299" t="inlineStr">
        <is>
          <t>MOTALA</t>
        </is>
      </c>
      <c r="F6299" t="inlineStr">
        <is>
          <t>Övriga statliga verk och myndigheter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18931-2023</t>
        </is>
      </c>
      <c r="B6300" s="1" t="n">
        <v>45043</v>
      </c>
      <c r="C6300" s="1" t="n">
        <v>45710</v>
      </c>
      <c r="D6300" t="inlineStr">
        <is>
          <t>ÖSTERGÖTLANDS LÄN</t>
        </is>
      </c>
      <c r="E6300" t="inlineStr">
        <is>
          <t>LINKÖPING</t>
        </is>
      </c>
      <c r="F6300" t="inlineStr">
        <is>
          <t>Övriga statliga verk och myndigheter</t>
        </is>
      </c>
      <c r="G6300" t="n">
        <v>3.4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18920-2023</t>
        </is>
      </c>
      <c r="B6301" s="1" t="n">
        <v>45043</v>
      </c>
      <c r="C6301" s="1" t="n">
        <v>45710</v>
      </c>
      <c r="D6301" t="inlineStr">
        <is>
          <t>ÖSTERGÖTLANDS LÄN</t>
        </is>
      </c>
      <c r="E6301" t="inlineStr">
        <is>
          <t>LINKÖPING</t>
        </is>
      </c>
      <c r="F6301" t="inlineStr">
        <is>
          <t>Övriga statliga verk och myndigheter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18949-2023</t>
        </is>
      </c>
      <c r="B6302" s="1" t="n">
        <v>45044</v>
      </c>
      <c r="C6302" s="1" t="n">
        <v>45710</v>
      </c>
      <c r="D6302" t="inlineStr">
        <is>
          <t>ÖSTERGÖTLANDS LÄN</t>
        </is>
      </c>
      <c r="E6302" t="inlineStr">
        <is>
          <t>NORRKÖPING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18815-2023</t>
        </is>
      </c>
      <c r="B6303" s="1" t="n">
        <v>45044</v>
      </c>
      <c r="C6303" s="1" t="n">
        <v>45710</v>
      </c>
      <c r="D6303" t="inlineStr">
        <is>
          <t>ÖSTERGÖTLANDS LÄN</t>
        </is>
      </c>
      <c r="E6303" t="inlineStr">
        <is>
          <t>NORRKÖPING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18834-2023</t>
        </is>
      </c>
      <c r="B6304" s="1" t="n">
        <v>45044</v>
      </c>
      <c r="C6304" s="1" t="n">
        <v>45710</v>
      </c>
      <c r="D6304" t="inlineStr">
        <is>
          <t>ÖSTERGÖTLANDS LÄN</t>
        </is>
      </c>
      <c r="E6304" t="inlineStr">
        <is>
          <t>KINDA</t>
        </is>
      </c>
      <c r="G6304" t="n">
        <v>4.1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18888-2023</t>
        </is>
      </c>
      <c r="B6305" s="1" t="n">
        <v>45044</v>
      </c>
      <c r="C6305" s="1" t="n">
        <v>45710</v>
      </c>
      <c r="D6305" t="inlineStr">
        <is>
          <t>ÖSTERGÖTLANDS LÄN</t>
        </is>
      </c>
      <c r="E6305" t="inlineStr">
        <is>
          <t>LINKÖPING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19169-2023</t>
        </is>
      </c>
      <c r="B6306" s="1" t="n">
        <v>45044</v>
      </c>
      <c r="C6306" s="1" t="n">
        <v>45710</v>
      </c>
      <c r="D6306" t="inlineStr">
        <is>
          <t>ÖSTERGÖTLANDS LÄN</t>
        </is>
      </c>
      <c r="E6306" t="inlineStr">
        <is>
          <t>LINKÖPING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19036-2023</t>
        </is>
      </c>
      <c r="B6307" s="1" t="n">
        <v>45047</v>
      </c>
      <c r="C6307" s="1" t="n">
        <v>45710</v>
      </c>
      <c r="D6307" t="inlineStr">
        <is>
          <t>ÖSTERGÖTLANDS LÄN</t>
        </is>
      </c>
      <c r="E6307" t="inlineStr">
        <is>
          <t>ÅTVIDABERG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19031-2023</t>
        </is>
      </c>
      <c r="B6308" s="1" t="n">
        <v>45047</v>
      </c>
      <c r="C6308" s="1" t="n">
        <v>45710</v>
      </c>
      <c r="D6308" t="inlineStr">
        <is>
          <t>ÖSTERGÖTLANDS LÄN</t>
        </is>
      </c>
      <c r="E6308" t="inlineStr">
        <is>
          <t>MOTALA</t>
        </is>
      </c>
      <c r="F6308" t="inlineStr">
        <is>
          <t>Sveaskog</t>
        </is>
      </c>
      <c r="G6308" t="n">
        <v>27.2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19030-2023</t>
        </is>
      </c>
      <c r="B6309" s="1" t="n">
        <v>45047</v>
      </c>
      <c r="C6309" s="1" t="n">
        <v>45710</v>
      </c>
      <c r="D6309" t="inlineStr">
        <is>
          <t>ÖSTERGÖTLANDS LÄN</t>
        </is>
      </c>
      <c r="E6309" t="inlineStr">
        <is>
          <t>ÅTVIDABERG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19087-2023</t>
        </is>
      </c>
      <c r="B6310" s="1" t="n">
        <v>45048</v>
      </c>
      <c r="C6310" s="1" t="n">
        <v>45710</v>
      </c>
      <c r="D6310" t="inlineStr">
        <is>
          <t>ÖSTERGÖTLANDS LÄN</t>
        </is>
      </c>
      <c r="E6310" t="inlineStr">
        <is>
          <t>ÖDESHÖG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19132-2023</t>
        </is>
      </c>
      <c r="B6311" s="1" t="n">
        <v>45048</v>
      </c>
      <c r="C6311" s="1" t="n">
        <v>45710</v>
      </c>
      <c r="D6311" t="inlineStr">
        <is>
          <t>ÖSTERGÖTLANDS LÄN</t>
        </is>
      </c>
      <c r="E6311" t="inlineStr">
        <is>
          <t>LINKÖPING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19085-2023</t>
        </is>
      </c>
      <c r="B6312" s="1" t="n">
        <v>45048</v>
      </c>
      <c r="C6312" s="1" t="n">
        <v>45710</v>
      </c>
      <c r="D6312" t="inlineStr">
        <is>
          <t>ÖSTERGÖTLANDS LÄN</t>
        </is>
      </c>
      <c r="E6312" t="inlineStr">
        <is>
          <t>ÖDESHÖG</t>
        </is>
      </c>
      <c r="G6312" t="n">
        <v>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19089-2023</t>
        </is>
      </c>
      <c r="B6313" s="1" t="n">
        <v>45048</v>
      </c>
      <c r="C6313" s="1" t="n">
        <v>45710</v>
      </c>
      <c r="D6313" t="inlineStr">
        <is>
          <t>ÖSTERGÖTLANDS LÄN</t>
        </is>
      </c>
      <c r="E6313" t="inlineStr">
        <is>
          <t>ÖDESHÖG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19114-2023</t>
        </is>
      </c>
      <c r="B6314" s="1" t="n">
        <v>45048</v>
      </c>
      <c r="C6314" s="1" t="n">
        <v>45710</v>
      </c>
      <c r="D6314" t="inlineStr">
        <is>
          <t>ÖSTERGÖTLANDS LÄN</t>
        </is>
      </c>
      <c r="E6314" t="inlineStr">
        <is>
          <t>NORRKÖPING</t>
        </is>
      </c>
      <c r="G6314" t="n">
        <v>2.4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19208-2023</t>
        </is>
      </c>
      <c r="B6315" s="1" t="n">
        <v>45048</v>
      </c>
      <c r="C6315" s="1" t="n">
        <v>45710</v>
      </c>
      <c r="D6315" t="inlineStr">
        <is>
          <t>ÖSTERGÖTLANDS LÄN</t>
        </is>
      </c>
      <c r="E6315" t="inlineStr">
        <is>
          <t>YDRE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19113-2023</t>
        </is>
      </c>
      <c r="B6316" s="1" t="n">
        <v>45048</v>
      </c>
      <c r="C6316" s="1" t="n">
        <v>45710</v>
      </c>
      <c r="D6316" t="inlineStr">
        <is>
          <t>ÖSTERGÖTLANDS LÄN</t>
        </is>
      </c>
      <c r="E6316" t="inlineStr">
        <is>
          <t>NORRKÖPING</t>
        </is>
      </c>
      <c r="F6316" t="inlineStr">
        <is>
          <t>Holmen skog AB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19152-2023</t>
        </is>
      </c>
      <c r="B6317" s="1" t="n">
        <v>45048</v>
      </c>
      <c r="C6317" s="1" t="n">
        <v>45710</v>
      </c>
      <c r="D6317" t="inlineStr">
        <is>
          <t>ÖSTERGÖTLANDS LÄN</t>
        </is>
      </c>
      <c r="E6317" t="inlineStr">
        <is>
          <t>ÖDESHÖG</t>
        </is>
      </c>
      <c r="G6317" t="n">
        <v>4.7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19217-2023</t>
        </is>
      </c>
      <c r="B6318" s="1" t="n">
        <v>45048</v>
      </c>
      <c r="C6318" s="1" t="n">
        <v>45710</v>
      </c>
      <c r="D6318" t="inlineStr">
        <is>
          <t>ÖSTERGÖTLANDS LÄN</t>
        </is>
      </c>
      <c r="E6318" t="inlineStr">
        <is>
          <t>MOTALA</t>
        </is>
      </c>
      <c r="G6318" t="n">
        <v>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19324-2023</t>
        </is>
      </c>
      <c r="B6319" s="1" t="n">
        <v>45048</v>
      </c>
      <c r="C6319" s="1" t="n">
        <v>45710</v>
      </c>
      <c r="D6319" t="inlineStr">
        <is>
          <t>ÖSTERGÖTLANDS LÄN</t>
        </is>
      </c>
      <c r="E6319" t="inlineStr">
        <is>
          <t>LINKÖPING</t>
        </is>
      </c>
      <c r="F6319" t="inlineStr">
        <is>
          <t>Övriga statliga verk och myndigheter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19157-2023</t>
        </is>
      </c>
      <c r="B6320" s="1" t="n">
        <v>45048</v>
      </c>
      <c r="C6320" s="1" t="n">
        <v>45710</v>
      </c>
      <c r="D6320" t="inlineStr">
        <is>
          <t>ÖSTERGÖTLANDS LÄN</t>
        </is>
      </c>
      <c r="E6320" t="inlineStr">
        <is>
          <t>ÖDESHÖG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19193-2023</t>
        </is>
      </c>
      <c r="B6321" s="1" t="n">
        <v>45048</v>
      </c>
      <c r="C6321" s="1" t="n">
        <v>45710</v>
      </c>
      <c r="D6321" t="inlineStr">
        <is>
          <t>ÖSTERGÖTLANDS LÄN</t>
        </is>
      </c>
      <c r="E6321" t="inlineStr">
        <is>
          <t>NORRKÖPING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19209-2023</t>
        </is>
      </c>
      <c r="B6322" s="1" t="n">
        <v>45048</v>
      </c>
      <c r="C6322" s="1" t="n">
        <v>45710</v>
      </c>
      <c r="D6322" t="inlineStr">
        <is>
          <t>ÖSTERGÖTLANDS LÄN</t>
        </is>
      </c>
      <c r="E6322" t="inlineStr">
        <is>
          <t>YDRE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19371-2023</t>
        </is>
      </c>
      <c r="B6323" s="1" t="n">
        <v>45048</v>
      </c>
      <c r="C6323" s="1" t="n">
        <v>45710</v>
      </c>
      <c r="D6323" t="inlineStr">
        <is>
          <t>ÖSTERGÖTLANDS LÄN</t>
        </is>
      </c>
      <c r="E6323" t="inlineStr">
        <is>
          <t>LINKÖPING</t>
        </is>
      </c>
      <c r="F6323" t="inlineStr">
        <is>
          <t>Övriga statliga verk och myndigheter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19296-2023</t>
        </is>
      </c>
      <c r="B6324" s="1" t="n">
        <v>45048</v>
      </c>
      <c r="C6324" s="1" t="n">
        <v>45710</v>
      </c>
      <c r="D6324" t="inlineStr">
        <is>
          <t>ÖSTERGÖTLANDS LÄN</t>
        </is>
      </c>
      <c r="E6324" t="inlineStr">
        <is>
          <t>KINDA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19260-2023</t>
        </is>
      </c>
      <c r="B6325" s="1" t="n">
        <v>45049</v>
      </c>
      <c r="C6325" s="1" t="n">
        <v>45710</v>
      </c>
      <c r="D6325" t="inlineStr">
        <is>
          <t>ÖSTERGÖTLANDS LÄN</t>
        </is>
      </c>
      <c r="E6325" t="inlineStr">
        <is>
          <t>NORRKÖPING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19303-2023</t>
        </is>
      </c>
      <c r="B6326" s="1" t="n">
        <v>45049</v>
      </c>
      <c r="C6326" s="1" t="n">
        <v>45710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19334-2023</t>
        </is>
      </c>
      <c r="B6327" s="1" t="n">
        <v>45049</v>
      </c>
      <c r="C6327" s="1" t="n">
        <v>45710</v>
      </c>
      <c r="D6327" t="inlineStr">
        <is>
          <t>ÖSTERGÖTLANDS LÄN</t>
        </is>
      </c>
      <c r="E6327" t="inlineStr">
        <is>
          <t>NORRKÖPING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19351-2023</t>
        </is>
      </c>
      <c r="B6328" s="1" t="n">
        <v>45049</v>
      </c>
      <c r="C6328" s="1" t="n">
        <v>45710</v>
      </c>
      <c r="D6328" t="inlineStr">
        <is>
          <t>ÖSTERGÖTLANDS LÄN</t>
        </is>
      </c>
      <c r="E6328" t="inlineStr">
        <is>
          <t>ÖDESHÖG</t>
        </is>
      </c>
      <c r="G6328" t="n">
        <v>5.8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19363-2023</t>
        </is>
      </c>
      <c r="B6329" s="1" t="n">
        <v>45049</v>
      </c>
      <c r="C6329" s="1" t="n">
        <v>45710</v>
      </c>
      <c r="D6329" t="inlineStr">
        <is>
          <t>ÖSTERGÖTLANDS LÄN</t>
        </is>
      </c>
      <c r="E6329" t="inlineStr">
        <is>
          <t>LINKÖPING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19369-2023</t>
        </is>
      </c>
      <c r="B6330" s="1" t="n">
        <v>45049</v>
      </c>
      <c r="C6330" s="1" t="n">
        <v>45710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12.3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19259-2023</t>
        </is>
      </c>
      <c r="B6331" s="1" t="n">
        <v>45049</v>
      </c>
      <c r="C6331" s="1" t="n">
        <v>45710</v>
      </c>
      <c r="D6331" t="inlineStr">
        <is>
          <t>ÖSTERGÖTLANDS LÄN</t>
        </is>
      </c>
      <c r="E6331" t="inlineStr">
        <is>
          <t>NORRKÖPING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19335-2023</t>
        </is>
      </c>
      <c r="B6332" s="1" t="n">
        <v>45049</v>
      </c>
      <c r="C6332" s="1" t="n">
        <v>45710</v>
      </c>
      <c r="D6332" t="inlineStr">
        <is>
          <t>ÖSTERGÖTLANDS LÄN</t>
        </is>
      </c>
      <c r="E6332" t="inlineStr">
        <is>
          <t>NORRKÖPING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19350-2023</t>
        </is>
      </c>
      <c r="B6333" s="1" t="n">
        <v>45049</v>
      </c>
      <c r="C6333" s="1" t="n">
        <v>45710</v>
      </c>
      <c r="D6333" t="inlineStr">
        <is>
          <t>ÖSTERGÖTLANDS LÄN</t>
        </is>
      </c>
      <c r="E6333" t="inlineStr">
        <is>
          <t>ÖDESHÖG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19362-2023</t>
        </is>
      </c>
      <c r="B6334" s="1" t="n">
        <v>45049</v>
      </c>
      <c r="C6334" s="1" t="n">
        <v>45710</v>
      </c>
      <c r="D6334" t="inlineStr">
        <is>
          <t>ÖSTERGÖTLANDS LÄN</t>
        </is>
      </c>
      <c r="E6334" t="inlineStr">
        <is>
          <t>LINKÖPING</t>
        </is>
      </c>
      <c r="G6334" t="n">
        <v>0.1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19381-2023</t>
        </is>
      </c>
      <c r="B6335" s="1" t="n">
        <v>45049</v>
      </c>
      <c r="C6335" s="1" t="n">
        <v>45710</v>
      </c>
      <c r="D6335" t="inlineStr">
        <is>
          <t>ÖSTERGÖTLANDS LÄN</t>
        </is>
      </c>
      <c r="E6335" t="inlineStr">
        <is>
          <t>ÅTVIDABERG</t>
        </is>
      </c>
      <c r="G6335" t="n">
        <v>2.1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19262-2023</t>
        </is>
      </c>
      <c r="B6336" s="1" t="n">
        <v>45049</v>
      </c>
      <c r="C6336" s="1" t="n">
        <v>45710</v>
      </c>
      <c r="D6336" t="inlineStr">
        <is>
          <t>ÖSTERGÖTLANDS LÄN</t>
        </is>
      </c>
      <c r="E6336" t="inlineStr">
        <is>
          <t>NORRKÖPING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19545-2023</t>
        </is>
      </c>
      <c r="B6337" s="1" t="n">
        <v>45049</v>
      </c>
      <c r="C6337" s="1" t="n">
        <v>45710</v>
      </c>
      <c r="D6337" t="inlineStr">
        <is>
          <t>ÖSTERGÖTLANDS LÄN</t>
        </is>
      </c>
      <c r="E6337" t="inlineStr">
        <is>
          <t>KINDA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19601-2023</t>
        </is>
      </c>
      <c r="B6338" s="1" t="n">
        <v>45050</v>
      </c>
      <c r="C6338" s="1" t="n">
        <v>45710</v>
      </c>
      <c r="D6338" t="inlineStr">
        <is>
          <t>ÖSTERGÖTLANDS LÄN</t>
        </is>
      </c>
      <c r="E6338" t="inlineStr">
        <is>
          <t>BOXHOLM</t>
        </is>
      </c>
      <c r="G6338" t="n">
        <v>7.2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19733-2023</t>
        </is>
      </c>
      <c r="B6339" s="1" t="n">
        <v>45051</v>
      </c>
      <c r="C6339" s="1" t="n">
        <v>45710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19676-2023</t>
        </is>
      </c>
      <c r="B6340" s="1" t="n">
        <v>45051</v>
      </c>
      <c r="C6340" s="1" t="n">
        <v>45710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Holmen skog AB</t>
        </is>
      </c>
      <c r="G6340" t="n">
        <v>3.9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19807-2023</t>
        </is>
      </c>
      <c r="B6341" s="1" t="n">
        <v>45051</v>
      </c>
      <c r="C6341" s="1" t="n">
        <v>45710</v>
      </c>
      <c r="D6341" t="inlineStr">
        <is>
          <t>ÖSTERGÖTLANDS LÄN</t>
        </is>
      </c>
      <c r="E6341" t="inlineStr">
        <is>
          <t>FINSPÅNG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19844-2023</t>
        </is>
      </c>
      <c r="B6342" s="1" t="n">
        <v>45053</v>
      </c>
      <c r="C6342" s="1" t="n">
        <v>45710</v>
      </c>
      <c r="D6342" t="inlineStr">
        <is>
          <t>ÖSTERGÖTLANDS LÄN</t>
        </is>
      </c>
      <c r="E6342" t="inlineStr">
        <is>
          <t>NORRKÖPING</t>
        </is>
      </c>
      <c r="G6342" t="n">
        <v>2.8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19853-2023</t>
        </is>
      </c>
      <c r="B6343" s="1" t="n">
        <v>45053</v>
      </c>
      <c r="C6343" s="1" t="n">
        <v>45710</v>
      </c>
      <c r="D6343" t="inlineStr">
        <is>
          <t>ÖSTERGÖTLANDS LÄN</t>
        </is>
      </c>
      <c r="E6343" t="inlineStr">
        <is>
          <t>NORRKÖPING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19843-2023</t>
        </is>
      </c>
      <c r="B6344" s="1" t="n">
        <v>45053</v>
      </c>
      <c r="C6344" s="1" t="n">
        <v>45710</v>
      </c>
      <c r="D6344" t="inlineStr">
        <is>
          <t>ÖSTERGÖTLANDS LÄN</t>
        </is>
      </c>
      <c r="E6344" t="inlineStr">
        <is>
          <t>FINSPÅNG</t>
        </is>
      </c>
      <c r="G6344" t="n">
        <v>3.6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19875-2023</t>
        </is>
      </c>
      <c r="B6345" s="1" t="n">
        <v>45054</v>
      </c>
      <c r="C6345" s="1" t="n">
        <v>45710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19982-2023</t>
        </is>
      </c>
      <c r="B6346" s="1" t="n">
        <v>45054</v>
      </c>
      <c r="C6346" s="1" t="n">
        <v>45710</v>
      </c>
      <c r="D6346" t="inlineStr">
        <is>
          <t>ÖSTERGÖTLANDS LÄN</t>
        </is>
      </c>
      <c r="E6346" t="inlineStr">
        <is>
          <t>NORRKÖPING</t>
        </is>
      </c>
      <c r="F6346" t="inlineStr">
        <is>
          <t>Holmen skog AB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19987-2023</t>
        </is>
      </c>
      <c r="B6347" s="1" t="n">
        <v>45054</v>
      </c>
      <c r="C6347" s="1" t="n">
        <v>45710</v>
      </c>
      <c r="D6347" t="inlineStr">
        <is>
          <t>ÖSTERGÖTLANDS LÄN</t>
        </is>
      </c>
      <c r="E6347" t="inlineStr">
        <is>
          <t>MOTALA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20050-2023</t>
        </is>
      </c>
      <c r="B6348" s="1" t="n">
        <v>45054</v>
      </c>
      <c r="C6348" s="1" t="n">
        <v>45710</v>
      </c>
      <c r="D6348" t="inlineStr">
        <is>
          <t>ÖSTERGÖTLANDS LÄN</t>
        </is>
      </c>
      <c r="E6348" t="inlineStr">
        <is>
          <t>YDRE</t>
        </is>
      </c>
      <c r="G6348" t="n">
        <v>4.2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19895-2023</t>
        </is>
      </c>
      <c r="B6349" s="1" t="n">
        <v>45054</v>
      </c>
      <c r="C6349" s="1" t="n">
        <v>45710</v>
      </c>
      <c r="D6349" t="inlineStr">
        <is>
          <t>ÖSTERGÖTLANDS LÄN</t>
        </is>
      </c>
      <c r="E6349" t="inlineStr">
        <is>
          <t>NORRKÖPING</t>
        </is>
      </c>
      <c r="F6349" t="inlineStr">
        <is>
          <t>Naturvårdsverket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20048-2023</t>
        </is>
      </c>
      <c r="B6350" s="1" t="n">
        <v>45054</v>
      </c>
      <c r="C6350" s="1" t="n">
        <v>45710</v>
      </c>
      <c r="D6350" t="inlineStr">
        <is>
          <t>ÖSTERGÖTLANDS LÄN</t>
        </is>
      </c>
      <c r="E6350" t="inlineStr">
        <is>
          <t>YDRE</t>
        </is>
      </c>
      <c r="G6350" t="n">
        <v>5.3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20157-2023</t>
        </is>
      </c>
      <c r="B6351" s="1" t="n">
        <v>45055</v>
      </c>
      <c r="C6351" s="1" t="n">
        <v>45710</v>
      </c>
      <c r="D6351" t="inlineStr">
        <is>
          <t>ÖSTERGÖTLANDS LÄN</t>
        </is>
      </c>
      <c r="E6351" t="inlineStr">
        <is>
          <t>FINSPÅNG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20159-2023</t>
        </is>
      </c>
      <c r="B6352" s="1" t="n">
        <v>45055</v>
      </c>
      <c r="C6352" s="1" t="n">
        <v>45710</v>
      </c>
      <c r="D6352" t="inlineStr">
        <is>
          <t>ÖSTERGÖTLANDS LÄN</t>
        </is>
      </c>
      <c r="E6352" t="inlineStr">
        <is>
          <t>FINSPÅNG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20221-2023</t>
        </is>
      </c>
      <c r="B6353" s="1" t="n">
        <v>45055</v>
      </c>
      <c r="C6353" s="1" t="n">
        <v>45710</v>
      </c>
      <c r="D6353" t="inlineStr">
        <is>
          <t>ÖSTERGÖTLANDS LÄN</t>
        </is>
      </c>
      <c r="E6353" t="inlineStr">
        <is>
          <t>SÖDERKÖPING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20251-2023</t>
        </is>
      </c>
      <c r="B6354" s="1" t="n">
        <v>45055</v>
      </c>
      <c r="C6354" s="1" t="n">
        <v>45710</v>
      </c>
      <c r="D6354" t="inlineStr">
        <is>
          <t>ÖSTERGÖTLANDS LÄN</t>
        </is>
      </c>
      <c r="E6354" t="inlineStr">
        <is>
          <t>SÖDERKÖPING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20254-2023</t>
        </is>
      </c>
      <c r="B6355" s="1" t="n">
        <v>45055</v>
      </c>
      <c r="C6355" s="1" t="n">
        <v>45710</v>
      </c>
      <c r="D6355" t="inlineStr">
        <is>
          <t>ÖSTERGÖTLANDS LÄN</t>
        </is>
      </c>
      <c r="E6355" t="inlineStr">
        <is>
          <t>SÖDERKÖPING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20223-2023</t>
        </is>
      </c>
      <c r="B6356" s="1" t="n">
        <v>45055</v>
      </c>
      <c r="C6356" s="1" t="n">
        <v>45710</v>
      </c>
      <c r="D6356" t="inlineStr">
        <is>
          <t>ÖSTERGÖTLANDS LÄN</t>
        </is>
      </c>
      <c r="E6356" t="inlineStr">
        <is>
          <t>SÖDERKÖPING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20253-2023</t>
        </is>
      </c>
      <c r="B6357" s="1" t="n">
        <v>45055</v>
      </c>
      <c r="C6357" s="1" t="n">
        <v>45710</v>
      </c>
      <c r="D6357" t="inlineStr">
        <is>
          <t>ÖSTERGÖTLANDS LÄN</t>
        </is>
      </c>
      <c r="E6357" t="inlineStr">
        <is>
          <t>SÖDERKÖPING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20734-2023</t>
        </is>
      </c>
      <c r="B6358" s="1" t="n">
        <v>45055</v>
      </c>
      <c r="C6358" s="1" t="n">
        <v>45710</v>
      </c>
      <c r="D6358" t="inlineStr">
        <is>
          <t>ÖSTERGÖTLANDS LÄN</t>
        </is>
      </c>
      <c r="E6358" t="inlineStr">
        <is>
          <t>LINKÖPING</t>
        </is>
      </c>
      <c r="F6358" t="inlineStr">
        <is>
          <t>Övriga statliga verk och myndigheter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20374-2023</t>
        </is>
      </c>
      <c r="B6359" s="1" t="n">
        <v>45056</v>
      </c>
      <c r="C6359" s="1" t="n">
        <v>45710</v>
      </c>
      <c r="D6359" t="inlineStr">
        <is>
          <t>ÖSTERGÖTLANDS LÄN</t>
        </is>
      </c>
      <c r="E6359" t="inlineStr">
        <is>
          <t>NORRKÖPING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20334-2023</t>
        </is>
      </c>
      <c r="B6360" s="1" t="n">
        <v>45056</v>
      </c>
      <c r="C6360" s="1" t="n">
        <v>45710</v>
      </c>
      <c r="D6360" t="inlineStr">
        <is>
          <t>ÖSTERGÖTLANDS LÄN</t>
        </is>
      </c>
      <c r="E6360" t="inlineStr">
        <is>
          <t>KINDA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20365-2023</t>
        </is>
      </c>
      <c r="B6361" s="1" t="n">
        <v>45056</v>
      </c>
      <c r="C6361" s="1" t="n">
        <v>45710</v>
      </c>
      <c r="D6361" t="inlineStr">
        <is>
          <t>ÖSTERGÖTLANDS LÄN</t>
        </is>
      </c>
      <c r="E6361" t="inlineStr">
        <is>
          <t>SÖDERKÖPING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20371-2023</t>
        </is>
      </c>
      <c r="B6362" s="1" t="n">
        <v>45056</v>
      </c>
      <c r="C6362" s="1" t="n">
        <v>45710</v>
      </c>
      <c r="D6362" t="inlineStr">
        <is>
          <t>ÖSTERGÖTLANDS LÄN</t>
        </is>
      </c>
      <c r="E6362" t="inlineStr">
        <is>
          <t>SÖDERKÖPING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20376-2023</t>
        </is>
      </c>
      <c r="B6363" s="1" t="n">
        <v>45056</v>
      </c>
      <c r="C6363" s="1" t="n">
        <v>45710</v>
      </c>
      <c r="D6363" t="inlineStr">
        <is>
          <t>ÖSTERGÖTLANDS LÄN</t>
        </is>
      </c>
      <c r="E6363" t="inlineStr">
        <is>
          <t>NORRKÖPING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20372-2023</t>
        </is>
      </c>
      <c r="B6364" s="1" t="n">
        <v>45056</v>
      </c>
      <c r="C6364" s="1" t="n">
        <v>45710</v>
      </c>
      <c r="D6364" t="inlineStr">
        <is>
          <t>ÖSTERGÖTLANDS LÄN</t>
        </is>
      </c>
      <c r="E6364" t="inlineStr">
        <is>
          <t>ÅTVIDABERG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20435-2023</t>
        </is>
      </c>
      <c r="B6365" s="1" t="n">
        <v>45056</v>
      </c>
      <c r="C6365" s="1" t="n">
        <v>45710</v>
      </c>
      <c r="D6365" t="inlineStr">
        <is>
          <t>ÖSTERGÖTLANDS LÄN</t>
        </is>
      </c>
      <c r="E6365" t="inlineStr">
        <is>
          <t>MJÖLBY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20373-2023</t>
        </is>
      </c>
      <c r="B6366" s="1" t="n">
        <v>45056</v>
      </c>
      <c r="C6366" s="1" t="n">
        <v>45710</v>
      </c>
      <c r="D6366" t="inlineStr">
        <is>
          <t>ÖSTERGÖTLANDS LÄN</t>
        </is>
      </c>
      <c r="E6366" t="inlineStr">
        <is>
          <t>ÅTVIDABERG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20464-2023</t>
        </is>
      </c>
      <c r="B6367" s="1" t="n">
        <v>45057</v>
      </c>
      <c r="C6367" s="1" t="n">
        <v>45710</v>
      </c>
      <c r="D6367" t="inlineStr">
        <is>
          <t>ÖSTERGÖTLANDS LÄN</t>
        </is>
      </c>
      <c r="E6367" t="inlineStr">
        <is>
          <t>FINSPÅNG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20491-2023</t>
        </is>
      </c>
      <c r="B6368" s="1" t="n">
        <v>45057</v>
      </c>
      <c r="C6368" s="1" t="n">
        <v>45710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20522-2023</t>
        </is>
      </c>
      <c r="B6369" s="1" t="n">
        <v>45057</v>
      </c>
      <c r="C6369" s="1" t="n">
        <v>45710</v>
      </c>
      <c r="D6369" t="inlineStr">
        <is>
          <t>ÖSTERGÖTLANDS LÄN</t>
        </is>
      </c>
      <c r="E6369" t="inlineStr">
        <is>
          <t>KINDA</t>
        </is>
      </c>
      <c r="G6369" t="n">
        <v>7.5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20517-2023</t>
        </is>
      </c>
      <c r="B6370" s="1" t="n">
        <v>45057</v>
      </c>
      <c r="C6370" s="1" t="n">
        <v>45710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21241-2023</t>
        </is>
      </c>
      <c r="B6371" s="1" t="n">
        <v>45057</v>
      </c>
      <c r="C6371" s="1" t="n">
        <v>45710</v>
      </c>
      <c r="D6371" t="inlineStr">
        <is>
          <t>ÖSTERGÖTLANDS LÄN</t>
        </is>
      </c>
      <c r="E6371" t="inlineStr">
        <is>
          <t>ÅTVIDABERG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20638-2023</t>
        </is>
      </c>
      <c r="B6372" s="1" t="n">
        <v>45058</v>
      </c>
      <c r="C6372" s="1" t="n">
        <v>45710</v>
      </c>
      <c r="D6372" t="inlineStr">
        <is>
          <t>ÖSTERGÖTLANDS LÄN</t>
        </is>
      </c>
      <c r="E6372" t="inlineStr">
        <is>
          <t>FINSPÅNG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20779-2023</t>
        </is>
      </c>
      <c r="B6373" s="1" t="n">
        <v>45058</v>
      </c>
      <c r="C6373" s="1" t="n">
        <v>45710</v>
      </c>
      <c r="D6373" t="inlineStr">
        <is>
          <t>ÖSTERGÖTLANDS LÄN</t>
        </is>
      </c>
      <c r="E6373" t="inlineStr">
        <is>
          <t>SÖDERKÖPING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20794-2023</t>
        </is>
      </c>
      <c r="B6374" s="1" t="n">
        <v>45058</v>
      </c>
      <c r="C6374" s="1" t="n">
        <v>45710</v>
      </c>
      <c r="D6374" t="inlineStr">
        <is>
          <t>ÖSTERGÖTLANDS LÄN</t>
        </is>
      </c>
      <c r="E6374" t="inlineStr">
        <is>
          <t>VALDEMARSVIK</t>
        </is>
      </c>
      <c r="G6374" t="n">
        <v>9.199999999999999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20811-2023</t>
        </is>
      </c>
      <c r="B6375" s="1" t="n">
        <v>45058</v>
      </c>
      <c r="C6375" s="1" t="n">
        <v>45710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20639-2023</t>
        </is>
      </c>
      <c r="B6376" s="1" t="n">
        <v>45058</v>
      </c>
      <c r="C6376" s="1" t="n">
        <v>45710</v>
      </c>
      <c r="D6376" t="inlineStr">
        <is>
          <t>ÖSTERGÖTLANDS LÄN</t>
        </is>
      </c>
      <c r="E6376" t="inlineStr">
        <is>
          <t>FINSPÅNG</t>
        </is>
      </c>
      <c r="G6376" t="n">
        <v>3.7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20652-2023</t>
        </is>
      </c>
      <c r="B6377" s="1" t="n">
        <v>45058</v>
      </c>
      <c r="C6377" s="1" t="n">
        <v>45710</v>
      </c>
      <c r="D6377" t="inlineStr">
        <is>
          <t>ÖSTERGÖTLANDS LÄN</t>
        </is>
      </c>
      <c r="E6377" t="inlineStr">
        <is>
          <t>SÖDERKÖPING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20640-2023</t>
        </is>
      </c>
      <c r="B6378" s="1" t="n">
        <v>45058</v>
      </c>
      <c r="C6378" s="1" t="n">
        <v>45710</v>
      </c>
      <c r="D6378" t="inlineStr">
        <is>
          <t>ÖSTERGÖTLANDS LÄN</t>
        </is>
      </c>
      <c r="E6378" t="inlineStr">
        <is>
          <t>FINSPÅNG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20641-2023</t>
        </is>
      </c>
      <c r="B6379" s="1" t="n">
        <v>45058</v>
      </c>
      <c r="C6379" s="1" t="n">
        <v>45710</v>
      </c>
      <c r="D6379" t="inlineStr">
        <is>
          <t>ÖSTERGÖTLANDS LÄN</t>
        </is>
      </c>
      <c r="E6379" t="inlineStr">
        <is>
          <t>FINSPÅNG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20760-2023</t>
        </is>
      </c>
      <c r="B6380" s="1" t="n">
        <v>45058</v>
      </c>
      <c r="C6380" s="1" t="n">
        <v>45710</v>
      </c>
      <c r="D6380" t="inlineStr">
        <is>
          <t>ÖSTERGÖTLANDS LÄN</t>
        </is>
      </c>
      <c r="E6380" t="inlineStr">
        <is>
          <t>SÖDERKÖPING</t>
        </is>
      </c>
      <c r="G6380" t="n">
        <v>4.9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20776-2023</t>
        </is>
      </c>
      <c r="B6381" s="1" t="n">
        <v>45058</v>
      </c>
      <c r="C6381" s="1" t="n">
        <v>45710</v>
      </c>
      <c r="D6381" t="inlineStr">
        <is>
          <t>ÖSTERGÖTLANDS LÄN</t>
        </is>
      </c>
      <c r="E6381" t="inlineStr">
        <is>
          <t>SÖDERKÖPING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20783-2023</t>
        </is>
      </c>
      <c r="B6382" s="1" t="n">
        <v>45058</v>
      </c>
      <c r="C6382" s="1" t="n">
        <v>45710</v>
      </c>
      <c r="D6382" t="inlineStr">
        <is>
          <t>ÖSTERGÖTLANDS LÄN</t>
        </is>
      </c>
      <c r="E6382" t="inlineStr">
        <is>
          <t>SÖDERKÖPING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20836-2023</t>
        </is>
      </c>
      <c r="B6383" s="1" t="n">
        <v>45058</v>
      </c>
      <c r="C6383" s="1" t="n">
        <v>45710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6.5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21406-2023</t>
        </is>
      </c>
      <c r="B6384" s="1" t="n">
        <v>45058</v>
      </c>
      <c r="C6384" s="1" t="n">
        <v>45710</v>
      </c>
      <c r="D6384" t="inlineStr">
        <is>
          <t>ÖSTERGÖTLANDS LÄN</t>
        </is>
      </c>
      <c r="E6384" t="inlineStr">
        <is>
          <t>ÅTVIDABERG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21440-2023</t>
        </is>
      </c>
      <c r="B6385" s="1" t="n">
        <v>45058</v>
      </c>
      <c r="C6385" s="1" t="n">
        <v>45710</v>
      </c>
      <c r="D6385" t="inlineStr">
        <is>
          <t>ÖSTERGÖTLANDS LÄN</t>
        </is>
      </c>
      <c r="E6385" t="inlineStr">
        <is>
          <t>ÅTVIDABERG</t>
        </is>
      </c>
      <c r="G6385" t="n">
        <v>8.699999999999999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21414-2023</t>
        </is>
      </c>
      <c r="B6386" s="1" t="n">
        <v>45058</v>
      </c>
      <c r="C6386" s="1" t="n">
        <v>45710</v>
      </c>
      <c r="D6386" t="inlineStr">
        <is>
          <t>ÖSTERGÖTLANDS LÄN</t>
        </is>
      </c>
      <c r="E6386" t="inlineStr">
        <is>
          <t>ÅTVIDABERG</t>
        </is>
      </c>
      <c r="G6386" t="n">
        <v>5.6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21465-2023</t>
        </is>
      </c>
      <c r="B6387" s="1" t="n">
        <v>45058</v>
      </c>
      <c r="C6387" s="1" t="n">
        <v>45710</v>
      </c>
      <c r="D6387" t="inlineStr">
        <is>
          <t>ÖSTERGÖTLANDS LÄN</t>
        </is>
      </c>
      <c r="E6387" t="inlineStr">
        <is>
          <t>ÅTVIDABERG</t>
        </is>
      </c>
      <c r="G6387" t="n">
        <v>4.6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20895-2023</t>
        </is>
      </c>
      <c r="B6388" s="1" t="n">
        <v>45059</v>
      </c>
      <c r="C6388" s="1" t="n">
        <v>45710</v>
      </c>
      <c r="D6388" t="inlineStr">
        <is>
          <t>ÖSTERGÖTLANDS LÄN</t>
        </is>
      </c>
      <c r="E6388" t="inlineStr">
        <is>
          <t>VALDEMARSVIK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20894-2023</t>
        </is>
      </c>
      <c r="B6389" s="1" t="n">
        <v>45059</v>
      </c>
      <c r="C6389" s="1" t="n">
        <v>45710</v>
      </c>
      <c r="D6389" t="inlineStr">
        <is>
          <t>ÖSTERGÖTLANDS LÄN</t>
        </is>
      </c>
      <c r="E6389" t="inlineStr">
        <is>
          <t>SÖDERKÖPING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21000-2023</t>
        </is>
      </c>
      <c r="B6390" s="1" t="n">
        <v>45061</v>
      </c>
      <c r="C6390" s="1" t="n">
        <v>45710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16.2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20965-2023</t>
        </is>
      </c>
      <c r="B6391" s="1" t="n">
        <v>45061</v>
      </c>
      <c r="C6391" s="1" t="n">
        <v>45710</v>
      </c>
      <c r="D6391" t="inlineStr">
        <is>
          <t>ÖSTERGÖTLANDS LÄN</t>
        </is>
      </c>
      <c r="E6391" t="inlineStr">
        <is>
          <t>SÖDERKÖPING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20970-2023</t>
        </is>
      </c>
      <c r="B6392" s="1" t="n">
        <v>45061</v>
      </c>
      <c r="C6392" s="1" t="n">
        <v>45710</v>
      </c>
      <c r="D6392" t="inlineStr">
        <is>
          <t>ÖSTERGÖTLANDS LÄN</t>
        </is>
      </c>
      <c r="E6392" t="inlineStr">
        <is>
          <t>SÖDERKÖPING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20962-2023</t>
        </is>
      </c>
      <c r="B6393" s="1" t="n">
        <v>45061</v>
      </c>
      <c r="C6393" s="1" t="n">
        <v>45710</v>
      </c>
      <c r="D6393" t="inlineStr">
        <is>
          <t>ÖSTERGÖTLANDS LÄN</t>
        </is>
      </c>
      <c r="E6393" t="inlineStr">
        <is>
          <t>SÖDERKÖPING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20967-2023</t>
        </is>
      </c>
      <c r="B6394" s="1" t="n">
        <v>45061</v>
      </c>
      <c r="C6394" s="1" t="n">
        <v>45710</v>
      </c>
      <c r="D6394" t="inlineStr">
        <is>
          <t>ÖSTERGÖTLANDS LÄN</t>
        </is>
      </c>
      <c r="E6394" t="inlineStr">
        <is>
          <t>SÖDERKÖPING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20998-2023</t>
        </is>
      </c>
      <c r="B6395" s="1" t="n">
        <v>45061</v>
      </c>
      <c r="C6395" s="1" t="n">
        <v>45710</v>
      </c>
      <c r="D6395" t="inlineStr">
        <is>
          <t>ÖSTERGÖTLANDS LÄN</t>
        </is>
      </c>
      <c r="E6395" t="inlineStr">
        <is>
          <t>LINKÖPING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21527-2023</t>
        </is>
      </c>
      <c r="B6396" s="1" t="n">
        <v>45061</v>
      </c>
      <c r="C6396" s="1" t="n">
        <v>45710</v>
      </c>
      <c r="D6396" t="inlineStr">
        <is>
          <t>ÖSTERGÖTLANDS LÄN</t>
        </is>
      </c>
      <c r="E6396" t="inlineStr">
        <is>
          <t>MOTALA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21151-2023</t>
        </is>
      </c>
      <c r="B6397" s="1" t="n">
        <v>45062</v>
      </c>
      <c r="C6397" s="1" t="n">
        <v>45710</v>
      </c>
      <c r="D6397" t="inlineStr">
        <is>
          <t>ÖSTERGÖTLANDS LÄN</t>
        </is>
      </c>
      <c r="E6397" t="inlineStr">
        <is>
          <t>BOXHOLM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21246-2023</t>
        </is>
      </c>
      <c r="B6398" s="1" t="n">
        <v>45062</v>
      </c>
      <c r="C6398" s="1" t="n">
        <v>45710</v>
      </c>
      <c r="D6398" t="inlineStr">
        <is>
          <t>ÖSTERGÖTLANDS LÄN</t>
        </is>
      </c>
      <c r="E6398" t="inlineStr">
        <is>
          <t>KINDA</t>
        </is>
      </c>
      <c r="G6398" t="n">
        <v>5.5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21294-2023</t>
        </is>
      </c>
      <c r="B6399" s="1" t="n">
        <v>45062</v>
      </c>
      <c r="C6399" s="1" t="n">
        <v>45710</v>
      </c>
      <c r="D6399" t="inlineStr">
        <is>
          <t>ÖSTERGÖTLANDS LÄN</t>
        </is>
      </c>
      <c r="E6399" t="inlineStr">
        <is>
          <t>KINDA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21233-2023</t>
        </is>
      </c>
      <c r="B6400" s="1" t="n">
        <v>45062</v>
      </c>
      <c r="C6400" s="1" t="n">
        <v>45710</v>
      </c>
      <c r="D6400" t="inlineStr">
        <is>
          <t>ÖSTERGÖTLANDS LÄN</t>
        </is>
      </c>
      <c r="E6400" t="inlineStr">
        <is>
          <t>VALDEMARSVIK</t>
        </is>
      </c>
      <c r="G6400" t="n">
        <v>3.3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21235-2023</t>
        </is>
      </c>
      <c r="B6401" s="1" t="n">
        <v>45062</v>
      </c>
      <c r="C6401" s="1" t="n">
        <v>45710</v>
      </c>
      <c r="D6401" t="inlineStr">
        <is>
          <t>ÖSTERGÖTLANDS LÄN</t>
        </is>
      </c>
      <c r="E6401" t="inlineStr">
        <is>
          <t>VALDEMARSVIK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21244-2023</t>
        </is>
      </c>
      <c r="B6402" s="1" t="n">
        <v>45062</v>
      </c>
      <c r="C6402" s="1" t="n">
        <v>45710</v>
      </c>
      <c r="D6402" t="inlineStr">
        <is>
          <t>ÖSTERGÖTLANDS LÄN</t>
        </is>
      </c>
      <c r="E6402" t="inlineStr">
        <is>
          <t>KINDA</t>
        </is>
      </c>
      <c r="G6402" t="n">
        <v>5.5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21287-2023</t>
        </is>
      </c>
      <c r="B6403" s="1" t="n">
        <v>45062</v>
      </c>
      <c r="C6403" s="1" t="n">
        <v>45710</v>
      </c>
      <c r="D6403" t="inlineStr">
        <is>
          <t>ÖSTERGÖTLANDS LÄN</t>
        </is>
      </c>
      <c r="E6403" t="inlineStr">
        <is>
          <t>KINDA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21634-2023</t>
        </is>
      </c>
      <c r="B6404" s="1" t="n">
        <v>45062</v>
      </c>
      <c r="C6404" s="1" t="n">
        <v>45710</v>
      </c>
      <c r="D6404" t="inlineStr">
        <is>
          <t>ÖSTERGÖTLANDS LÄN</t>
        </is>
      </c>
      <c r="E6404" t="inlineStr">
        <is>
          <t>BOXHOLM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21699-2023</t>
        </is>
      </c>
      <c r="B6405" s="1" t="n">
        <v>45062</v>
      </c>
      <c r="C6405" s="1" t="n">
        <v>45710</v>
      </c>
      <c r="D6405" t="inlineStr">
        <is>
          <t>ÖSTERGÖTLANDS LÄN</t>
        </is>
      </c>
      <c r="E6405" t="inlineStr">
        <is>
          <t>KINDA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21635-2023</t>
        </is>
      </c>
      <c r="B6406" s="1" t="n">
        <v>45062</v>
      </c>
      <c r="C6406" s="1" t="n">
        <v>45710</v>
      </c>
      <c r="D6406" t="inlineStr">
        <is>
          <t>ÖSTERGÖTLANDS LÄN</t>
        </is>
      </c>
      <c r="E6406" t="inlineStr">
        <is>
          <t>BOXHOLM</t>
        </is>
      </c>
      <c r="G6406" t="n">
        <v>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21700-2023</t>
        </is>
      </c>
      <c r="B6407" s="1" t="n">
        <v>45062</v>
      </c>
      <c r="C6407" s="1" t="n">
        <v>45710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21509-2023</t>
        </is>
      </c>
      <c r="B6408" s="1" t="n">
        <v>45063</v>
      </c>
      <c r="C6408" s="1" t="n">
        <v>45710</v>
      </c>
      <c r="D6408" t="inlineStr">
        <is>
          <t>ÖSTERGÖTLANDS LÄN</t>
        </is>
      </c>
      <c r="E6408" t="inlineStr">
        <is>
          <t>KINDA</t>
        </is>
      </c>
      <c r="G6408" t="n">
        <v>5.7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21397-2023</t>
        </is>
      </c>
      <c r="B6409" s="1" t="n">
        <v>45063</v>
      </c>
      <c r="C6409" s="1" t="n">
        <v>45710</v>
      </c>
      <c r="D6409" t="inlineStr">
        <is>
          <t>ÖSTERGÖTLANDS LÄN</t>
        </is>
      </c>
      <c r="E6409" t="inlineStr">
        <is>
          <t>VALDEMARSVIK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21396-2023</t>
        </is>
      </c>
      <c r="B6410" s="1" t="n">
        <v>45063</v>
      </c>
      <c r="C6410" s="1" t="n">
        <v>45710</v>
      </c>
      <c r="D6410" t="inlineStr">
        <is>
          <t>ÖSTERGÖTLANDS LÄN</t>
        </is>
      </c>
      <c r="E6410" t="inlineStr">
        <is>
          <t>VALDEMARSVIK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21483-2023</t>
        </is>
      </c>
      <c r="B6411" s="1" t="n">
        <v>45063</v>
      </c>
      <c r="C6411" s="1" t="n">
        <v>45710</v>
      </c>
      <c r="D6411" t="inlineStr">
        <is>
          <t>ÖSTERGÖTLANDS LÄN</t>
        </is>
      </c>
      <c r="E6411" t="inlineStr">
        <is>
          <t>VALDEMARSVIK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21487-2023</t>
        </is>
      </c>
      <c r="B6412" s="1" t="n">
        <v>45063</v>
      </c>
      <c r="C6412" s="1" t="n">
        <v>45710</v>
      </c>
      <c r="D6412" t="inlineStr">
        <is>
          <t>ÖSTERGÖTLANDS LÄN</t>
        </is>
      </c>
      <c r="E6412" t="inlineStr">
        <is>
          <t>VALDEMARSVIK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21500-2023</t>
        </is>
      </c>
      <c r="B6413" s="1" t="n">
        <v>45063</v>
      </c>
      <c r="C6413" s="1" t="n">
        <v>45710</v>
      </c>
      <c r="D6413" t="inlineStr">
        <is>
          <t>ÖSTERGÖTLANDS LÄN</t>
        </is>
      </c>
      <c r="E6413" t="inlineStr">
        <is>
          <t>VALDEMARSVIK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21395-2023</t>
        </is>
      </c>
      <c r="B6414" s="1" t="n">
        <v>45063</v>
      </c>
      <c r="C6414" s="1" t="n">
        <v>45710</v>
      </c>
      <c r="D6414" t="inlineStr">
        <is>
          <t>ÖSTERGÖTLANDS LÄN</t>
        </is>
      </c>
      <c r="E6414" t="inlineStr">
        <is>
          <t>VALDEMARSVIK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21399-2023</t>
        </is>
      </c>
      <c r="B6415" s="1" t="n">
        <v>45063</v>
      </c>
      <c r="C6415" s="1" t="n">
        <v>45710</v>
      </c>
      <c r="D6415" t="inlineStr">
        <is>
          <t>ÖSTERGÖTLANDS LÄN</t>
        </is>
      </c>
      <c r="E6415" t="inlineStr">
        <is>
          <t>VALDEMARSVIK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21506-2023</t>
        </is>
      </c>
      <c r="B6416" s="1" t="n">
        <v>45063</v>
      </c>
      <c r="C6416" s="1" t="n">
        <v>45710</v>
      </c>
      <c r="D6416" t="inlineStr">
        <is>
          <t>ÖSTERGÖTLANDS LÄN</t>
        </is>
      </c>
      <c r="E6416" t="inlineStr">
        <is>
          <t>ÅTVIDABERG</t>
        </is>
      </c>
      <c r="F6416" t="inlineStr">
        <is>
          <t>Kyrkan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21511-2023</t>
        </is>
      </c>
      <c r="B6417" s="1" t="n">
        <v>45063</v>
      </c>
      <c r="C6417" s="1" t="n">
        <v>45710</v>
      </c>
      <c r="D6417" t="inlineStr">
        <is>
          <t>ÖSTERGÖTLANDS LÄN</t>
        </is>
      </c>
      <c r="E6417" t="inlineStr">
        <is>
          <t>ÅTVIDABERG</t>
        </is>
      </c>
      <c r="F6417" t="inlineStr">
        <is>
          <t>Kyrkan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21541-2023</t>
        </is>
      </c>
      <c r="B6418" s="1" t="n">
        <v>45063</v>
      </c>
      <c r="C6418" s="1" t="n">
        <v>45710</v>
      </c>
      <c r="D6418" t="inlineStr">
        <is>
          <t>ÖSTERGÖTLANDS LÄN</t>
        </is>
      </c>
      <c r="E6418" t="inlineStr">
        <is>
          <t>MOTALA</t>
        </is>
      </c>
      <c r="F6418" t="inlineStr">
        <is>
          <t>Sveaskog</t>
        </is>
      </c>
      <c r="G6418" t="n">
        <v>7.3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21549-2023</t>
        </is>
      </c>
      <c r="B6419" s="1" t="n">
        <v>45063</v>
      </c>
      <c r="C6419" s="1" t="n">
        <v>45710</v>
      </c>
      <c r="D6419" t="inlineStr">
        <is>
          <t>ÖSTERGÖTLANDS LÄN</t>
        </is>
      </c>
      <c r="E6419" t="inlineStr">
        <is>
          <t>MOTALA</t>
        </is>
      </c>
      <c r="F6419" t="inlineStr">
        <is>
          <t>Sveaskog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21544-2023</t>
        </is>
      </c>
      <c r="B6420" s="1" t="n">
        <v>45063</v>
      </c>
      <c r="C6420" s="1" t="n">
        <v>45710</v>
      </c>
      <c r="D6420" t="inlineStr">
        <is>
          <t>ÖSTERGÖTLANDS LÄN</t>
        </is>
      </c>
      <c r="E6420" t="inlineStr">
        <is>
          <t>MOTALA</t>
        </is>
      </c>
      <c r="F6420" t="inlineStr">
        <is>
          <t>Sveaskog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21655-2023</t>
        </is>
      </c>
      <c r="B6421" s="1" t="n">
        <v>45063</v>
      </c>
      <c r="C6421" s="1" t="n">
        <v>45710</v>
      </c>
      <c r="D6421" t="inlineStr">
        <is>
          <t>ÖSTERGÖTLANDS LÄN</t>
        </is>
      </c>
      <c r="E6421" t="inlineStr">
        <is>
          <t>FINSPÅNG</t>
        </is>
      </c>
      <c r="G6421" t="n">
        <v>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21754-2023</t>
        </is>
      </c>
      <c r="B6422" s="1" t="n">
        <v>45063</v>
      </c>
      <c r="C6422" s="1" t="n">
        <v>45710</v>
      </c>
      <c r="D6422" t="inlineStr">
        <is>
          <t>ÖSTERGÖTLANDS LÄN</t>
        </is>
      </c>
      <c r="E6422" t="inlineStr">
        <is>
          <t>BOXHOLM</t>
        </is>
      </c>
      <c r="G6422" t="n">
        <v>4.3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21648-2023</t>
        </is>
      </c>
      <c r="B6423" s="1" t="n">
        <v>45063</v>
      </c>
      <c r="C6423" s="1" t="n">
        <v>45710</v>
      </c>
      <c r="D6423" t="inlineStr">
        <is>
          <t>ÖSTERGÖTLANDS LÄN</t>
        </is>
      </c>
      <c r="E6423" t="inlineStr">
        <is>
          <t>SÖDERKÖPING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21771-2023</t>
        </is>
      </c>
      <c r="B6424" s="1" t="n">
        <v>45065</v>
      </c>
      <c r="C6424" s="1" t="n">
        <v>45710</v>
      </c>
      <c r="D6424" t="inlineStr">
        <is>
          <t>ÖSTERGÖTLANDS LÄN</t>
        </is>
      </c>
      <c r="E6424" t="inlineStr">
        <is>
          <t>ÖDESHÖG</t>
        </is>
      </c>
      <c r="G6424" t="n">
        <v>5.5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21770-2023</t>
        </is>
      </c>
      <c r="B6425" s="1" t="n">
        <v>45065</v>
      </c>
      <c r="C6425" s="1" t="n">
        <v>45710</v>
      </c>
      <c r="D6425" t="inlineStr">
        <is>
          <t>ÖSTERGÖTLANDS LÄN</t>
        </is>
      </c>
      <c r="E6425" t="inlineStr">
        <is>
          <t>ÖDESHÖG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21838-2023</t>
        </is>
      </c>
      <c r="B6426" s="1" t="n">
        <v>45068</v>
      </c>
      <c r="C6426" s="1" t="n">
        <v>45710</v>
      </c>
      <c r="D6426" t="inlineStr">
        <is>
          <t>ÖSTERGÖTLANDS LÄN</t>
        </is>
      </c>
      <c r="E6426" t="inlineStr">
        <is>
          <t>MOTALA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21874-2023</t>
        </is>
      </c>
      <c r="B6427" s="1" t="n">
        <v>45068</v>
      </c>
      <c r="C6427" s="1" t="n">
        <v>45710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18.2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21983-2023</t>
        </is>
      </c>
      <c r="B6428" s="1" t="n">
        <v>45068</v>
      </c>
      <c r="C6428" s="1" t="n">
        <v>45710</v>
      </c>
      <c r="D6428" t="inlineStr">
        <is>
          <t>ÖSTERGÖTLANDS LÄN</t>
        </is>
      </c>
      <c r="E6428" t="inlineStr">
        <is>
          <t>MJÖLBY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21907-2023</t>
        </is>
      </c>
      <c r="B6429" s="1" t="n">
        <v>45068</v>
      </c>
      <c r="C6429" s="1" t="n">
        <v>45710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21991-2023</t>
        </is>
      </c>
      <c r="B6430" s="1" t="n">
        <v>45068</v>
      </c>
      <c r="C6430" s="1" t="n">
        <v>45710</v>
      </c>
      <c r="D6430" t="inlineStr">
        <is>
          <t>ÖSTERGÖTLANDS LÄN</t>
        </is>
      </c>
      <c r="E6430" t="inlineStr">
        <is>
          <t>MOTALA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22086-2023</t>
        </is>
      </c>
      <c r="B6431" s="1" t="n">
        <v>45069</v>
      </c>
      <c r="C6431" s="1" t="n">
        <v>45710</v>
      </c>
      <c r="D6431" t="inlineStr">
        <is>
          <t>ÖSTERGÖTLANDS LÄN</t>
        </is>
      </c>
      <c r="E6431" t="inlineStr">
        <is>
          <t>ÖDESHÖG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22100-2023</t>
        </is>
      </c>
      <c r="B6432" s="1" t="n">
        <v>45069</v>
      </c>
      <c r="C6432" s="1" t="n">
        <v>45710</v>
      </c>
      <c r="D6432" t="inlineStr">
        <is>
          <t>ÖSTERGÖTLANDS LÄN</t>
        </is>
      </c>
      <c r="E6432" t="inlineStr">
        <is>
          <t>LINKÖPING</t>
        </is>
      </c>
      <c r="G6432" t="n">
        <v>3.8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22108-2023</t>
        </is>
      </c>
      <c r="B6433" s="1" t="n">
        <v>45069</v>
      </c>
      <c r="C6433" s="1" t="n">
        <v>45710</v>
      </c>
      <c r="D6433" t="inlineStr">
        <is>
          <t>ÖSTERGÖTLANDS LÄN</t>
        </is>
      </c>
      <c r="E6433" t="inlineStr">
        <is>
          <t>MOTALA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22113-2023</t>
        </is>
      </c>
      <c r="B6434" s="1" t="n">
        <v>45069</v>
      </c>
      <c r="C6434" s="1" t="n">
        <v>45710</v>
      </c>
      <c r="D6434" t="inlineStr">
        <is>
          <t>ÖSTERGÖTLANDS LÄN</t>
        </is>
      </c>
      <c r="E6434" t="inlineStr">
        <is>
          <t>MOTALA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22124-2023</t>
        </is>
      </c>
      <c r="B6435" s="1" t="n">
        <v>45069</v>
      </c>
      <c r="C6435" s="1" t="n">
        <v>45710</v>
      </c>
      <c r="D6435" t="inlineStr">
        <is>
          <t>ÖSTERGÖTLANDS LÄN</t>
        </is>
      </c>
      <c r="E6435" t="inlineStr">
        <is>
          <t>MOTALA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22119-2023</t>
        </is>
      </c>
      <c r="B6436" s="1" t="n">
        <v>45069</v>
      </c>
      <c r="C6436" s="1" t="n">
        <v>45710</v>
      </c>
      <c r="D6436" t="inlineStr">
        <is>
          <t>ÖSTERGÖTLANDS LÄN</t>
        </is>
      </c>
      <c r="E6436" t="inlineStr">
        <is>
          <t>MOTALA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22088-2023</t>
        </is>
      </c>
      <c r="B6437" s="1" t="n">
        <v>45069</v>
      </c>
      <c r="C6437" s="1" t="n">
        <v>45710</v>
      </c>
      <c r="D6437" t="inlineStr">
        <is>
          <t>ÖSTERGÖTLANDS LÄN</t>
        </is>
      </c>
      <c r="E6437" t="inlineStr">
        <is>
          <t>ÖDESHÖG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22133-2023</t>
        </is>
      </c>
      <c r="B6438" s="1" t="n">
        <v>45069</v>
      </c>
      <c r="C6438" s="1" t="n">
        <v>45710</v>
      </c>
      <c r="D6438" t="inlineStr">
        <is>
          <t>ÖSTERGÖTLANDS LÄN</t>
        </is>
      </c>
      <c r="E6438" t="inlineStr">
        <is>
          <t>LINKÖPING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22043-2023</t>
        </is>
      </c>
      <c r="B6439" s="1" t="n">
        <v>45069</v>
      </c>
      <c r="C6439" s="1" t="n">
        <v>45710</v>
      </c>
      <c r="D6439" t="inlineStr">
        <is>
          <t>ÖSTERGÖTLANDS LÄN</t>
        </is>
      </c>
      <c r="E6439" t="inlineStr">
        <is>
          <t>LINKÖPING</t>
        </is>
      </c>
      <c r="G6439" t="n">
        <v>5.9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22433-2023</t>
        </is>
      </c>
      <c r="B6440" s="1" t="n">
        <v>45070</v>
      </c>
      <c r="C6440" s="1" t="n">
        <v>45710</v>
      </c>
      <c r="D6440" t="inlineStr">
        <is>
          <t>ÖSTERGÖTLANDS LÄN</t>
        </is>
      </c>
      <c r="E6440" t="inlineStr">
        <is>
          <t>BOXHOLM</t>
        </is>
      </c>
      <c r="G6440" t="n">
        <v>10.3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22437-2023</t>
        </is>
      </c>
      <c r="B6441" s="1" t="n">
        <v>45070</v>
      </c>
      <c r="C6441" s="1" t="n">
        <v>45710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3.2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22441-2023</t>
        </is>
      </c>
      <c r="B6442" s="1" t="n">
        <v>45070</v>
      </c>
      <c r="C6442" s="1" t="n">
        <v>45710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22342-2023</t>
        </is>
      </c>
      <c r="B6443" s="1" t="n">
        <v>45070</v>
      </c>
      <c r="C6443" s="1" t="n">
        <v>45710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22434-2023</t>
        </is>
      </c>
      <c r="B6444" s="1" t="n">
        <v>45070</v>
      </c>
      <c r="C6444" s="1" t="n">
        <v>45710</v>
      </c>
      <c r="D6444" t="inlineStr">
        <is>
          <t>ÖSTERGÖTLANDS LÄN</t>
        </is>
      </c>
      <c r="E6444" t="inlineStr">
        <is>
          <t>BOXHOLM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22282-2023</t>
        </is>
      </c>
      <c r="B6445" s="1" t="n">
        <v>45070</v>
      </c>
      <c r="C6445" s="1" t="n">
        <v>45710</v>
      </c>
      <c r="D6445" t="inlineStr">
        <is>
          <t>ÖSTERGÖTLANDS LÄN</t>
        </is>
      </c>
      <c r="E6445" t="inlineStr">
        <is>
          <t>ÖDESHÖG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22332-2023</t>
        </is>
      </c>
      <c r="B6446" s="1" t="n">
        <v>45070</v>
      </c>
      <c r="C6446" s="1" t="n">
        <v>45710</v>
      </c>
      <c r="D6446" t="inlineStr">
        <is>
          <t>ÖSTERGÖTLANDS LÄN</t>
        </is>
      </c>
      <c r="E6446" t="inlineStr">
        <is>
          <t>YDRE</t>
        </is>
      </c>
      <c r="F6446" t="inlineStr">
        <is>
          <t>Övriga Aktiebolag</t>
        </is>
      </c>
      <c r="G6446" t="n">
        <v>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22354-2023</t>
        </is>
      </c>
      <c r="B6447" s="1" t="n">
        <v>45070</v>
      </c>
      <c r="C6447" s="1" t="n">
        <v>45710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22439-2023</t>
        </is>
      </c>
      <c r="B6448" s="1" t="n">
        <v>45070</v>
      </c>
      <c r="C6448" s="1" t="n">
        <v>45710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22539-2023</t>
        </is>
      </c>
      <c r="B6449" s="1" t="n">
        <v>45071</v>
      </c>
      <c r="C6449" s="1" t="n">
        <v>45710</v>
      </c>
      <c r="D6449" t="inlineStr">
        <is>
          <t>ÖSTERGÖTLANDS LÄN</t>
        </is>
      </c>
      <c r="E6449" t="inlineStr">
        <is>
          <t>NORRKÖPING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22566-2023</t>
        </is>
      </c>
      <c r="B6450" s="1" t="n">
        <v>45071</v>
      </c>
      <c r="C6450" s="1" t="n">
        <v>45710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22600-2023</t>
        </is>
      </c>
      <c r="B6451" s="1" t="n">
        <v>45071</v>
      </c>
      <c r="C6451" s="1" t="n">
        <v>45710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22626-2023</t>
        </is>
      </c>
      <c r="B6452" s="1" t="n">
        <v>45071</v>
      </c>
      <c r="C6452" s="1" t="n">
        <v>45710</v>
      </c>
      <c r="D6452" t="inlineStr">
        <is>
          <t>ÖSTERGÖTLANDS LÄN</t>
        </is>
      </c>
      <c r="E6452" t="inlineStr">
        <is>
          <t>NORRKÖPING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22647-2023</t>
        </is>
      </c>
      <c r="B6453" s="1" t="n">
        <v>45071</v>
      </c>
      <c r="C6453" s="1" t="n">
        <v>45710</v>
      </c>
      <c r="D6453" t="inlineStr">
        <is>
          <t>ÖSTERGÖTLANDS LÄN</t>
        </is>
      </c>
      <c r="E6453" t="inlineStr">
        <is>
          <t>NORRKÖPING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22651-2023</t>
        </is>
      </c>
      <c r="B6454" s="1" t="n">
        <v>45071</v>
      </c>
      <c r="C6454" s="1" t="n">
        <v>45710</v>
      </c>
      <c r="D6454" t="inlineStr">
        <is>
          <t>ÖSTERGÖTLANDS LÄN</t>
        </is>
      </c>
      <c r="E6454" t="inlineStr">
        <is>
          <t>NORRKÖPING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22567-2023</t>
        </is>
      </c>
      <c r="B6455" s="1" t="n">
        <v>45071</v>
      </c>
      <c r="C6455" s="1" t="n">
        <v>45710</v>
      </c>
      <c r="D6455" t="inlineStr">
        <is>
          <t>ÖSTERGÖTLANDS LÄN</t>
        </is>
      </c>
      <c r="E6455" t="inlineStr">
        <is>
          <t>YDRE</t>
        </is>
      </c>
      <c r="G6455" t="n">
        <v>14.4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22574-2023</t>
        </is>
      </c>
      <c r="B6456" s="1" t="n">
        <v>45071</v>
      </c>
      <c r="C6456" s="1" t="n">
        <v>45710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22689-2023</t>
        </is>
      </c>
      <c r="B6457" s="1" t="n">
        <v>45071</v>
      </c>
      <c r="C6457" s="1" t="n">
        <v>45710</v>
      </c>
      <c r="D6457" t="inlineStr">
        <is>
          <t>ÖSTERGÖTLANDS LÄN</t>
        </is>
      </c>
      <c r="E6457" t="inlineStr">
        <is>
          <t>NORRKÖPING</t>
        </is>
      </c>
      <c r="G6457" t="n">
        <v>3.1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22693-2023</t>
        </is>
      </c>
      <c r="B6458" s="1" t="n">
        <v>45071</v>
      </c>
      <c r="C6458" s="1" t="n">
        <v>45710</v>
      </c>
      <c r="D6458" t="inlineStr">
        <is>
          <t>ÖSTERGÖTLANDS LÄN</t>
        </is>
      </c>
      <c r="E6458" t="inlineStr">
        <is>
          <t>NORRKÖPING</t>
        </is>
      </c>
      <c r="G6458" t="n">
        <v>5.4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22697-2023</t>
        </is>
      </c>
      <c r="B6459" s="1" t="n">
        <v>45071</v>
      </c>
      <c r="C6459" s="1" t="n">
        <v>45710</v>
      </c>
      <c r="D6459" t="inlineStr">
        <is>
          <t>ÖSTERGÖTLANDS LÄN</t>
        </is>
      </c>
      <c r="E6459" t="inlineStr">
        <is>
          <t>NORRKÖPING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22691-2023</t>
        </is>
      </c>
      <c r="B6460" s="1" t="n">
        <v>45071</v>
      </c>
      <c r="C6460" s="1" t="n">
        <v>45710</v>
      </c>
      <c r="D6460" t="inlineStr">
        <is>
          <t>ÖSTERGÖTLANDS LÄN</t>
        </is>
      </c>
      <c r="E6460" t="inlineStr">
        <is>
          <t>KINDA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22695-2023</t>
        </is>
      </c>
      <c r="B6461" s="1" t="n">
        <v>45071</v>
      </c>
      <c r="C6461" s="1" t="n">
        <v>45710</v>
      </c>
      <c r="D6461" t="inlineStr">
        <is>
          <t>ÖSTERGÖTLANDS LÄN</t>
        </is>
      </c>
      <c r="E6461" t="inlineStr">
        <is>
          <t>NORRKÖPING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22703-2023</t>
        </is>
      </c>
      <c r="B6462" s="1" t="n">
        <v>45071</v>
      </c>
      <c r="C6462" s="1" t="n">
        <v>45710</v>
      </c>
      <c r="D6462" t="inlineStr">
        <is>
          <t>ÖSTERGÖTLANDS LÄN</t>
        </is>
      </c>
      <c r="E6462" t="inlineStr">
        <is>
          <t>KINDA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22644-2023</t>
        </is>
      </c>
      <c r="B6463" s="1" t="n">
        <v>45071</v>
      </c>
      <c r="C6463" s="1" t="n">
        <v>45710</v>
      </c>
      <c r="D6463" t="inlineStr">
        <is>
          <t>ÖSTERGÖTLANDS LÄN</t>
        </is>
      </c>
      <c r="E6463" t="inlineStr">
        <is>
          <t>FINSPÅNG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22686-2023</t>
        </is>
      </c>
      <c r="B6464" s="1" t="n">
        <v>45071</v>
      </c>
      <c r="C6464" s="1" t="n">
        <v>45710</v>
      </c>
      <c r="D6464" t="inlineStr">
        <is>
          <t>ÖSTERGÖTLANDS LÄN</t>
        </is>
      </c>
      <c r="E6464" t="inlineStr">
        <is>
          <t>KINDA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22694-2023</t>
        </is>
      </c>
      <c r="B6465" s="1" t="n">
        <v>45071</v>
      </c>
      <c r="C6465" s="1" t="n">
        <v>45710</v>
      </c>
      <c r="D6465" t="inlineStr">
        <is>
          <t>ÖSTERGÖTLANDS LÄN</t>
        </is>
      </c>
      <c r="E6465" t="inlineStr">
        <is>
          <t>KINDA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22698-2023</t>
        </is>
      </c>
      <c r="B6466" s="1" t="n">
        <v>45071</v>
      </c>
      <c r="C6466" s="1" t="n">
        <v>45710</v>
      </c>
      <c r="D6466" t="inlineStr">
        <is>
          <t>ÖSTERGÖTLANDS LÄN</t>
        </is>
      </c>
      <c r="E6466" t="inlineStr">
        <is>
          <t>NORRKÖPING</t>
        </is>
      </c>
      <c r="G6466" t="n">
        <v>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22586-2023</t>
        </is>
      </c>
      <c r="B6467" s="1" t="n">
        <v>45071</v>
      </c>
      <c r="C6467" s="1" t="n">
        <v>45710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22599-2023</t>
        </is>
      </c>
      <c r="B6468" s="1" t="n">
        <v>45071</v>
      </c>
      <c r="C6468" s="1" t="n">
        <v>45710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22833-2023</t>
        </is>
      </c>
      <c r="B6469" s="1" t="n">
        <v>45071</v>
      </c>
      <c r="C6469" s="1" t="n">
        <v>45710</v>
      </c>
      <c r="D6469" t="inlineStr">
        <is>
          <t>ÖSTERGÖTLANDS LÄN</t>
        </is>
      </c>
      <c r="E6469" t="inlineStr">
        <is>
          <t>LINKÖPING</t>
        </is>
      </c>
      <c r="F6469" t="inlineStr">
        <is>
          <t>Kommuner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22842-2023</t>
        </is>
      </c>
      <c r="B6470" s="1" t="n">
        <v>45071</v>
      </c>
      <c r="C6470" s="1" t="n">
        <v>45710</v>
      </c>
      <c r="D6470" t="inlineStr">
        <is>
          <t>ÖSTERGÖTLANDS LÄN</t>
        </is>
      </c>
      <c r="E6470" t="inlineStr">
        <is>
          <t>LINKÖPING</t>
        </is>
      </c>
      <c r="F6470" t="inlineStr">
        <is>
          <t>Kommuner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22853-2023</t>
        </is>
      </c>
      <c r="B6471" s="1" t="n">
        <v>45072</v>
      </c>
      <c r="C6471" s="1" t="n">
        <v>45710</v>
      </c>
      <c r="D6471" t="inlineStr">
        <is>
          <t>ÖSTERGÖTLANDS LÄN</t>
        </is>
      </c>
      <c r="E6471" t="inlineStr">
        <is>
          <t>BOXHOLM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22878-2023</t>
        </is>
      </c>
      <c r="B6472" s="1" t="n">
        <v>45072</v>
      </c>
      <c r="C6472" s="1" t="n">
        <v>45710</v>
      </c>
      <c r="D6472" t="inlineStr">
        <is>
          <t>ÖSTERGÖTLANDS LÄN</t>
        </is>
      </c>
      <c r="E6472" t="inlineStr">
        <is>
          <t>ÅTVIDABERG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22924-2023</t>
        </is>
      </c>
      <c r="B6473" s="1" t="n">
        <v>45072</v>
      </c>
      <c r="C6473" s="1" t="n">
        <v>45710</v>
      </c>
      <c r="D6473" t="inlineStr">
        <is>
          <t>ÖSTERGÖTLANDS LÄN</t>
        </is>
      </c>
      <c r="E6473" t="inlineStr">
        <is>
          <t>ÅTVIDABERG</t>
        </is>
      </c>
      <c r="F6473" t="inlineStr">
        <is>
          <t>Sveaskog</t>
        </is>
      </c>
      <c r="G6473" t="n">
        <v>5.3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22928-2023</t>
        </is>
      </c>
      <c r="B6474" s="1" t="n">
        <v>45072</v>
      </c>
      <c r="C6474" s="1" t="n">
        <v>45710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Sveaskog</t>
        </is>
      </c>
      <c r="G6474" t="n">
        <v>3.4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22932-2023</t>
        </is>
      </c>
      <c r="B6475" s="1" t="n">
        <v>45072</v>
      </c>
      <c r="C6475" s="1" t="n">
        <v>45710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Sveaskog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22956-2023</t>
        </is>
      </c>
      <c r="B6476" s="1" t="n">
        <v>45072</v>
      </c>
      <c r="C6476" s="1" t="n">
        <v>45710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22856-2023</t>
        </is>
      </c>
      <c r="B6477" s="1" t="n">
        <v>45072</v>
      </c>
      <c r="C6477" s="1" t="n">
        <v>45710</v>
      </c>
      <c r="D6477" t="inlineStr">
        <is>
          <t>ÖSTERGÖTLANDS LÄN</t>
        </is>
      </c>
      <c r="E6477" t="inlineStr">
        <is>
          <t>BOXHOLM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22930-2023</t>
        </is>
      </c>
      <c r="B6478" s="1" t="n">
        <v>45072</v>
      </c>
      <c r="C6478" s="1" t="n">
        <v>45710</v>
      </c>
      <c r="D6478" t="inlineStr">
        <is>
          <t>ÖSTERGÖTLANDS LÄN</t>
        </is>
      </c>
      <c r="E6478" t="inlineStr">
        <is>
          <t>ÅTVIDABERG</t>
        </is>
      </c>
      <c r="F6478" t="inlineStr">
        <is>
          <t>Sveaskog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23249-2023</t>
        </is>
      </c>
      <c r="B6479" s="1" t="n">
        <v>45075</v>
      </c>
      <c r="C6479" s="1" t="n">
        <v>45710</v>
      </c>
      <c r="D6479" t="inlineStr">
        <is>
          <t>ÖSTERGÖTLANDS LÄN</t>
        </is>
      </c>
      <c r="E6479" t="inlineStr">
        <is>
          <t>FINSPÅNG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23426-2023</t>
        </is>
      </c>
      <c r="B6480" s="1" t="n">
        <v>45076</v>
      </c>
      <c r="C6480" s="1" t="n">
        <v>45710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23444-2023</t>
        </is>
      </c>
      <c r="B6481" s="1" t="n">
        <v>45076</v>
      </c>
      <c r="C6481" s="1" t="n">
        <v>45710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23418-2023</t>
        </is>
      </c>
      <c r="B6482" s="1" t="n">
        <v>45076</v>
      </c>
      <c r="C6482" s="1" t="n">
        <v>45710</v>
      </c>
      <c r="D6482" t="inlineStr">
        <is>
          <t>ÖSTERGÖTLANDS LÄN</t>
        </is>
      </c>
      <c r="E6482" t="inlineStr">
        <is>
          <t>YDRE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23350-2023</t>
        </is>
      </c>
      <c r="B6483" s="1" t="n">
        <v>45076</v>
      </c>
      <c r="C6483" s="1" t="n">
        <v>45710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23376-2023</t>
        </is>
      </c>
      <c r="B6484" s="1" t="n">
        <v>45076</v>
      </c>
      <c r="C6484" s="1" t="n">
        <v>45710</v>
      </c>
      <c r="D6484" t="inlineStr">
        <is>
          <t>ÖSTERGÖTLANDS LÄN</t>
        </is>
      </c>
      <c r="E6484" t="inlineStr">
        <is>
          <t>LINKÖPING</t>
        </is>
      </c>
      <c r="G6484" t="n">
        <v>2.9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23462-2023</t>
        </is>
      </c>
      <c r="B6485" s="1" t="n">
        <v>45076</v>
      </c>
      <c r="C6485" s="1" t="n">
        <v>45710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Holmen skog AB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23492-2023</t>
        </is>
      </c>
      <c r="B6486" s="1" t="n">
        <v>45076</v>
      </c>
      <c r="C6486" s="1" t="n">
        <v>45710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Holmen skog AB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23510-2023</t>
        </is>
      </c>
      <c r="B6487" s="1" t="n">
        <v>45076</v>
      </c>
      <c r="C6487" s="1" t="n">
        <v>45710</v>
      </c>
      <c r="D6487" t="inlineStr">
        <is>
          <t>ÖSTERGÖTLANDS LÄN</t>
        </is>
      </c>
      <c r="E6487" t="inlineStr">
        <is>
          <t>KINDA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23556-2023</t>
        </is>
      </c>
      <c r="B6488" s="1" t="n">
        <v>45077</v>
      </c>
      <c r="C6488" s="1" t="n">
        <v>45710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23567-2023</t>
        </is>
      </c>
      <c r="B6489" s="1" t="n">
        <v>45077</v>
      </c>
      <c r="C6489" s="1" t="n">
        <v>45710</v>
      </c>
      <c r="D6489" t="inlineStr">
        <is>
          <t>ÖSTERGÖTLANDS LÄN</t>
        </is>
      </c>
      <c r="E6489" t="inlineStr">
        <is>
          <t>NORRKÖPING</t>
        </is>
      </c>
      <c r="F6489" t="inlineStr">
        <is>
          <t>Holmen skog AB</t>
        </is>
      </c>
      <c r="G6489" t="n">
        <v>3.7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23588-2023</t>
        </is>
      </c>
      <c r="B6490" s="1" t="n">
        <v>45077</v>
      </c>
      <c r="C6490" s="1" t="n">
        <v>45710</v>
      </c>
      <c r="D6490" t="inlineStr">
        <is>
          <t>ÖSTERGÖTLANDS LÄN</t>
        </is>
      </c>
      <c r="E6490" t="inlineStr">
        <is>
          <t>YDRE</t>
        </is>
      </c>
      <c r="G6490" t="n">
        <v>3.8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23626-2023</t>
        </is>
      </c>
      <c r="B6491" s="1" t="n">
        <v>45077</v>
      </c>
      <c r="C6491" s="1" t="n">
        <v>45710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3.4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23642-2023</t>
        </is>
      </c>
      <c r="B6492" s="1" t="n">
        <v>45077</v>
      </c>
      <c r="C6492" s="1" t="n">
        <v>45710</v>
      </c>
      <c r="D6492" t="inlineStr">
        <is>
          <t>ÖSTERGÖTLANDS LÄN</t>
        </is>
      </c>
      <c r="E6492" t="inlineStr">
        <is>
          <t>ÅTVIDABERG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23677-2023</t>
        </is>
      </c>
      <c r="B6493" s="1" t="n">
        <v>45077</v>
      </c>
      <c r="C6493" s="1" t="n">
        <v>45710</v>
      </c>
      <c r="D6493" t="inlineStr">
        <is>
          <t>ÖSTERGÖTLANDS LÄN</t>
        </is>
      </c>
      <c r="E6493" t="inlineStr">
        <is>
          <t>VADSTENA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23564-2023</t>
        </is>
      </c>
      <c r="B6494" s="1" t="n">
        <v>45077</v>
      </c>
      <c r="C6494" s="1" t="n">
        <v>45710</v>
      </c>
      <c r="D6494" t="inlineStr">
        <is>
          <t>ÖSTERGÖTLANDS LÄN</t>
        </is>
      </c>
      <c r="E6494" t="inlineStr">
        <is>
          <t>KINDA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23589-2023</t>
        </is>
      </c>
      <c r="B6495" s="1" t="n">
        <v>45077</v>
      </c>
      <c r="C6495" s="1" t="n">
        <v>45710</v>
      </c>
      <c r="D6495" t="inlineStr">
        <is>
          <t>ÖSTERGÖTLANDS LÄN</t>
        </is>
      </c>
      <c r="E6495" t="inlineStr">
        <is>
          <t>YDRE</t>
        </is>
      </c>
      <c r="G6495" t="n">
        <v>5.6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23614-2023</t>
        </is>
      </c>
      <c r="B6496" s="1" t="n">
        <v>45077</v>
      </c>
      <c r="C6496" s="1" t="n">
        <v>45710</v>
      </c>
      <c r="D6496" t="inlineStr">
        <is>
          <t>ÖSTERGÖTLANDS LÄN</t>
        </is>
      </c>
      <c r="E6496" t="inlineStr">
        <is>
          <t>NORRKÖPING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23645-2023</t>
        </is>
      </c>
      <c r="B6497" s="1" t="n">
        <v>45077</v>
      </c>
      <c r="C6497" s="1" t="n">
        <v>45710</v>
      </c>
      <c r="D6497" t="inlineStr">
        <is>
          <t>ÖSTERGÖTLANDS LÄN</t>
        </is>
      </c>
      <c r="E6497" t="inlineStr">
        <is>
          <t>ÅTVIDABERG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23678-2023</t>
        </is>
      </c>
      <c r="B6498" s="1" t="n">
        <v>45077</v>
      </c>
      <c r="C6498" s="1" t="n">
        <v>45710</v>
      </c>
      <c r="D6498" t="inlineStr">
        <is>
          <t>ÖSTERGÖTLANDS LÄN</t>
        </is>
      </c>
      <c r="E6498" t="inlineStr">
        <is>
          <t>VADSTENA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23582-2023</t>
        </is>
      </c>
      <c r="B6499" s="1" t="n">
        <v>45077</v>
      </c>
      <c r="C6499" s="1" t="n">
        <v>45710</v>
      </c>
      <c r="D6499" t="inlineStr">
        <is>
          <t>ÖSTERGÖTLANDS LÄN</t>
        </is>
      </c>
      <c r="E6499" t="inlineStr">
        <is>
          <t>YDRE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23647-2023</t>
        </is>
      </c>
      <c r="B6500" s="1" t="n">
        <v>45077</v>
      </c>
      <c r="C6500" s="1" t="n">
        <v>45710</v>
      </c>
      <c r="D6500" t="inlineStr">
        <is>
          <t>ÖSTERGÖTLANDS LÄN</t>
        </is>
      </c>
      <c r="E6500" t="inlineStr">
        <is>
          <t>ÅTVIDABERG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23675-2023</t>
        </is>
      </c>
      <c r="B6501" s="1" t="n">
        <v>45077</v>
      </c>
      <c r="C6501" s="1" t="n">
        <v>45710</v>
      </c>
      <c r="D6501" t="inlineStr">
        <is>
          <t>ÖSTERGÖTLANDS LÄN</t>
        </is>
      </c>
      <c r="E6501" t="inlineStr">
        <is>
          <t>VADSTENA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23735-2023</t>
        </is>
      </c>
      <c r="B6502" s="1" t="n">
        <v>45077</v>
      </c>
      <c r="C6502" s="1" t="n">
        <v>45710</v>
      </c>
      <c r="D6502" t="inlineStr">
        <is>
          <t>ÖSTERGÖTLANDS LÄN</t>
        </is>
      </c>
      <c r="E6502" t="inlineStr">
        <is>
          <t>LINKÖPING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23745-2023</t>
        </is>
      </c>
      <c r="B6503" s="1" t="n">
        <v>45077</v>
      </c>
      <c r="C6503" s="1" t="n">
        <v>45710</v>
      </c>
      <c r="D6503" t="inlineStr">
        <is>
          <t>ÖSTERGÖTLANDS LÄN</t>
        </is>
      </c>
      <c r="E6503" t="inlineStr">
        <is>
          <t>SÖDERKÖPING</t>
        </is>
      </c>
      <c r="G6503" t="n">
        <v>7.1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23724-2023</t>
        </is>
      </c>
      <c r="B6504" s="1" t="n">
        <v>45077</v>
      </c>
      <c r="C6504" s="1" t="n">
        <v>45710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23587-2023</t>
        </is>
      </c>
      <c r="B6505" s="1" t="n">
        <v>45077</v>
      </c>
      <c r="C6505" s="1" t="n">
        <v>45710</v>
      </c>
      <c r="D6505" t="inlineStr">
        <is>
          <t>ÖSTERGÖTLANDS LÄN</t>
        </is>
      </c>
      <c r="E6505" t="inlineStr">
        <is>
          <t>YDRE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23591-2023</t>
        </is>
      </c>
      <c r="B6506" s="1" t="n">
        <v>45077</v>
      </c>
      <c r="C6506" s="1" t="n">
        <v>45710</v>
      </c>
      <c r="D6506" t="inlineStr">
        <is>
          <t>ÖSTERGÖTLANDS LÄN</t>
        </is>
      </c>
      <c r="E6506" t="inlineStr">
        <is>
          <t>YDRE</t>
        </is>
      </c>
      <c r="G6506" t="n">
        <v>6.6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23597-2023</t>
        </is>
      </c>
      <c r="B6507" s="1" t="n">
        <v>45077</v>
      </c>
      <c r="C6507" s="1" t="n">
        <v>45710</v>
      </c>
      <c r="D6507" t="inlineStr">
        <is>
          <t>ÖSTERGÖTLANDS LÄN</t>
        </is>
      </c>
      <c r="E6507" t="inlineStr">
        <is>
          <t>YDRE</t>
        </is>
      </c>
      <c r="G6507" t="n">
        <v>5.2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23630-2023</t>
        </is>
      </c>
      <c r="B6508" s="1" t="n">
        <v>45077</v>
      </c>
      <c r="C6508" s="1" t="n">
        <v>45710</v>
      </c>
      <c r="D6508" t="inlineStr">
        <is>
          <t>ÖSTERGÖTLANDS LÄN</t>
        </is>
      </c>
      <c r="E6508" t="inlineStr">
        <is>
          <t>NORRKÖPING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23672-2023</t>
        </is>
      </c>
      <c r="B6509" s="1" t="n">
        <v>45077</v>
      </c>
      <c r="C6509" s="1" t="n">
        <v>45710</v>
      </c>
      <c r="D6509" t="inlineStr">
        <is>
          <t>ÖSTERGÖTLANDS LÄN</t>
        </is>
      </c>
      <c r="E6509" t="inlineStr">
        <is>
          <t>VADSTENA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23713-2023</t>
        </is>
      </c>
      <c r="B6510" s="1" t="n">
        <v>45077</v>
      </c>
      <c r="C6510" s="1" t="n">
        <v>45710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3.7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23721-2023</t>
        </is>
      </c>
      <c r="B6511" s="1" t="n">
        <v>45077</v>
      </c>
      <c r="C6511" s="1" t="n">
        <v>45710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23742-2023</t>
        </is>
      </c>
      <c r="B6512" s="1" t="n">
        <v>45077</v>
      </c>
      <c r="C6512" s="1" t="n">
        <v>45710</v>
      </c>
      <c r="D6512" t="inlineStr">
        <is>
          <t>ÖSTERGÖTLANDS LÄN</t>
        </is>
      </c>
      <c r="E6512" t="inlineStr">
        <is>
          <t>ÅTVIDABERG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24529-2023</t>
        </is>
      </c>
      <c r="B6513" s="1" t="n">
        <v>45077</v>
      </c>
      <c r="C6513" s="1" t="n">
        <v>45710</v>
      </c>
      <c r="D6513" t="inlineStr">
        <is>
          <t>ÖSTERGÖTLANDS LÄN</t>
        </is>
      </c>
      <c r="E6513" t="inlineStr">
        <is>
          <t>YDRE</t>
        </is>
      </c>
      <c r="G6513" t="n">
        <v>1.9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24525-2023</t>
        </is>
      </c>
      <c r="B6514" s="1" t="n">
        <v>45077</v>
      </c>
      <c r="C6514" s="1" t="n">
        <v>45710</v>
      </c>
      <c r="D6514" t="inlineStr">
        <is>
          <t>ÖSTERGÖTLANDS LÄN</t>
        </is>
      </c>
      <c r="E6514" t="inlineStr">
        <is>
          <t>YDRE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24530-2023</t>
        </is>
      </c>
      <c r="B6515" s="1" t="n">
        <v>45077</v>
      </c>
      <c r="C6515" s="1" t="n">
        <v>45710</v>
      </c>
      <c r="D6515" t="inlineStr">
        <is>
          <t>ÖSTERGÖTLANDS LÄN</t>
        </is>
      </c>
      <c r="E6515" t="inlineStr">
        <is>
          <t>YDRE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23834-2023</t>
        </is>
      </c>
      <c r="B6516" s="1" t="n">
        <v>45078</v>
      </c>
      <c r="C6516" s="1" t="n">
        <v>45710</v>
      </c>
      <c r="D6516" t="inlineStr">
        <is>
          <t>ÖSTERGÖTLANDS LÄN</t>
        </is>
      </c>
      <c r="E6516" t="inlineStr">
        <is>
          <t>BOXHOLM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23883-2023</t>
        </is>
      </c>
      <c r="B6517" s="1" t="n">
        <v>45078</v>
      </c>
      <c r="C6517" s="1" t="n">
        <v>45710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23897-2023</t>
        </is>
      </c>
      <c r="B6518" s="1" t="n">
        <v>45078</v>
      </c>
      <c r="C6518" s="1" t="n">
        <v>45710</v>
      </c>
      <c r="D6518" t="inlineStr">
        <is>
          <t>ÖSTERGÖTLANDS LÄN</t>
        </is>
      </c>
      <c r="E6518" t="inlineStr">
        <is>
          <t>KINDA</t>
        </is>
      </c>
      <c r="F6518" t="inlineStr">
        <is>
          <t>Sveaskog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23803-2023</t>
        </is>
      </c>
      <c r="B6519" s="1" t="n">
        <v>45078</v>
      </c>
      <c r="C6519" s="1" t="n">
        <v>45710</v>
      </c>
      <c r="D6519" t="inlineStr">
        <is>
          <t>ÖSTERGÖTLANDS LÄN</t>
        </is>
      </c>
      <c r="E6519" t="inlineStr">
        <is>
          <t>FINSPÅNG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23886-2023</t>
        </is>
      </c>
      <c r="B6520" s="1" t="n">
        <v>45078</v>
      </c>
      <c r="C6520" s="1" t="n">
        <v>45710</v>
      </c>
      <c r="D6520" t="inlineStr">
        <is>
          <t>ÖSTERGÖTLANDS LÄN</t>
        </is>
      </c>
      <c r="E6520" t="inlineStr">
        <is>
          <t>KINDA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23821-2023</t>
        </is>
      </c>
      <c r="B6521" s="1" t="n">
        <v>45078</v>
      </c>
      <c r="C6521" s="1" t="n">
        <v>45710</v>
      </c>
      <c r="D6521" t="inlineStr">
        <is>
          <t>ÖSTERGÖTLANDS LÄN</t>
        </is>
      </c>
      <c r="E6521" t="inlineStr">
        <is>
          <t>FINSPÅNG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23857-2023</t>
        </is>
      </c>
      <c r="B6522" s="1" t="n">
        <v>45078</v>
      </c>
      <c r="C6522" s="1" t="n">
        <v>45710</v>
      </c>
      <c r="D6522" t="inlineStr">
        <is>
          <t>ÖSTERGÖTLANDS LÄN</t>
        </is>
      </c>
      <c r="E6522" t="inlineStr">
        <is>
          <t>BOXHOLM</t>
        </is>
      </c>
      <c r="F6522" t="inlineStr">
        <is>
          <t>Övriga Aktiebolag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23885-2023</t>
        </is>
      </c>
      <c r="B6523" s="1" t="n">
        <v>45078</v>
      </c>
      <c r="C6523" s="1" t="n">
        <v>45710</v>
      </c>
      <c r="D6523" t="inlineStr">
        <is>
          <t>ÖSTERGÖTLANDS LÄN</t>
        </is>
      </c>
      <c r="E6523" t="inlineStr">
        <is>
          <t>KINDA</t>
        </is>
      </c>
      <c r="G6523" t="n">
        <v>9.5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23890-2023</t>
        </is>
      </c>
      <c r="B6524" s="1" t="n">
        <v>45078</v>
      </c>
      <c r="C6524" s="1" t="n">
        <v>45710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3.6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23887-2023</t>
        </is>
      </c>
      <c r="B6525" s="1" t="n">
        <v>45078</v>
      </c>
      <c r="C6525" s="1" t="n">
        <v>45710</v>
      </c>
      <c r="D6525" t="inlineStr">
        <is>
          <t>ÖSTERGÖTLANDS LÄN</t>
        </is>
      </c>
      <c r="E6525" t="inlineStr">
        <is>
          <t>KINDA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23892-2023</t>
        </is>
      </c>
      <c r="B6526" s="1" t="n">
        <v>45078</v>
      </c>
      <c r="C6526" s="1" t="n">
        <v>45710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24717-2023</t>
        </is>
      </c>
      <c r="B6527" s="1" t="n">
        <v>45078</v>
      </c>
      <c r="C6527" s="1" t="n">
        <v>45710</v>
      </c>
      <c r="D6527" t="inlineStr">
        <is>
          <t>ÖSTERGÖTLANDS LÄN</t>
        </is>
      </c>
      <c r="E6527" t="inlineStr">
        <is>
          <t>KINDA</t>
        </is>
      </c>
      <c r="G6527" t="n">
        <v>7.1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24748-2023</t>
        </is>
      </c>
      <c r="B6528" s="1" t="n">
        <v>45078</v>
      </c>
      <c r="C6528" s="1" t="n">
        <v>45710</v>
      </c>
      <c r="D6528" t="inlineStr">
        <is>
          <t>ÖSTERGÖTLANDS LÄN</t>
        </is>
      </c>
      <c r="E6528" t="inlineStr">
        <is>
          <t>KINDA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24730-2023</t>
        </is>
      </c>
      <c r="B6529" s="1" t="n">
        <v>45078</v>
      </c>
      <c r="C6529" s="1" t="n">
        <v>45710</v>
      </c>
      <c r="D6529" t="inlineStr">
        <is>
          <t>ÖSTERGÖTLANDS LÄN</t>
        </is>
      </c>
      <c r="E6529" t="inlineStr">
        <is>
          <t>KINDA</t>
        </is>
      </c>
      <c r="G6529" t="n">
        <v>5.1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24742-2023</t>
        </is>
      </c>
      <c r="B6530" s="1" t="n">
        <v>45078</v>
      </c>
      <c r="C6530" s="1" t="n">
        <v>45710</v>
      </c>
      <c r="D6530" t="inlineStr">
        <is>
          <t>ÖSTERGÖTLANDS LÄN</t>
        </is>
      </c>
      <c r="E6530" t="inlineStr">
        <is>
          <t>KINDA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24711-2023</t>
        </is>
      </c>
      <c r="B6531" s="1" t="n">
        <v>45078</v>
      </c>
      <c r="C6531" s="1" t="n">
        <v>45710</v>
      </c>
      <c r="D6531" t="inlineStr">
        <is>
          <t>ÖSTERGÖTLANDS LÄN</t>
        </is>
      </c>
      <c r="E6531" t="inlineStr">
        <is>
          <t>KINDA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24746-2023</t>
        </is>
      </c>
      <c r="B6532" s="1" t="n">
        <v>45078</v>
      </c>
      <c r="C6532" s="1" t="n">
        <v>45710</v>
      </c>
      <c r="D6532" t="inlineStr">
        <is>
          <t>ÖSTERGÖTLANDS LÄN</t>
        </is>
      </c>
      <c r="E6532" t="inlineStr">
        <is>
          <t>KINDA</t>
        </is>
      </c>
      <c r="G6532" t="n">
        <v>3.6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24750-2023</t>
        </is>
      </c>
      <c r="B6533" s="1" t="n">
        <v>45078</v>
      </c>
      <c r="C6533" s="1" t="n">
        <v>45710</v>
      </c>
      <c r="D6533" t="inlineStr">
        <is>
          <t>ÖSTERGÖTLANDS LÄN</t>
        </is>
      </c>
      <c r="E6533" t="inlineStr">
        <is>
          <t>KINDA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24090-2023</t>
        </is>
      </c>
      <c r="B6534" s="1" t="n">
        <v>45079</v>
      </c>
      <c r="C6534" s="1" t="n">
        <v>45710</v>
      </c>
      <c r="D6534" t="inlineStr">
        <is>
          <t>ÖSTERGÖTLANDS LÄN</t>
        </is>
      </c>
      <c r="E6534" t="inlineStr">
        <is>
          <t>MOTALA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24122-2023</t>
        </is>
      </c>
      <c r="B6535" s="1" t="n">
        <v>45079</v>
      </c>
      <c r="C6535" s="1" t="n">
        <v>45710</v>
      </c>
      <c r="D6535" t="inlineStr">
        <is>
          <t>ÖSTERGÖTLANDS LÄN</t>
        </is>
      </c>
      <c r="E6535" t="inlineStr">
        <is>
          <t>BOXHOLM</t>
        </is>
      </c>
      <c r="G6535" t="n">
        <v>3.7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24124-2023</t>
        </is>
      </c>
      <c r="B6536" s="1" t="n">
        <v>45079</v>
      </c>
      <c r="C6536" s="1" t="n">
        <v>45710</v>
      </c>
      <c r="D6536" t="inlineStr">
        <is>
          <t>ÖSTERGÖTLANDS LÄN</t>
        </is>
      </c>
      <c r="E6536" t="inlineStr">
        <is>
          <t>MOTALA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24162-2023</t>
        </is>
      </c>
      <c r="B6537" s="1" t="n">
        <v>45079</v>
      </c>
      <c r="C6537" s="1" t="n">
        <v>45710</v>
      </c>
      <c r="D6537" t="inlineStr">
        <is>
          <t>ÖSTERGÖTLANDS LÄN</t>
        </is>
      </c>
      <c r="E6537" t="inlineStr">
        <is>
          <t>ÅTVIDABERG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24260-2023</t>
        </is>
      </c>
      <c r="B6538" s="1" t="n">
        <v>45079</v>
      </c>
      <c r="C6538" s="1" t="n">
        <v>45710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4.9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24265-2023</t>
        </is>
      </c>
      <c r="B6539" s="1" t="n">
        <v>45079</v>
      </c>
      <c r="C6539" s="1" t="n">
        <v>45710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24319-2023</t>
        </is>
      </c>
      <c r="B6540" s="1" t="n">
        <v>45080</v>
      </c>
      <c r="C6540" s="1" t="n">
        <v>45710</v>
      </c>
      <c r="D6540" t="inlineStr">
        <is>
          <t>ÖSTERGÖTLANDS LÄN</t>
        </is>
      </c>
      <c r="E6540" t="inlineStr">
        <is>
          <t>SÖDERKÖPING</t>
        </is>
      </c>
      <c r="G6540" t="n">
        <v>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24444-2023</t>
        </is>
      </c>
      <c r="B6541" s="1" t="n">
        <v>45082</v>
      </c>
      <c r="C6541" s="1" t="n">
        <v>45710</v>
      </c>
      <c r="D6541" t="inlineStr">
        <is>
          <t>ÖSTERGÖTLANDS LÄN</t>
        </is>
      </c>
      <c r="E6541" t="inlineStr">
        <is>
          <t>ÖDESHÖG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24454-2023</t>
        </is>
      </c>
      <c r="B6542" s="1" t="n">
        <v>45082</v>
      </c>
      <c r="C6542" s="1" t="n">
        <v>45710</v>
      </c>
      <c r="D6542" t="inlineStr">
        <is>
          <t>ÖSTERGÖTLANDS LÄN</t>
        </is>
      </c>
      <c r="E6542" t="inlineStr">
        <is>
          <t>KINDA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24458-2023</t>
        </is>
      </c>
      <c r="B6543" s="1" t="n">
        <v>45082</v>
      </c>
      <c r="C6543" s="1" t="n">
        <v>45710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6.6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24467-2023</t>
        </is>
      </c>
      <c r="B6544" s="1" t="n">
        <v>45082</v>
      </c>
      <c r="C6544" s="1" t="n">
        <v>45710</v>
      </c>
      <c r="D6544" t="inlineStr">
        <is>
          <t>ÖSTERGÖTLANDS LÄN</t>
        </is>
      </c>
      <c r="E6544" t="inlineStr">
        <is>
          <t>LINKÖPING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24500-2023</t>
        </is>
      </c>
      <c r="B6545" s="1" t="n">
        <v>45082</v>
      </c>
      <c r="C6545" s="1" t="n">
        <v>45710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4.2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24513-2023</t>
        </is>
      </c>
      <c r="B6546" s="1" t="n">
        <v>45082</v>
      </c>
      <c r="C6546" s="1" t="n">
        <v>45710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24367-2023</t>
        </is>
      </c>
      <c r="B6547" s="1" t="n">
        <v>45082</v>
      </c>
      <c r="C6547" s="1" t="n">
        <v>45710</v>
      </c>
      <c r="D6547" t="inlineStr">
        <is>
          <t>ÖSTERGÖTLANDS LÄN</t>
        </is>
      </c>
      <c r="E6547" t="inlineStr">
        <is>
          <t>KINDA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24432-2023</t>
        </is>
      </c>
      <c r="B6548" s="1" t="n">
        <v>45082</v>
      </c>
      <c r="C6548" s="1" t="n">
        <v>45710</v>
      </c>
      <c r="D6548" t="inlineStr">
        <is>
          <t>ÖSTERGÖTLANDS LÄN</t>
        </is>
      </c>
      <c r="E6548" t="inlineStr">
        <is>
          <t>MOTALA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24436-2023</t>
        </is>
      </c>
      <c r="B6549" s="1" t="n">
        <v>45082</v>
      </c>
      <c r="C6549" s="1" t="n">
        <v>45710</v>
      </c>
      <c r="D6549" t="inlineStr">
        <is>
          <t>ÖSTERGÖTLANDS LÄN</t>
        </is>
      </c>
      <c r="E6549" t="inlineStr">
        <is>
          <t>MOTALA</t>
        </is>
      </c>
      <c r="G6549" t="n">
        <v>5.1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24404-2023</t>
        </is>
      </c>
      <c r="B6550" s="1" t="n">
        <v>45082</v>
      </c>
      <c r="C6550" s="1" t="n">
        <v>45710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24451-2023</t>
        </is>
      </c>
      <c r="B6551" s="1" t="n">
        <v>45082</v>
      </c>
      <c r="C6551" s="1" t="n">
        <v>45710</v>
      </c>
      <c r="D6551" t="inlineStr">
        <is>
          <t>ÖSTERGÖTLANDS LÄN</t>
        </is>
      </c>
      <c r="E6551" t="inlineStr">
        <is>
          <t>KINDA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24442-2023</t>
        </is>
      </c>
      <c r="B6552" s="1" t="n">
        <v>45082</v>
      </c>
      <c r="C6552" s="1" t="n">
        <v>45710</v>
      </c>
      <c r="D6552" t="inlineStr">
        <is>
          <t>ÖSTERGÖTLANDS LÄN</t>
        </is>
      </c>
      <c r="E6552" t="inlineStr">
        <is>
          <t>MOTALA</t>
        </is>
      </c>
      <c r="G6552" t="n">
        <v>4.7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24462-2023</t>
        </is>
      </c>
      <c r="B6553" s="1" t="n">
        <v>45082</v>
      </c>
      <c r="C6553" s="1" t="n">
        <v>45710</v>
      </c>
      <c r="D6553" t="inlineStr">
        <is>
          <t>ÖSTERGÖTLANDS LÄN</t>
        </is>
      </c>
      <c r="E6553" t="inlineStr">
        <is>
          <t>LINKÖPING</t>
        </is>
      </c>
      <c r="G6553" t="n">
        <v>3.5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24506-2023</t>
        </is>
      </c>
      <c r="B6554" s="1" t="n">
        <v>45082</v>
      </c>
      <c r="C6554" s="1" t="n">
        <v>45710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24510-2023</t>
        </is>
      </c>
      <c r="B6555" s="1" t="n">
        <v>45082</v>
      </c>
      <c r="C6555" s="1" t="n">
        <v>45710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24450-2023</t>
        </is>
      </c>
      <c r="B6556" s="1" t="n">
        <v>45082</v>
      </c>
      <c r="C6556" s="1" t="n">
        <v>45710</v>
      </c>
      <c r="D6556" t="inlineStr">
        <is>
          <t>ÖSTERGÖTLANDS LÄN</t>
        </is>
      </c>
      <c r="E6556" t="inlineStr">
        <is>
          <t>KINDA</t>
        </is>
      </c>
      <c r="G6556" t="n">
        <v>3.2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24464-2023</t>
        </is>
      </c>
      <c r="B6557" s="1" t="n">
        <v>45082</v>
      </c>
      <c r="C6557" s="1" t="n">
        <v>45710</v>
      </c>
      <c r="D6557" t="inlineStr">
        <is>
          <t>ÖSTERGÖTLANDS LÄN</t>
        </is>
      </c>
      <c r="E6557" t="inlineStr">
        <is>
          <t>LINKÖPING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25493-2023</t>
        </is>
      </c>
      <c r="B6558" s="1" t="n">
        <v>45082</v>
      </c>
      <c r="C6558" s="1" t="n">
        <v>45710</v>
      </c>
      <c r="D6558" t="inlineStr">
        <is>
          <t>ÖSTERGÖTLANDS LÄN</t>
        </is>
      </c>
      <c r="E6558" t="inlineStr">
        <is>
          <t>KINDA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25500-2023</t>
        </is>
      </c>
      <c r="B6559" s="1" t="n">
        <v>45082</v>
      </c>
      <c r="C6559" s="1" t="n">
        <v>45710</v>
      </c>
      <c r="D6559" t="inlineStr">
        <is>
          <t>ÖSTERGÖTLANDS LÄN</t>
        </is>
      </c>
      <c r="E6559" t="inlineStr">
        <is>
          <t>KINDA</t>
        </is>
      </c>
      <c r="G6559" t="n">
        <v>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24503-2023</t>
        </is>
      </c>
      <c r="B6560" s="1" t="n">
        <v>45082</v>
      </c>
      <c r="C6560" s="1" t="n">
        <v>45710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25490-2023</t>
        </is>
      </c>
      <c r="B6561" s="1" t="n">
        <v>45082</v>
      </c>
      <c r="C6561" s="1" t="n">
        <v>45710</v>
      </c>
      <c r="D6561" t="inlineStr">
        <is>
          <t>ÖSTERGÖTLANDS LÄN</t>
        </is>
      </c>
      <c r="E6561" t="inlineStr">
        <is>
          <t>KINDA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24604-2023</t>
        </is>
      </c>
      <c r="B6562" s="1" t="n">
        <v>45084</v>
      </c>
      <c r="C6562" s="1" t="n">
        <v>45710</v>
      </c>
      <c r="D6562" t="inlineStr">
        <is>
          <t>ÖSTERGÖTLANDS LÄN</t>
        </is>
      </c>
      <c r="E6562" t="inlineStr">
        <is>
          <t>LINKÖPING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24658-2023</t>
        </is>
      </c>
      <c r="B6563" s="1" t="n">
        <v>45084</v>
      </c>
      <c r="C6563" s="1" t="n">
        <v>45710</v>
      </c>
      <c r="D6563" t="inlineStr">
        <is>
          <t>ÖSTERGÖTLANDS LÄN</t>
        </is>
      </c>
      <c r="E6563" t="inlineStr">
        <is>
          <t>KINDA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24757-2023</t>
        </is>
      </c>
      <c r="B6564" s="1" t="n">
        <v>45084</v>
      </c>
      <c r="C6564" s="1" t="n">
        <v>45710</v>
      </c>
      <c r="D6564" t="inlineStr">
        <is>
          <t>ÖSTERGÖTLANDS LÄN</t>
        </is>
      </c>
      <c r="E6564" t="inlineStr">
        <is>
          <t>VALDEMARSVIK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24747-2023</t>
        </is>
      </c>
      <c r="B6565" s="1" t="n">
        <v>45084</v>
      </c>
      <c r="C6565" s="1" t="n">
        <v>45710</v>
      </c>
      <c r="D6565" t="inlineStr">
        <is>
          <t>ÖSTERGÖTLANDS LÄN</t>
        </is>
      </c>
      <c r="E6565" t="inlineStr">
        <is>
          <t>ÅTVIDABERG</t>
        </is>
      </c>
      <c r="G6565" t="n">
        <v>4.2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24752-2023</t>
        </is>
      </c>
      <c r="B6566" s="1" t="n">
        <v>45084</v>
      </c>
      <c r="C6566" s="1" t="n">
        <v>45710</v>
      </c>
      <c r="D6566" t="inlineStr">
        <is>
          <t>ÖSTERGÖTLANDS LÄN</t>
        </is>
      </c>
      <c r="E6566" t="inlineStr">
        <is>
          <t>MOTALA</t>
        </is>
      </c>
      <c r="G6566" t="n">
        <v>7.8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24716-2023</t>
        </is>
      </c>
      <c r="B6567" s="1" t="n">
        <v>45084</v>
      </c>
      <c r="C6567" s="1" t="n">
        <v>45710</v>
      </c>
      <c r="D6567" t="inlineStr">
        <is>
          <t>ÖSTERGÖTLANDS LÄN</t>
        </is>
      </c>
      <c r="E6567" t="inlineStr">
        <is>
          <t>ÅTVIDABERG</t>
        </is>
      </c>
      <c r="F6567" t="inlineStr">
        <is>
          <t>Övriga Aktiebolag</t>
        </is>
      </c>
      <c r="G6567" t="n">
        <v>4.6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24806-2023</t>
        </is>
      </c>
      <c r="B6568" s="1" t="n">
        <v>45084</v>
      </c>
      <c r="C6568" s="1" t="n">
        <v>45710</v>
      </c>
      <c r="D6568" t="inlineStr">
        <is>
          <t>ÖSTERGÖTLANDS LÄN</t>
        </is>
      </c>
      <c r="E6568" t="inlineStr">
        <is>
          <t>FINSPÅNG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24800-2023</t>
        </is>
      </c>
      <c r="B6569" s="1" t="n">
        <v>45084</v>
      </c>
      <c r="C6569" s="1" t="n">
        <v>45710</v>
      </c>
      <c r="D6569" t="inlineStr">
        <is>
          <t>ÖSTERGÖTLANDS LÄN</t>
        </is>
      </c>
      <c r="E6569" t="inlineStr">
        <is>
          <t>LINKÖPING</t>
        </is>
      </c>
      <c r="F6569" t="inlineStr">
        <is>
          <t>Övriga Aktiebolag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24804-2023</t>
        </is>
      </c>
      <c r="B6570" s="1" t="n">
        <v>45084</v>
      </c>
      <c r="C6570" s="1" t="n">
        <v>45710</v>
      </c>
      <c r="D6570" t="inlineStr">
        <is>
          <t>ÖSTERGÖTLANDS LÄN</t>
        </is>
      </c>
      <c r="E6570" t="inlineStr">
        <is>
          <t>FINSPÅNG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25729-2023</t>
        </is>
      </c>
      <c r="B6571" s="1" t="n">
        <v>45084</v>
      </c>
      <c r="C6571" s="1" t="n">
        <v>45710</v>
      </c>
      <c r="D6571" t="inlineStr">
        <is>
          <t>ÖSTERGÖTLANDS LÄN</t>
        </is>
      </c>
      <c r="E6571" t="inlineStr">
        <is>
          <t>ÖDESHÖG</t>
        </is>
      </c>
      <c r="G6571" t="n">
        <v>2.3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24866-2023</t>
        </is>
      </c>
      <c r="B6572" s="1" t="n">
        <v>45085</v>
      </c>
      <c r="C6572" s="1" t="n">
        <v>45710</v>
      </c>
      <c r="D6572" t="inlineStr">
        <is>
          <t>ÖSTERGÖTLANDS LÄN</t>
        </is>
      </c>
      <c r="E6572" t="inlineStr">
        <is>
          <t>MJÖLBY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24878-2023</t>
        </is>
      </c>
      <c r="B6573" s="1" t="n">
        <v>45085</v>
      </c>
      <c r="C6573" s="1" t="n">
        <v>45710</v>
      </c>
      <c r="D6573" t="inlineStr">
        <is>
          <t>ÖSTERGÖTLANDS LÄN</t>
        </is>
      </c>
      <c r="E6573" t="inlineStr">
        <is>
          <t>VALDEMARSVIK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24903-2023</t>
        </is>
      </c>
      <c r="B6574" s="1" t="n">
        <v>45085</v>
      </c>
      <c r="C6574" s="1" t="n">
        <v>45710</v>
      </c>
      <c r="D6574" t="inlineStr">
        <is>
          <t>ÖSTERGÖTLANDS LÄN</t>
        </is>
      </c>
      <c r="E6574" t="inlineStr">
        <is>
          <t>KINDA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24907-2023</t>
        </is>
      </c>
      <c r="B6575" s="1" t="n">
        <v>45085</v>
      </c>
      <c r="C6575" s="1" t="n">
        <v>45710</v>
      </c>
      <c r="D6575" t="inlineStr">
        <is>
          <t>ÖSTERGÖTLANDS LÄN</t>
        </is>
      </c>
      <c r="E6575" t="inlineStr">
        <is>
          <t>ÅTVIDABERG</t>
        </is>
      </c>
      <c r="G6575" t="n">
        <v>3.7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24983-2023</t>
        </is>
      </c>
      <c r="B6576" s="1" t="n">
        <v>45085</v>
      </c>
      <c r="C6576" s="1" t="n">
        <v>45710</v>
      </c>
      <c r="D6576" t="inlineStr">
        <is>
          <t>ÖSTERGÖTLANDS LÄN</t>
        </is>
      </c>
      <c r="E6576" t="inlineStr">
        <is>
          <t>YDRE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24954-2023</t>
        </is>
      </c>
      <c r="B6577" s="1" t="n">
        <v>45085</v>
      </c>
      <c r="C6577" s="1" t="n">
        <v>45710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Övriga Aktiebolag</t>
        </is>
      </c>
      <c r="G6577" t="n">
        <v>5.6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25093-2023</t>
        </is>
      </c>
      <c r="B6578" s="1" t="n">
        <v>45086</v>
      </c>
      <c r="C6578" s="1" t="n">
        <v>45710</v>
      </c>
      <c r="D6578" t="inlineStr">
        <is>
          <t>ÖSTERGÖTLANDS LÄN</t>
        </is>
      </c>
      <c r="E6578" t="inlineStr">
        <is>
          <t>LINKÖPING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25097-2023</t>
        </is>
      </c>
      <c r="B6579" s="1" t="n">
        <v>45086</v>
      </c>
      <c r="C6579" s="1" t="n">
        <v>45710</v>
      </c>
      <c r="D6579" t="inlineStr">
        <is>
          <t>ÖSTERGÖTLANDS LÄN</t>
        </is>
      </c>
      <c r="E6579" t="inlineStr">
        <is>
          <t>LINKÖPING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25184-2023</t>
        </is>
      </c>
      <c r="B6580" s="1" t="n">
        <v>45086</v>
      </c>
      <c r="C6580" s="1" t="n">
        <v>45710</v>
      </c>
      <c r="D6580" t="inlineStr">
        <is>
          <t>ÖSTERGÖTLANDS LÄN</t>
        </is>
      </c>
      <c r="E6580" t="inlineStr">
        <is>
          <t>FINSPÅNG</t>
        </is>
      </c>
      <c r="G6580" t="n">
        <v>10.1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25188-2023</t>
        </is>
      </c>
      <c r="B6581" s="1" t="n">
        <v>45086</v>
      </c>
      <c r="C6581" s="1" t="n">
        <v>45710</v>
      </c>
      <c r="D6581" t="inlineStr">
        <is>
          <t>ÖSTERGÖTLANDS LÄN</t>
        </is>
      </c>
      <c r="E6581" t="inlineStr">
        <is>
          <t>FINSPÅNG</t>
        </is>
      </c>
      <c r="G6581" t="n">
        <v>5.8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25193-2023</t>
        </is>
      </c>
      <c r="B6582" s="1" t="n">
        <v>45086</v>
      </c>
      <c r="C6582" s="1" t="n">
        <v>45710</v>
      </c>
      <c r="D6582" t="inlineStr">
        <is>
          <t>ÖSTERGÖTLANDS LÄN</t>
        </is>
      </c>
      <c r="E6582" t="inlineStr">
        <is>
          <t>FINSPÅNG</t>
        </is>
      </c>
      <c r="G6582" t="n">
        <v>4.6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25230-2023</t>
        </is>
      </c>
      <c r="B6583" s="1" t="n">
        <v>45086</v>
      </c>
      <c r="C6583" s="1" t="n">
        <v>45710</v>
      </c>
      <c r="D6583" t="inlineStr">
        <is>
          <t>ÖSTERGÖTLANDS LÄN</t>
        </is>
      </c>
      <c r="E6583" t="inlineStr">
        <is>
          <t>BOXHOLM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25121-2023</t>
        </is>
      </c>
      <c r="B6584" s="1" t="n">
        <v>45086</v>
      </c>
      <c r="C6584" s="1" t="n">
        <v>45710</v>
      </c>
      <c r="D6584" t="inlineStr">
        <is>
          <t>ÖSTERGÖTLANDS LÄN</t>
        </is>
      </c>
      <c r="E6584" t="inlineStr">
        <is>
          <t>FINSPÅNG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25226-2023</t>
        </is>
      </c>
      <c r="B6585" s="1" t="n">
        <v>45086</v>
      </c>
      <c r="C6585" s="1" t="n">
        <v>45710</v>
      </c>
      <c r="D6585" t="inlineStr">
        <is>
          <t>ÖSTERGÖTLANDS LÄN</t>
        </is>
      </c>
      <c r="E6585" t="inlineStr">
        <is>
          <t>BOXHOLM</t>
        </is>
      </c>
      <c r="G6585" t="n">
        <v>4.1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25254-2023</t>
        </is>
      </c>
      <c r="B6586" s="1" t="n">
        <v>45086</v>
      </c>
      <c r="C6586" s="1" t="n">
        <v>45710</v>
      </c>
      <c r="D6586" t="inlineStr">
        <is>
          <t>ÖSTERGÖTLANDS LÄN</t>
        </is>
      </c>
      <c r="E6586" t="inlineStr">
        <is>
          <t>BOXHOLM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25268-2023</t>
        </is>
      </c>
      <c r="B6587" s="1" t="n">
        <v>45086</v>
      </c>
      <c r="C6587" s="1" t="n">
        <v>45710</v>
      </c>
      <c r="D6587" t="inlineStr">
        <is>
          <t>ÖSTERGÖTLANDS LÄN</t>
        </is>
      </c>
      <c r="E6587" t="inlineStr">
        <is>
          <t>KINDA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25274-2023</t>
        </is>
      </c>
      <c r="B6588" s="1" t="n">
        <v>45086</v>
      </c>
      <c r="C6588" s="1" t="n">
        <v>45710</v>
      </c>
      <c r="D6588" t="inlineStr">
        <is>
          <t>ÖSTERGÖTLANDS LÄN</t>
        </is>
      </c>
      <c r="E6588" t="inlineStr">
        <is>
          <t>BOXHOLM</t>
        </is>
      </c>
      <c r="G6588" t="n">
        <v>3.1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25287-2023</t>
        </is>
      </c>
      <c r="B6589" s="1" t="n">
        <v>45086</v>
      </c>
      <c r="C6589" s="1" t="n">
        <v>45710</v>
      </c>
      <c r="D6589" t="inlineStr">
        <is>
          <t>ÖSTERGÖTLANDS LÄN</t>
        </is>
      </c>
      <c r="E6589" t="inlineStr">
        <is>
          <t>NORRKÖPING</t>
        </is>
      </c>
      <c r="F6589" t="inlineStr">
        <is>
          <t>Allmännings- och besparingsskogar</t>
        </is>
      </c>
      <c r="G6589" t="n">
        <v>5.3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25291-2023</t>
        </is>
      </c>
      <c r="B6590" s="1" t="n">
        <v>45086</v>
      </c>
      <c r="C6590" s="1" t="n">
        <v>45710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Allmännings- och besparingsskogar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25119-2023</t>
        </is>
      </c>
      <c r="B6591" s="1" t="n">
        <v>45086</v>
      </c>
      <c r="C6591" s="1" t="n">
        <v>45710</v>
      </c>
      <c r="D6591" t="inlineStr">
        <is>
          <t>ÖSTERGÖTLANDS LÄN</t>
        </is>
      </c>
      <c r="E6591" t="inlineStr">
        <is>
          <t>LINKÖPING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25196-2023</t>
        </is>
      </c>
      <c r="B6592" s="1" t="n">
        <v>45086</v>
      </c>
      <c r="C6592" s="1" t="n">
        <v>45710</v>
      </c>
      <c r="D6592" t="inlineStr">
        <is>
          <t>ÖSTERGÖTLANDS LÄN</t>
        </is>
      </c>
      <c r="E6592" t="inlineStr">
        <is>
          <t>FINSPÅNG</t>
        </is>
      </c>
      <c r="G6592" t="n">
        <v>4.6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25431-2023</t>
        </is>
      </c>
      <c r="B6593" s="1" t="n">
        <v>45089</v>
      </c>
      <c r="C6593" s="1" t="n">
        <v>45710</v>
      </c>
      <c r="D6593" t="inlineStr">
        <is>
          <t>ÖSTERGÖTLANDS LÄN</t>
        </is>
      </c>
      <c r="E6593" t="inlineStr">
        <is>
          <t>BOXHOLM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25548-2023</t>
        </is>
      </c>
      <c r="B6594" s="1" t="n">
        <v>45089</v>
      </c>
      <c r="C6594" s="1" t="n">
        <v>45710</v>
      </c>
      <c r="D6594" t="inlineStr">
        <is>
          <t>ÖSTERGÖTLANDS LÄN</t>
        </is>
      </c>
      <c r="E6594" t="inlineStr">
        <is>
          <t>ÅTVIDABERG</t>
        </is>
      </c>
      <c r="G6594" t="n">
        <v>18.7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25556-2023</t>
        </is>
      </c>
      <c r="B6595" s="1" t="n">
        <v>45089</v>
      </c>
      <c r="C6595" s="1" t="n">
        <v>45710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25596-2023</t>
        </is>
      </c>
      <c r="B6596" s="1" t="n">
        <v>45089</v>
      </c>
      <c r="C6596" s="1" t="n">
        <v>45710</v>
      </c>
      <c r="D6596" t="inlineStr">
        <is>
          <t>ÖSTERGÖTLANDS LÄN</t>
        </is>
      </c>
      <c r="E6596" t="inlineStr">
        <is>
          <t>KINDA</t>
        </is>
      </c>
      <c r="G6596" t="n">
        <v>5.9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25481-2023</t>
        </is>
      </c>
      <c r="B6597" s="1" t="n">
        <v>45089</v>
      </c>
      <c r="C6597" s="1" t="n">
        <v>45710</v>
      </c>
      <c r="D6597" t="inlineStr">
        <is>
          <t>ÖSTERGÖTLANDS LÄN</t>
        </is>
      </c>
      <c r="E6597" t="inlineStr">
        <is>
          <t>ÅTVIDABERG</t>
        </is>
      </c>
      <c r="G6597" t="n">
        <v>6.2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25551-2023</t>
        </is>
      </c>
      <c r="B6598" s="1" t="n">
        <v>45089</v>
      </c>
      <c r="C6598" s="1" t="n">
        <v>45710</v>
      </c>
      <c r="D6598" t="inlineStr">
        <is>
          <t>ÖSTERGÖTLANDS LÄN</t>
        </is>
      </c>
      <c r="E6598" t="inlineStr">
        <is>
          <t>ÅTVIDABERG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25418-2023</t>
        </is>
      </c>
      <c r="B6599" s="1" t="n">
        <v>45089</v>
      </c>
      <c r="C6599" s="1" t="n">
        <v>45710</v>
      </c>
      <c r="D6599" t="inlineStr">
        <is>
          <t>ÖSTERGÖTLANDS LÄN</t>
        </is>
      </c>
      <c r="E6599" t="inlineStr">
        <is>
          <t>LINKÖPING</t>
        </is>
      </c>
      <c r="F6599" t="inlineStr">
        <is>
          <t>Övriga Aktiebolag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25439-2023</t>
        </is>
      </c>
      <c r="B6600" s="1" t="n">
        <v>45089</v>
      </c>
      <c r="C6600" s="1" t="n">
        <v>45710</v>
      </c>
      <c r="D6600" t="inlineStr">
        <is>
          <t>ÖSTERGÖTLANDS LÄN</t>
        </is>
      </c>
      <c r="E6600" t="inlineStr">
        <is>
          <t>BOXHOLM</t>
        </is>
      </c>
      <c r="G6600" t="n">
        <v>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25559-2023</t>
        </is>
      </c>
      <c r="B6601" s="1" t="n">
        <v>45089</v>
      </c>
      <c r="C6601" s="1" t="n">
        <v>45710</v>
      </c>
      <c r="D6601" t="inlineStr">
        <is>
          <t>ÖSTERGÖTLANDS LÄN</t>
        </is>
      </c>
      <c r="E6601" t="inlineStr">
        <is>
          <t>ÅTVIDABERG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26609-2023</t>
        </is>
      </c>
      <c r="B6602" s="1" t="n">
        <v>45089</v>
      </c>
      <c r="C6602" s="1" t="n">
        <v>45710</v>
      </c>
      <c r="D6602" t="inlineStr">
        <is>
          <t>ÖSTERGÖTLANDS LÄN</t>
        </is>
      </c>
      <c r="E6602" t="inlineStr">
        <is>
          <t>KINDA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25712-2023</t>
        </is>
      </c>
      <c r="B6603" s="1" t="n">
        <v>45090</v>
      </c>
      <c r="C6603" s="1" t="n">
        <v>45710</v>
      </c>
      <c r="D6603" t="inlineStr">
        <is>
          <t>ÖSTERGÖTLANDS LÄN</t>
        </is>
      </c>
      <c r="E6603" t="inlineStr">
        <is>
          <t>SÖDERKÖPING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25844-2023</t>
        </is>
      </c>
      <c r="B6604" s="1" t="n">
        <v>45090</v>
      </c>
      <c r="C6604" s="1" t="n">
        <v>45710</v>
      </c>
      <c r="D6604" t="inlineStr">
        <is>
          <t>ÖSTERGÖTLANDS LÄN</t>
        </is>
      </c>
      <c r="E6604" t="inlineStr">
        <is>
          <t>YDRE</t>
        </is>
      </c>
      <c r="F6604" t="inlineStr">
        <is>
          <t>Sveaskog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25856-2023</t>
        </is>
      </c>
      <c r="B6605" s="1" t="n">
        <v>45090</v>
      </c>
      <c r="C6605" s="1" t="n">
        <v>45710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25702-2023</t>
        </is>
      </c>
      <c r="B6606" s="1" t="n">
        <v>45090</v>
      </c>
      <c r="C6606" s="1" t="n">
        <v>45710</v>
      </c>
      <c r="D6606" t="inlineStr">
        <is>
          <t>ÖSTERGÖTLANDS LÄN</t>
        </is>
      </c>
      <c r="E6606" t="inlineStr">
        <is>
          <t>VALDEMARSVIK</t>
        </is>
      </c>
      <c r="G6606" t="n">
        <v>5.2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25709-2023</t>
        </is>
      </c>
      <c r="B6607" s="1" t="n">
        <v>45090</v>
      </c>
      <c r="C6607" s="1" t="n">
        <v>45710</v>
      </c>
      <c r="D6607" t="inlineStr">
        <is>
          <t>ÖSTERGÖTLANDS LÄN</t>
        </is>
      </c>
      <c r="E6607" t="inlineStr">
        <is>
          <t>SÖDERKÖPING</t>
        </is>
      </c>
      <c r="G6607" t="n">
        <v>5.5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25948-2023</t>
        </is>
      </c>
      <c r="B6608" s="1" t="n">
        <v>45090</v>
      </c>
      <c r="C6608" s="1" t="n">
        <v>45710</v>
      </c>
      <c r="D6608" t="inlineStr">
        <is>
          <t>ÖSTERGÖTLANDS LÄN</t>
        </is>
      </c>
      <c r="E6608" t="inlineStr">
        <is>
          <t>LINKÖPING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25703-2023</t>
        </is>
      </c>
      <c r="B6609" s="1" t="n">
        <v>45090</v>
      </c>
      <c r="C6609" s="1" t="n">
        <v>45710</v>
      </c>
      <c r="D6609" t="inlineStr">
        <is>
          <t>ÖSTERGÖTLANDS LÄN</t>
        </is>
      </c>
      <c r="E6609" t="inlineStr">
        <is>
          <t>VALDEMARSVIK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25790-2023</t>
        </is>
      </c>
      <c r="B6610" s="1" t="n">
        <v>45090</v>
      </c>
      <c r="C6610" s="1" t="n">
        <v>45710</v>
      </c>
      <c r="D6610" t="inlineStr">
        <is>
          <t>ÖSTERGÖTLANDS LÄN</t>
        </is>
      </c>
      <c r="E6610" t="inlineStr">
        <is>
          <t>SÖDERKÖPING</t>
        </is>
      </c>
      <c r="G6610" t="n">
        <v>7.9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25841-2023</t>
        </is>
      </c>
      <c r="B6611" s="1" t="n">
        <v>45090</v>
      </c>
      <c r="C6611" s="1" t="n">
        <v>45710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25811-2023</t>
        </is>
      </c>
      <c r="B6612" s="1" t="n">
        <v>45090</v>
      </c>
      <c r="C6612" s="1" t="n">
        <v>45710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25815-2023</t>
        </is>
      </c>
      <c r="B6613" s="1" t="n">
        <v>45090</v>
      </c>
      <c r="C6613" s="1" t="n">
        <v>45710</v>
      </c>
      <c r="D6613" t="inlineStr">
        <is>
          <t>ÖSTERGÖTLANDS LÄN</t>
        </is>
      </c>
      <c r="E6613" t="inlineStr">
        <is>
          <t>YDRE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25925-2023</t>
        </is>
      </c>
      <c r="B6614" s="1" t="n">
        <v>45090</v>
      </c>
      <c r="C6614" s="1" t="n">
        <v>45710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25854-2023</t>
        </is>
      </c>
      <c r="B6615" s="1" t="n">
        <v>45090</v>
      </c>
      <c r="C6615" s="1" t="n">
        <v>45710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4.5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25952-2023</t>
        </is>
      </c>
      <c r="B6616" s="1" t="n">
        <v>45090</v>
      </c>
      <c r="C6616" s="1" t="n">
        <v>45710</v>
      </c>
      <c r="D6616" t="inlineStr">
        <is>
          <t>ÖSTERGÖTLANDS LÄN</t>
        </is>
      </c>
      <c r="E6616" t="inlineStr">
        <is>
          <t>ÅTVIDABERG</t>
        </is>
      </c>
      <c r="G6616" t="n">
        <v>9.5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25981-2023</t>
        </is>
      </c>
      <c r="B6617" s="1" t="n">
        <v>45090</v>
      </c>
      <c r="C6617" s="1" t="n">
        <v>45710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Allmännings- och besparingsskogar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25982-2023</t>
        </is>
      </c>
      <c r="B6618" s="1" t="n">
        <v>45090</v>
      </c>
      <c r="C6618" s="1" t="n">
        <v>45710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Allmännings- och besparingsskogar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26909-2023</t>
        </is>
      </c>
      <c r="B6619" s="1" t="n">
        <v>45090</v>
      </c>
      <c r="C6619" s="1" t="n">
        <v>45710</v>
      </c>
      <c r="D6619" t="inlineStr">
        <is>
          <t>ÖSTERGÖTLANDS LÄN</t>
        </is>
      </c>
      <c r="E6619" t="inlineStr">
        <is>
          <t>ÅTVIDABERG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26911-2023</t>
        </is>
      </c>
      <c r="B6620" s="1" t="n">
        <v>45090</v>
      </c>
      <c r="C6620" s="1" t="n">
        <v>45710</v>
      </c>
      <c r="D6620" t="inlineStr">
        <is>
          <t>ÖSTERGÖTLANDS LÄN</t>
        </is>
      </c>
      <c r="E6620" t="inlineStr">
        <is>
          <t>ÅTVIDABERG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26227-2023</t>
        </is>
      </c>
      <c r="B6621" s="1" t="n">
        <v>45091</v>
      </c>
      <c r="C6621" s="1" t="n">
        <v>45710</v>
      </c>
      <c r="D6621" t="inlineStr">
        <is>
          <t>ÖSTERGÖTLANDS LÄN</t>
        </is>
      </c>
      <c r="E6621" t="inlineStr">
        <is>
          <t>KINDA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26300-2023</t>
        </is>
      </c>
      <c r="B6622" s="1" t="n">
        <v>45091</v>
      </c>
      <c r="C6622" s="1" t="n">
        <v>45710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Holmen skog AB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26026-2023</t>
        </is>
      </c>
      <c r="B6623" s="1" t="n">
        <v>45091</v>
      </c>
      <c r="C6623" s="1" t="n">
        <v>45710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Sveaskog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26030-2023</t>
        </is>
      </c>
      <c r="B6624" s="1" t="n">
        <v>45091</v>
      </c>
      <c r="C6624" s="1" t="n">
        <v>45710</v>
      </c>
      <c r="D6624" t="inlineStr">
        <is>
          <t>ÖSTERGÖTLANDS LÄN</t>
        </is>
      </c>
      <c r="E6624" t="inlineStr">
        <is>
          <t>YDRE</t>
        </is>
      </c>
      <c r="F6624" t="inlineStr">
        <is>
          <t>Sveaskog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26338-2023</t>
        </is>
      </c>
      <c r="B6625" s="1" t="n">
        <v>45091</v>
      </c>
      <c r="C6625" s="1" t="n">
        <v>45710</v>
      </c>
      <c r="D6625" t="inlineStr">
        <is>
          <t>ÖSTERGÖTLANDS LÄN</t>
        </is>
      </c>
      <c r="E6625" t="inlineStr">
        <is>
          <t>MOTALA</t>
        </is>
      </c>
      <c r="G6625" t="n">
        <v>6.2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26028-2023</t>
        </is>
      </c>
      <c r="B6626" s="1" t="n">
        <v>45091</v>
      </c>
      <c r="C6626" s="1" t="n">
        <v>45710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26067-2023</t>
        </is>
      </c>
      <c r="B6627" s="1" t="n">
        <v>45091</v>
      </c>
      <c r="C6627" s="1" t="n">
        <v>45710</v>
      </c>
      <c r="D6627" t="inlineStr">
        <is>
          <t>ÖSTERGÖTLANDS LÄN</t>
        </is>
      </c>
      <c r="E6627" t="inlineStr">
        <is>
          <t>KINDA</t>
        </is>
      </c>
      <c r="F6627" t="inlineStr">
        <is>
          <t>Sveaskog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26194-2023</t>
        </is>
      </c>
      <c r="B6628" s="1" t="n">
        <v>45091</v>
      </c>
      <c r="C6628" s="1" t="n">
        <v>45710</v>
      </c>
      <c r="D6628" t="inlineStr">
        <is>
          <t>ÖSTERGÖTLANDS LÄN</t>
        </is>
      </c>
      <c r="E6628" t="inlineStr">
        <is>
          <t>FINSPÅNG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26136-2023</t>
        </is>
      </c>
      <c r="B6629" s="1" t="n">
        <v>45091</v>
      </c>
      <c r="C6629" s="1" t="n">
        <v>45710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Holmen skog AB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26074-2023</t>
        </is>
      </c>
      <c r="B6630" s="1" t="n">
        <v>45091</v>
      </c>
      <c r="C6630" s="1" t="n">
        <v>45710</v>
      </c>
      <c r="D6630" t="inlineStr">
        <is>
          <t>ÖSTERGÖTLANDS LÄN</t>
        </is>
      </c>
      <c r="E6630" t="inlineStr">
        <is>
          <t>KINDA</t>
        </is>
      </c>
      <c r="F6630" t="inlineStr">
        <is>
          <t>Sveaskog</t>
        </is>
      </c>
      <c r="G6630" t="n">
        <v>4.1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26152-2023</t>
        </is>
      </c>
      <c r="B6631" s="1" t="n">
        <v>45091</v>
      </c>
      <c r="C6631" s="1" t="n">
        <v>45710</v>
      </c>
      <c r="D6631" t="inlineStr">
        <is>
          <t>ÖSTERGÖTLANDS LÄN</t>
        </is>
      </c>
      <c r="E6631" t="inlineStr">
        <is>
          <t>FINSPÅNG</t>
        </is>
      </c>
      <c r="G6631" t="n">
        <v>3.9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26977-2023</t>
        </is>
      </c>
      <c r="B6632" s="1" t="n">
        <v>45091</v>
      </c>
      <c r="C6632" s="1" t="n">
        <v>45710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Allmännings- och besparingsskogar</t>
        </is>
      </c>
      <c r="G6632" t="n">
        <v>7.4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26392-2023</t>
        </is>
      </c>
      <c r="B6633" s="1" t="n">
        <v>45092</v>
      </c>
      <c r="C6633" s="1" t="n">
        <v>45710</v>
      </c>
      <c r="D6633" t="inlineStr">
        <is>
          <t>ÖSTERGÖTLANDS LÄN</t>
        </is>
      </c>
      <c r="E6633" t="inlineStr">
        <is>
          <t>NORRKÖPING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26396-2023</t>
        </is>
      </c>
      <c r="B6634" s="1" t="n">
        <v>45092</v>
      </c>
      <c r="C6634" s="1" t="n">
        <v>45710</v>
      </c>
      <c r="D6634" t="inlineStr">
        <is>
          <t>ÖSTERGÖTLANDS LÄN</t>
        </is>
      </c>
      <c r="E6634" t="inlineStr">
        <is>
          <t>NORRKÖPING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26393-2023</t>
        </is>
      </c>
      <c r="B6635" s="1" t="n">
        <v>45092</v>
      </c>
      <c r="C6635" s="1" t="n">
        <v>45710</v>
      </c>
      <c r="D6635" t="inlineStr">
        <is>
          <t>ÖSTERGÖTLANDS LÄN</t>
        </is>
      </c>
      <c r="E6635" t="inlineStr">
        <is>
          <t>NORRKÖPING</t>
        </is>
      </c>
      <c r="G6635" t="n">
        <v>2.7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26398-2023</t>
        </is>
      </c>
      <c r="B6636" s="1" t="n">
        <v>45092</v>
      </c>
      <c r="C6636" s="1" t="n">
        <v>45710</v>
      </c>
      <c r="D6636" t="inlineStr">
        <is>
          <t>ÖSTERGÖTLANDS LÄN</t>
        </is>
      </c>
      <c r="E6636" t="inlineStr">
        <is>
          <t>NORRKÖPING</t>
        </is>
      </c>
      <c r="G6636" t="n">
        <v>6.8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26592-2023</t>
        </is>
      </c>
      <c r="B6637" s="1" t="n">
        <v>45092</v>
      </c>
      <c r="C6637" s="1" t="n">
        <v>45710</v>
      </c>
      <c r="D6637" t="inlineStr">
        <is>
          <t>ÖSTERGÖTLANDS LÄN</t>
        </is>
      </c>
      <c r="E6637" t="inlineStr">
        <is>
          <t>ÅTVIDABERG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26596-2023</t>
        </is>
      </c>
      <c r="B6638" s="1" t="n">
        <v>45092</v>
      </c>
      <c r="C6638" s="1" t="n">
        <v>45710</v>
      </c>
      <c r="D6638" t="inlineStr">
        <is>
          <t>ÖSTERGÖTLANDS LÄN</t>
        </is>
      </c>
      <c r="E6638" t="inlineStr">
        <is>
          <t>SÖDERKÖPING</t>
        </is>
      </c>
      <c r="G6638" t="n">
        <v>6.3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26614-2023</t>
        </is>
      </c>
      <c r="B6639" s="1" t="n">
        <v>45092</v>
      </c>
      <c r="C6639" s="1" t="n">
        <v>45710</v>
      </c>
      <c r="D6639" t="inlineStr">
        <is>
          <t>ÖSTERGÖTLANDS LÄN</t>
        </is>
      </c>
      <c r="E6639" t="inlineStr">
        <is>
          <t>LINKÖPING</t>
        </is>
      </c>
      <c r="G6639" t="n">
        <v>4.8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26391-2023</t>
        </is>
      </c>
      <c r="B6640" s="1" t="n">
        <v>45092</v>
      </c>
      <c r="C6640" s="1" t="n">
        <v>45710</v>
      </c>
      <c r="D6640" t="inlineStr">
        <is>
          <t>ÖSTERGÖTLANDS LÄN</t>
        </is>
      </c>
      <c r="E6640" t="inlineStr">
        <is>
          <t>NORRKÖPING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26400-2023</t>
        </is>
      </c>
      <c r="B6641" s="1" t="n">
        <v>45092</v>
      </c>
      <c r="C6641" s="1" t="n">
        <v>45710</v>
      </c>
      <c r="D6641" t="inlineStr">
        <is>
          <t>ÖSTERGÖTLANDS LÄN</t>
        </is>
      </c>
      <c r="E6641" t="inlineStr">
        <is>
          <t>NORRKÖPING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26404-2023</t>
        </is>
      </c>
      <c r="B6642" s="1" t="n">
        <v>45092</v>
      </c>
      <c r="C6642" s="1" t="n">
        <v>45710</v>
      </c>
      <c r="D6642" t="inlineStr">
        <is>
          <t>ÖSTERGÖTLANDS LÄN</t>
        </is>
      </c>
      <c r="E6642" t="inlineStr">
        <is>
          <t>NORRKÖPING</t>
        </is>
      </c>
      <c r="G6642" t="n">
        <v>5.8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26388-2023</t>
        </is>
      </c>
      <c r="B6643" s="1" t="n">
        <v>45092</v>
      </c>
      <c r="C6643" s="1" t="n">
        <v>45710</v>
      </c>
      <c r="D6643" t="inlineStr">
        <is>
          <t>ÖSTERGÖTLANDS LÄN</t>
        </is>
      </c>
      <c r="E6643" t="inlineStr">
        <is>
          <t>NORRKÖPING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26394-2023</t>
        </is>
      </c>
      <c r="B6644" s="1" t="n">
        <v>45092</v>
      </c>
      <c r="C6644" s="1" t="n">
        <v>45710</v>
      </c>
      <c r="D6644" t="inlineStr">
        <is>
          <t>ÖSTERGÖTLANDS LÄN</t>
        </is>
      </c>
      <c r="E6644" t="inlineStr">
        <is>
          <t>NORRKÖPING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26409-2023</t>
        </is>
      </c>
      <c r="B6645" s="1" t="n">
        <v>45092</v>
      </c>
      <c r="C6645" s="1" t="n">
        <v>45710</v>
      </c>
      <c r="D6645" t="inlineStr">
        <is>
          <t>ÖSTERGÖTLANDS LÄN</t>
        </is>
      </c>
      <c r="E6645" t="inlineStr">
        <is>
          <t>NORRKÖPING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26407-2023</t>
        </is>
      </c>
      <c r="B6646" s="1" t="n">
        <v>45092</v>
      </c>
      <c r="C6646" s="1" t="n">
        <v>45710</v>
      </c>
      <c r="D6646" t="inlineStr">
        <is>
          <t>ÖSTERGÖTLANDS LÄN</t>
        </is>
      </c>
      <c r="E6646" t="inlineStr">
        <is>
          <t>NORRKÖPING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26594-2023</t>
        </is>
      </c>
      <c r="B6647" s="1" t="n">
        <v>45092</v>
      </c>
      <c r="C6647" s="1" t="n">
        <v>45710</v>
      </c>
      <c r="D6647" t="inlineStr">
        <is>
          <t>ÖSTERGÖTLANDS LÄN</t>
        </is>
      </c>
      <c r="E6647" t="inlineStr">
        <is>
          <t>SÖDERKÖPING</t>
        </is>
      </c>
      <c r="G6647" t="n">
        <v>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26618-2023</t>
        </is>
      </c>
      <c r="B6648" s="1" t="n">
        <v>45092</v>
      </c>
      <c r="C6648" s="1" t="n">
        <v>45710</v>
      </c>
      <c r="D6648" t="inlineStr">
        <is>
          <t>ÖSTERGÖTLANDS LÄN</t>
        </is>
      </c>
      <c r="E6648" t="inlineStr">
        <is>
          <t>LINKÖPING</t>
        </is>
      </c>
      <c r="G6648" t="n">
        <v>6.9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26620-2023</t>
        </is>
      </c>
      <c r="B6649" s="1" t="n">
        <v>45092</v>
      </c>
      <c r="C6649" s="1" t="n">
        <v>45710</v>
      </c>
      <c r="D6649" t="inlineStr">
        <is>
          <t>ÖSTERGÖTLANDS LÄN</t>
        </is>
      </c>
      <c r="E6649" t="inlineStr">
        <is>
          <t>LINKÖPING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26634-2023</t>
        </is>
      </c>
      <c r="B6650" s="1" t="n">
        <v>45092</v>
      </c>
      <c r="C6650" s="1" t="n">
        <v>45710</v>
      </c>
      <c r="D6650" t="inlineStr">
        <is>
          <t>ÖSTERGÖTLANDS LÄN</t>
        </is>
      </c>
      <c r="E6650" t="inlineStr">
        <is>
          <t>ÖDESHÖG</t>
        </is>
      </c>
      <c r="F6650" t="inlineStr">
        <is>
          <t>Allmännings- och besparingsskogar</t>
        </is>
      </c>
      <c r="G6650" t="n">
        <v>13.3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26638-2023</t>
        </is>
      </c>
      <c r="B6651" s="1" t="n">
        <v>45092</v>
      </c>
      <c r="C6651" s="1" t="n">
        <v>45710</v>
      </c>
      <c r="D6651" t="inlineStr">
        <is>
          <t>ÖSTERGÖTLANDS LÄN</t>
        </is>
      </c>
      <c r="E6651" t="inlineStr">
        <is>
          <t>BOXHOLM</t>
        </is>
      </c>
      <c r="F6651" t="inlineStr">
        <is>
          <t>Allmännings- och besparingsskogar</t>
        </is>
      </c>
      <c r="G6651" t="n">
        <v>8.4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27250-2023</t>
        </is>
      </c>
      <c r="B6652" s="1" t="n">
        <v>45092</v>
      </c>
      <c r="C6652" s="1" t="n">
        <v>45710</v>
      </c>
      <c r="D6652" t="inlineStr">
        <is>
          <t>ÖSTERGÖTLANDS LÄN</t>
        </is>
      </c>
      <c r="E6652" t="inlineStr">
        <is>
          <t>MOTALA</t>
        </is>
      </c>
      <c r="F6652" t="inlineStr">
        <is>
          <t>Övriga statliga verk och myndigheter</t>
        </is>
      </c>
      <c r="G6652" t="n">
        <v>6.8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27220-2023</t>
        </is>
      </c>
      <c r="B6653" s="1" t="n">
        <v>45092</v>
      </c>
      <c r="C6653" s="1" t="n">
        <v>45710</v>
      </c>
      <c r="D6653" t="inlineStr">
        <is>
          <t>ÖSTERGÖTLANDS LÄN</t>
        </is>
      </c>
      <c r="E6653" t="inlineStr">
        <is>
          <t>MOTALA</t>
        </is>
      </c>
      <c r="F6653" t="inlineStr">
        <is>
          <t>Övriga statliga verk och myndigheter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27233-2023</t>
        </is>
      </c>
      <c r="B6654" s="1" t="n">
        <v>45092</v>
      </c>
      <c r="C6654" s="1" t="n">
        <v>45710</v>
      </c>
      <c r="D6654" t="inlineStr">
        <is>
          <t>ÖSTERGÖTLANDS LÄN</t>
        </is>
      </c>
      <c r="E6654" t="inlineStr">
        <is>
          <t>MOTALA</t>
        </is>
      </c>
      <c r="F6654" t="inlineStr">
        <is>
          <t>Övriga statliga verk och myndigheter</t>
        </is>
      </c>
      <c r="G6654" t="n">
        <v>4.6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26809-2023</t>
        </is>
      </c>
      <c r="B6655" s="1" t="n">
        <v>45093</v>
      </c>
      <c r="C6655" s="1" t="n">
        <v>45710</v>
      </c>
      <c r="D6655" t="inlineStr">
        <is>
          <t>ÖSTERGÖTLANDS LÄN</t>
        </is>
      </c>
      <c r="E6655" t="inlineStr">
        <is>
          <t>KINDA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26820-2023</t>
        </is>
      </c>
      <c r="B6656" s="1" t="n">
        <v>45093</v>
      </c>
      <c r="C6656" s="1" t="n">
        <v>45710</v>
      </c>
      <c r="D6656" t="inlineStr">
        <is>
          <t>ÖSTERGÖTLANDS LÄN</t>
        </is>
      </c>
      <c r="E6656" t="inlineStr">
        <is>
          <t>VALDEMARSVIK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26678-2023</t>
        </is>
      </c>
      <c r="B6657" s="1" t="n">
        <v>45093</v>
      </c>
      <c r="C6657" s="1" t="n">
        <v>45710</v>
      </c>
      <c r="D6657" t="inlineStr">
        <is>
          <t>ÖSTERGÖTLANDS LÄN</t>
        </is>
      </c>
      <c r="E6657" t="inlineStr">
        <is>
          <t>VALDEMARSVIK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26821-2023</t>
        </is>
      </c>
      <c r="B6658" s="1" t="n">
        <v>45093</v>
      </c>
      <c r="C6658" s="1" t="n">
        <v>45710</v>
      </c>
      <c r="D6658" t="inlineStr">
        <is>
          <t>ÖSTERGÖTLANDS LÄN</t>
        </is>
      </c>
      <c r="E6658" t="inlineStr">
        <is>
          <t>VALDEMARSVIK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26830-2023</t>
        </is>
      </c>
      <c r="B6659" s="1" t="n">
        <v>45093</v>
      </c>
      <c r="C6659" s="1" t="n">
        <v>45710</v>
      </c>
      <c r="D6659" t="inlineStr">
        <is>
          <t>ÖSTERGÖTLANDS LÄN</t>
        </is>
      </c>
      <c r="E6659" t="inlineStr">
        <is>
          <t>NORRKÖPING</t>
        </is>
      </c>
      <c r="G6659" t="n">
        <v>4.2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26846-2023</t>
        </is>
      </c>
      <c r="B6660" s="1" t="n">
        <v>45093</v>
      </c>
      <c r="C6660" s="1" t="n">
        <v>45710</v>
      </c>
      <c r="D6660" t="inlineStr">
        <is>
          <t>ÖSTERGÖTLANDS LÄN</t>
        </is>
      </c>
      <c r="E6660" t="inlineStr">
        <is>
          <t>LINKÖPING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26866-2023</t>
        </is>
      </c>
      <c r="B6661" s="1" t="n">
        <v>45093</v>
      </c>
      <c r="C6661" s="1" t="n">
        <v>45710</v>
      </c>
      <c r="D6661" t="inlineStr">
        <is>
          <t>ÖSTERGÖTLANDS LÄN</t>
        </is>
      </c>
      <c r="E6661" t="inlineStr">
        <is>
          <t>NORRKÖPING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26834-2023</t>
        </is>
      </c>
      <c r="B6662" s="1" t="n">
        <v>45093</v>
      </c>
      <c r="C6662" s="1" t="n">
        <v>45710</v>
      </c>
      <c r="D6662" t="inlineStr">
        <is>
          <t>ÖSTERGÖTLANDS LÄN</t>
        </is>
      </c>
      <c r="E6662" t="inlineStr">
        <is>
          <t>NORRKÖPING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26845-2023</t>
        </is>
      </c>
      <c r="B6663" s="1" t="n">
        <v>45093</v>
      </c>
      <c r="C6663" s="1" t="n">
        <v>45710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26857-2023</t>
        </is>
      </c>
      <c r="B6664" s="1" t="n">
        <v>45093</v>
      </c>
      <c r="C6664" s="1" t="n">
        <v>45710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26881-2023</t>
        </is>
      </c>
      <c r="B6665" s="1" t="n">
        <v>45093</v>
      </c>
      <c r="C6665" s="1" t="n">
        <v>45710</v>
      </c>
      <c r="D6665" t="inlineStr">
        <is>
          <t>ÖSTERGÖTLANDS LÄN</t>
        </is>
      </c>
      <c r="E6665" t="inlineStr">
        <is>
          <t>FINSPÅNG</t>
        </is>
      </c>
      <c r="F6665" t="inlineStr">
        <is>
          <t>Holmen skog AB</t>
        </is>
      </c>
      <c r="G6665" t="n">
        <v>3.7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26889-2023</t>
        </is>
      </c>
      <c r="B6666" s="1" t="n">
        <v>45093</v>
      </c>
      <c r="C6666" s="1" t="n">
        <v>45710</v>
      </c>
      <c r="D6666" t="inlineStr">
        <is>
          <t>ÖSTERGÖTLANDS LÄN</t>
        </is>
      </c>
      <c r="E6666" t="inlineStr">
        <is>
          <t>YDRE</t>
        </is>
      </c>
      <c r="F6666" t="inlineStr">
        <is>
          <t>Övriga Aktiebolag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26872-2023</t>
        </is>
      </c>
      <c r="B6667" s="1" t="n">
        <v>45093</v>
      </c>
      <c r="C6667" s="1" t="n">
        <v>45710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Holmen skog AB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26876-2023</t>
        </is>
      </c>
      <c r="B6668" s="1" t="n">
        <v>45093</v>
      </c>
      <c r="C6668" s="1" t="n">
        <v>45710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Holmen skog AB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26811-2023</t>
        </is>
      </c>
      <c r="B6669" s="1" t="n">
        <v>45093</v>
      </c>
      <c r="C6669" s="1" t="n">
        <v>45710</v>
      </c>
      <c r="D6669" t="inlineStr">
        <is>
          <t>ÖSTERGÖTLANDS LÄN</t>
        </is>
      </c>
      <c r="E6669" t="inlineStr">
        <is>
          <t>VALDEMARSVIK</t>
        </is>
      </c>
      <c r="G6669" t="n">
        <v>4.4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26832-2023</t>
        </is>
      </c>
      <c r="B6670" s="1" t="n">
        <v>45093</v>
      </c>
      <c r="C6670" s="1" t="n">
        <v>45710</v>
      </c>
      <c r="D6670" t="inlineStr">
        <is>
          <t>ÖSTERGÖTLANDS LÄN</t>
        </is>
      </c>
      <c r="E6670" t="inlineStr">
        <is>
          <t>NORRKÖPING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26875-2023</t>
        </is>
      </c>
      <c r="B6671" s="1" t="n">
        <v>45093</v>
      </c>
      <c r="C6671" s="1" t="n">
        <v>45710</v>
      </c>
      <c r="D6671" t="inlineStr">
        <is>
          <t>ÖSTERGÖTLANDS LÄN</t>
        </is>
      </c>
      <c r="E6671" t="inlineStr">
        <is>
          <t>LINKÖPING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26883-2023</t>
        </is>
      </c>
      <c r="B6672" s="1" t="n">
        <v>45093</v>
      </c>
      <c r="C6672" s="1" t="n">
        <v>45710</v>
      </c>
      <c r="D6672" t="inlineStr">
        <is>
          <t>ÖSTERGÖTLANDS LÄN</t>
        </is>
      </c>
      <c r="E6672" t="inlineStr">
        <is>
          <t>KINDA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26912-2023</t>
        </is>
      </c>
      <c r="B6673" s="1" t="n">
        <v>45093</v>
      </c>
      <c r="C6673" s="1" t="n">
        <v>45710</v>
      </c>
      <c r="D6673" t="inlineStr">
        <is>
          <t>ÖSTERGÖTLANDS LÄN</t>
        </is>
      </c>
      <c r="E6673" t="inlineStr">
        <is>
          <t>SÖDERKÖPING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26934-2023</t>
        </is>
      </c>
      <c r="B6674" s="1" t="n">
        <v>45093</v>
      </c>
      <c r="C6674" s="1" t="n">
        <v>45710</v>
      </c>
      <c r="D6674" t="inlineStr">
        <is>
          <t>ÖSTERGÖTLANDS LÄN</t>
        </is>
      </c>
      <c r="E6674" t="inlineStr">
        <is>
          <t>VALDEMARSVIK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26942-2023</t>
        </is>
      </c>
      <c r="B6675" s="1" t="n">
        <v>45093</v>
      </c>
      <c r="C6675" s="1" t="n">
        <v>45710</v>
      </c>
      <c r="D6675" t="inlineStr">
        <is>
          <t>ÖSTERGÖTLANDS LÄN</t>
        </is>
      </c>
      <c r="E6675" t="inlineStr">
        <is>
          <t>VALDEMARSVIK</t>
        </is>
      </c>
      <c r="G6675" t="n">
        <v>3.5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26968-2023</t>
        </is>
      </c>
      <c r="B6676" s="1" t="n">
        <v>45093</v>
      </c>
      <c r="C6676" s="1" t="n">
        <v>45710</v>
      </c>
      <c r="D6676" t="inlineStr">
        <is>
          <t>ÖSTERGÖTLANDS LÄN</t>
        </is>
      </c>
      <c r="E6676" t="inlineStr">
        <is>
          <t>VALDEMARSVIK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26949-2023</t>
        </is>
      </c>
      <c r="B6677" s="1" t="n">
        <v>45093</v>
      </c>
      <c r="C6677" s="1" t="n">
        <v>45710</v>
      </c>
      <c r="D6677" t="inlineStr">
        <is>
          <t>ÖSTERGÖTLANDS LÄN</t>
        </is>
      </c>
      <c r="E6677" t="inlineStr">
        <is>
          <t>ÖDESHÖG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26915-2023</t>
        </is>
      </c>
      <c r="B6678" s="1" t="n">
        <v>45093</v>
      </c>
      <c r="C6678" s="1" t="n">
        <v>45710</v>
      </c>
      <c r="D6678" t="inlineStr">
        <is>
          <t>ÖSTERGÖTLANDS LÄN</t>
        </is>
      </c>
      <c r="E6678" t="inlineStr">
        <is>
          <t>SÖDERKÖPING</t>
        </is>
      </c>
      <c r="G6678" t="n">
        <v>5.7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26939-2023</t>
        </is>
      </c>
      <c r="B6679" s="1" t="n">
        <v>45093</v>
      </c>
      <c r="C6679" s="1" t="n">
        <v>45710</v>
      </c>
      <c r="D6679" t="inlineStr">
        <is>
          <t>ÖSTERGÖTLANDS LÄN</t>
        </is>
      </c>
      <c r="E6679" t="inlineStr">
        <is>
          <t>VALDEMARSVIK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26973-2023</t>
        </is>
      </c>
      <c r="B6680" s="1" t="n">
        <v>45093</v>
      </c>
      <c r="C6680" s="1" t="n">
        <v>45710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Naturvårdsverket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26933-2023</t>
        </is>
      </c>
      <c r="B6681" s="1" t="n">
        <v>45093</v>
      </c>
      <c r="C6681" s="1" t="n">
        <v>45710</v>
      </c>
      <c r="D6681" t="inlineStr">
        <is>
          <t>ÖSTERGÖTLANDS LÄN</t>
        </is>
      </c>
      <c r="E6681" t="inlineStr">
        <is>
          <t>VALDEMARSVIK</t>
        </is>
      </c>
      <c r="G6681" t="n">
        <v>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27586-2023</t>
        </is>
      </c>
      <c r="B6682" s="1" t="n">
        <v>45093</v>
      </c>
      <c r="C6682" s="1" t="n">
        <v>45710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Allmännings- och besparingsskogar</t>
        </is>
      </c>
      <c r="G6682" t="n">
        <v>5.5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27579-2023</t>
        </is>
      </c>
      <c r="B6683" s="1" t="n">
        <v>45093</v>
      </c>
      <c r="C6683" s="1" t="n">
        <v>45710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Allmännings- och besparingsskogar</t>
        </is>
      </c>
      <c r="G6683" t="n">
        <v>5.4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27501-2023</t>
        </is>
      </c>
      <c r="B6684" s="1" t="n">
        <v>45095</v>
      </c>
      <c r="C6684" s="1" t="n">
        <v>45710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Övriga Aktiebolag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27892-2023</t>
        </is>
      </c>
      <c r="B6685" s="1" t="n">
        <v>45095</v>
      </c>
      <c r="C6685" s="1" t="n">
        <v>45710</v>
      </c>
      <c r="D6685" t="inlineStr">
        <is>
          <t>ÖSTERGÖTLANDS LÄN</t>
        </is>
      </c>
      <c r="E6685" t="inlineStr">
        <is>
          <t>FINSPÅNG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27487-2023</t>
        </is>
      </c>
      <c r="B6686" s="1" t="n">
        <v>45095</v>
      </c>
      <c r="C6686" s="1" t="n">
        <v>45710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Övriga Aktiebolag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27699-2023</t>
        </is>
      </c>
      <c r="B6687" s="1" t="n">
        <v>45095</v>
      </c>
      <c r="C6687" s="1" t="n">
        <v>45710</v>
      </c>
      <c r="D6687" t="inlineStr">
        <is>
          <t>ÖSTERGÖTLANDS LÄN</t>
        </is>
      </c>
      <c r="E6687" t="inlineStr">
        <is>
          <t>FINSPÅNG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27697-2023</t>
        </is>
      </c>
      <c r="B6688" s="1" t="n">
        <v>45095</v>
      </c>
      <c r="C6688" s="1" t="n">
        <v>45710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Övriga Aktiebolag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28020-2023</t>
        </is>
      </c>
      <c r="B6689" s="1" t="n">
        <v>45095</v>
      </c>
      <c r="C6689" s="1" t="n">
        <v>45710</v>
      </c>
      <c r="D6689" t="inlineStr">
        <is>
          <t>ÖSTERGÖTLANDS LÄN</t>
        </is>
      </c>
      <c r="E6689" t="inlineStr">
        <is>
          <t>FINSPÅNG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27698-2023</t>
        </is>
      </c>
      <c r="B6690" s="1" t="n">
        <v>45095</v>
      </c>
      <c r="C6690" s="1" t="n">
        <v>45710</v>
      </c>
      <c r="D6690" t="inlineStr">
        <is>
          <t>ÖSTERGÖTLANDS LÄN</t>
        </is>
      </c>
      <c r="E6690" t="inlineStr">
        <is>
          <t>FINSPÅNG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28024-2023</t>
        </is>
      </c>
      <c r="B6691" s="1" t="n">
        <v>45095</v>
      </c>
      <c r="C6691" s="1" t="n">
        <v>45710</v>
      </c>
      <c r="D6691" t="inlineStr">
        <is>
          <t>ÖSTERGÖTLANDS LÄN</t>
        </is>
      </c>
      <c r="E6691" t="inlineStr">
        <is>
          <t>FINSPÅNG</t>
        </is>
      </c>
      <c r="G6691" t="n">
        <v>3.2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27099-2023</t>
        </is>
      </c>
      <c r="B6692" s="1" t="n">
        <v>45096</v>
      </c>
      <c r="C6692" s="1" t="n">
        <v>45710</v>
      </c>
      <c r="D6692" t="inlineStr">
        <is>
          <t>ÖSTERGÖTLANDS LÄN</t>
        </is>
      </c>
      <c r="E6692" t="inlineStr">
        <is>
          <t>KINDA</t>
        </is>
      </c>
      <c r="G6692" t="n">
        <v>4.2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27152-2023</t>
        </is>
      </c>
      <c r="B6693" s="1" t="n">
        <v>45096</v>
      </c>
      <c r="C6693" s="1" t="n">
        <v>45710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27164-2023</t>
        </is>
      </c>
      <c r="B6694" s="1" t="n">
        <v>45096</v>
      </c>
      <c r="C6694" s="1" t="n">
        <v>45710</v>
      </c>
      <c r="D6694" t="inlineStr">
        <is>
          <t>ÖSTERGÖTLANDS LÄN</t>
        </is>
      </c>
      <c r="E6694" t="inlineStr">
        <is>
          <t>YDRE</t>
        </is>
      </c>
      <c r="G6694" t="n">
        <v>4.1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27060-2023</t>
        </is>
      </c>
      <c r="B6695" s="1" t="n">
        <v>45096</v>
      </c>
      <c r="C6695" s="1" t="n">
        <v>45710</v>
      </c>
      <c r="D6695" t="inlineStr">
        <is>
          <t>ÖSTERGÖTLANDS LÄN</t>
        </is>
      </c>
      <c r="E6695" t="inlineStr">
        <is>
          <t>KINDA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27106-2023</t>
        </is>
      </c>
      <c r="B6696" s="1" t="n">
        <v>45096</v>
      </c>
      <c r="C6696" s="1" t="n">
        <v>45710</v>
      </c>
      <c r="D6696" t="inlineStr">
        <is>
          <t>ÖSTERGÖTLANDS LÄN</t>
        </is>
      </c>
      <c r="E6696" t="inlineStr">
        <is>
          <t>FINSPÅNG</t>
        </is>
      </c>
      <c r="F6696" t="inlineStr">
        <is>
          <t>Naturvårdsverket</t>
        </is>
      </c>
      <c r="G6696" t="n">
        <v>4.4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27105-2023</t>
        </is>
      </c>
      <c r="B6697" s="1" t="n">
        <v>45096</v>
      </c>
      <c r="C6697" s="1" t="n">
        <v>45710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27159-2023</t>
        </is>
      </c>
      <c r="B6698" s="1" t="n">
        <v>45096</v>
      </c>
      <c r="C6698" s="1" t="n">
        <v>45710</v>
      </c>
      <c r="D6698" t="inlineStr">
        <is>
          <t>ÖSTERGÖTLANDS LÄN</t>
        </is>
      </c>
      <c r="E6698" t="inlineStr">
        <is>
          <t>YDRE</t>
        </is>
      </c>
      <c r="G6698" t="n">
        <v>5.6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27225-2023</t>
        </is>
      </c>
      <c r="B6699" s="1" t="n">
        <v>45096</v>
      </c>
      <c r="C6699" s="1" t="n">
        <v>45710</v>
      </c>
      <c r="D6699" t="inlineStr">
        <is>
          <t>ÖSTERGÖTLANDS LÄN</t>
        </is>
      </c>
      <c r="E6699" t="inlineStr">
        <is>
          <t>MJÖLBY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27227-2023</t>
        </is>
      </c>
      <c r="B6700" s="1" t="n">
        <v>45096</v>
      </c>
      <c r="C6700" s="1" t="n">
        <v>45710</v>
      </c>
      <c r="D6700" t="inlineStr">
        <is>
          <t>ÖSTERGÖTLANDS LÄN</t>
        </is>
      </c>
      <c r="E6700" t="inlineStr">
        <is>
          <t>VALDEMARSVIK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27108-2023</t>
        </is>
      </c>
      <c r="B6701" s="1" t="n">
        <v>45096</v>
      </c>
      <c r="C6701" s="1" t="n">
        <v>45710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Holmen skog AB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27236-2023</t>
        </is>
      </c>
      <c r="B6702" s="1" t="n">
        <v>45096</v>
      </c>
      <c r="C6702" s="1" t="n">
        <v>45710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27288-2023</t>
        </is>
      </c>
      <c r="B6703" s="1" t="n">
        <v>45096</v>
      </c>
      <c r="C6703" s="1" t="n">
        <v>45710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29004-2023</t>
        </is>
      </c>
      <c r="B6704" s="1" t="n">
        <v>45096</v>
      </c>
      <c r="C6704" s="1" t="n">
        <v>45710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15.1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27343-2023</t>
        </is>
      </c>
      <c r="B6705" s="1" t="n">
        <v>45096</v>
      </c>
      <c r="C6705" s="1" t="n">
        <v>45710</v>
      </c>
      <c r="D6705" t="inlineStr">
        <is>
          <t>ÖSTERGÖTLANDS LÄN</t>
        </is>
      </c>
      <c r="E6705" t="inlineStr">
        <is>
          <t>LINKÖPING</t>
        </is>
      </c>
      <c r="F6705" t="inlineStr">
        <is>
          <t>Allmännings- och besparingsskogar</t>
        </is>
      </c>
      <c r="G6705" t="n">
        <v>6.9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29010-2023</t>
        </is>
      </c>
      <c r="B6706" s="1" t="n">
        <v>45096</v>
      </c>
      <c r="C6706" s="1" t="n">
        <v>45710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12.3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27514-2023</t>
        </is>
      </c>
      <c r="B6707" s="1" t="n">
        <v>45097</v>
      </c>
      <c r="C6707" s="1" t="n">
        <v>45710</v>
      </c>
      <c r="D6707" t="inlineStr">
        <is>
          <t>ÖSTERGÖTLANDS LÄN</t>
        </is>
      </c>
      <c r="E6707" t="inlineStr">
        <is>
          <t>KINDA</t>
        </is>
      </c>
      <c r="G6707" t="n">
        <v>4.9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27523-2023</t>
        </is>
      </c>
      <c r="B6708" s="1" t="n">
        <v>45097</v>
      </c>
      <c r="C6708" s="1" t="n">
        <v>45710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27509-2023</t>
        </is>
      </c>
      <c r="B6709" s="1" t="n">
        <v>45097</v>
      </c>
      <c r="C6709" s="1" t="n">
        <v>45710</v>
      </c>
      <c r="D6709" t="inlineStr">
        <is>
          <t>ÖSTERGÖTLANDS LÄN</t>
        </is>
      </c>
      <c r="E6709" t="inlineStr">
        <is>
          <t>KINDA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27513-2023</t>
        </is>
      </c>
      <c r="B6710" s="1" t="n">
        <v>45097</v>
      </c>
      <c r="C6710" s="1" t="n">
        <v>45710</v>
      </c>
      <c r="D6710" t="inlineStr">
        <is>
          <t>ÖSTERGÖTLANDS LÄN</t>
        </is>
      </c>
      <c r="E6710" t="inlineStr">
        <is>
          <t>ÅTVIDABERG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27598-2023</t>
        </is>
      </c>
      <c r="B6711" s="1" t="n">
        <v>45097</v>
      </c>
      <c r="C6711" s="1" t="n">
        <v>45710</v>
      </c>
      <c r="D6711" t="inlineStr">
        <is>
          <t>ÖSTERGÖTLANDS LÄN</t>
        </is>
      </c>
      <c r="E6711" t="inlineStr">
        <is>
          <t>SÖDERKÖPING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27603-2023</t>
        </is>
      </c>
      <c r="B6712" s="1" t="n">
        <v>45097</v>
      </c>
      <c r="C6712" s="1" t="n">
        <v>45710</v>
      </c>
      <c r="D6712" t="inlineStr">
        <is>
          <t>ÖSTERGÖTLANDS LÄN</t>
        </is>
      </c>
      <c r="E6712" t="inlineStr">
        <is>
          <t>FINSPÅNG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27607-2023</t>
        </is>
      </c>
      <c r="B6713" s="1" t="n">
        <v>45097</v>
      </c>
      <c r="C6713" s="1" t="n">
        <v>45710</v>
      </c>
      <c r="D6713" t="inlineStr">
        <is>
          <t>ÖSTERGÖTLANDS LÄN</t>
        </is>
      </c>
      <c r="E6713" t="inlineStr">
        <is>
          <t>FINSPÅNG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27464-2023</t>
        </is>
      </c>
      <c r="B6714" s="1" t="n">
        <v>45097</v>
      </c>
      <c r="C6714" s="1" t="n">
        <v>45710</v>
      </c>
      <c r="D6714" t="inlineStr">
        <is>
          <t>ÖSTERGÖTLANDS LÄN</t>
        </is>
      </c>
      <c r="E6714" t="inlineStr">
        <is>
          <t>SÖDERKÖPING</t>
        </is>
      </c>
      <c r="G6714" t="n">
        <v>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27517-2023</t>
        </is>
      </c>
      <c r="B6715" s="1" t="n">
        <v>45097</v>
      </c>
      <c r="C6715" s="1" t="n">
        <v>45710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Holmen skog AB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27569-2023</t>
        </is>
      </c>
      <c r="B6716" s="1" t="n">
        <v>45097</v>
      </c>
      <c r="C6716" s="1" t="n">
        <v>45710</v>
      </c>
      <c r="D6716" t="inlineStr">
        <is>
          <t>ÖSTERGÖTLANDS LÄN</t>
        </is>
      </c>
      <c r="E6716" t="inlineStr">
        <is>
          <t>ÖDESHÖG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27592-2023</t>
        </is>
      </c>
      <c r="B6717" s="1" t="n">
        <v>45097</v>
      </c>
      <c r="C6717" s="1" t="n">
        <v>45710</v>
      </c>
      <c r="D6717" t="inlineStr">
        <is>
          <t>ÖSTERGÖTLANDS LÄN</t>
        </is>
      </c>
      <c r="E6717" t="inlineStr">
        <is>
          <t>SÖDERKÖPING</t>
        </is>
      </c>
      <c r="G6717" t="n">
        <v>5.1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27454-2023</t>
        </is>
      </c>
      <c r="B6718" s="1" t="n">
        <v>45097</v>
      </c>
      <c r="C6718" s="1" t="n">
        <v>45710</v>
      </c>
      <c r="D6718" t="inlineStr">
        <is>
          <t>ÖSTERGÖTLANDS LÄN</t>
        </is>
      </c>
      <c r="E6718" t="inlineStr">
        <is>
          <t>BOXHOLM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27642-2023</t>
        </is>
      </c>
      <c r="B6719" s="1" t="n">
        <v>45097</v>
      </c>
      <c r="C6719" s="1" t="n">
        <v>45710</v>
      </c>
      <c r="D6719" t="inlineStr">
        <is>
          <t>ÖSTERGÖTLANDS LÄN</t>
        </is>
      </c>
      <c r="E6719" t="inlineStr">
        <is>
          <t>ÅTVIDABERG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27648-2023</t>
        </is>
      </c>
      <c r="B6720" s="1" t="n">
        <v>45097</v>
      </c>
      <c r="C6720" s="1" t="n">
        <v>45710</v>
      </c>
      <c r="D6720" t="inlineStr">
        <is>
          <t>ÖSTERGÖTLANDS LÄN</t>
        </is>
      </c>
      <c r="E6720" t="inlineStr">
        <is>
          <t>KINDA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27664-2023</t>
        </is>
      </c>
      <c r="B6721" s="1" t="n">
        <v>45097</v>
      </c>
      <c r="C6721" s="1" t="n">
        <v>45710</v>
      </c>
      <c r="D6721" t="inlineStr">
        <is>
          <t>ÖSTERGÖTLANDS LÄN</t>
        </is>
      </c>
      <c r="E6721" t="inlineStr">
        <is>
          <t>ÅTVIDABERG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27643-2023</t>
        </is>
      </c>
      <c r="B6722" s="1" t="n">
        <v>45097</v>
      </c>
      <c r="C6722" s="1" t="n">
        <v>45710</v>
      </c>
      <c r="D6722" t="inlineStr">
        <is>
          <t>ÖSTERGÖTLANDS LÄN</t>
        </is>
      </c>
      <c r="E6722" t="inlineStr">
        <is>
          <t>ÅTVIDABERG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27647-2023</t>
        </is>
      </c>
      <c r="B6723" s="1" t="n">
        <v>45097</v>
      </c>
      <c r="C6723" s="1" t="n">
        <v>45710</v>
      </c>
      <c r="D6723" t="inlineStr">
        <is>
          <t>ÖSTERGÖTLANDS LÄN</t>
        </is>
      </c>
      <c r="E6723" t="inlineStr">
        <is>
          <t>BOXHOLM</t>
        </is>
      </c>
      <c r="F6723" t="inlineStr">
        <is>
          <t>Allmännings- och besparingsskogar</t>
        </is>
      </c>
      <c r="G6723" t="n">
        <v>7.8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27656-2023</t>
        </is>
      </c>
      <c r="B6724" s="1" t="n">
        <v>45097</v>
      </c>
      <c r="C6724" s="1" t="n">
        <v>45710</v>
      </c>
      <c r="D6724" t="inlineStr">
        <is>
          <t>ÖSTERGÖTLANDS LÄN</t>
        </is>
      </c>
      <c r="E6724" t="inlineStr">
        <is>
          <t>MOTALA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27728-2023</t>
        </is>
      </c>
      <c r="B6725" s="1" t="n">
        <v>45098</v>
      </c>
      <c r="C6725" s="1" t="n">
        <v>45710</v>
      </c>
      <c r="D6725" t="inlineStr">
        <is>
          <t>ÖSTERGÖTLANDS LÄN</t>
        </is>
      </c>
      <c r="E6725" t="inlineStr">
        <is>
          <t>NORRKÖPING</t>
        </is>
      </c>
      <c r="G6725" t="n">
        <v>9.9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27735-2023</t>
        </is>
      </c>
      <c r="B6726" s="1" t="n">
        <v>45098</v>
      </c>
      <c r="C6726" s="1" t="n">
        <v>45710</v>
      </c>
      <c r="D6726" t="inlineStr">
        <is>
          <t>ÖSTERGÖTLANDS LÄN</t>
        </is>
      </c>
      <c r="E6726" t="inlineStr">
        <is>
          <t>NORRKÖPING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27936-2023</t>
        </is>
      </c>
      <c r="B6727" s="1" t="n">
        <v>45098</v>
      </c>
      <c r="C6727" s="1" t="n">
        <v>45710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Aktiebolag</t>
        </is>
      </c>
      <c r="G6727" t="n">
        <v>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27989-2023</t>
        </is>
      </c>
      <c r="B6728" s="1" t="n">
        <v>45098</v>
      </c>
      <c r="C6728" s="1" t="n">
        <v>45710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Övriga Aktiebolag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27986-2023</t>
        </is>
      </c>
      <c r="B6729" s="1" t="n">
        <v>45098</v>
      </c>
      <c r="C6729" s="1" t="n">
        <v>45710</v>
      </c>
      <c r="D6729" t="inlineStr">
        <is>
          <t>ÖSTERGÖTLANDS LÄN</t>
        </is>
      </c>
      <c r="E6729" t="inlineStr">
        <is>
          <t>ÅTVIDABERG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27969-2023</t>
        </is>
      </c>
      <c r="B6730" s="1" t="n">
        <v>45098</v>
      </c>
      <c r="C6730" s="1" t="n">
        <v>45710</v>
      </c>
      <c r="D6730" t="inlineStr">
        <is>
          <t>ÖSTERGÖTLANDS LÄN</t>
        </is>
      </c>
      <c r="E6730" t="inlineStr">
        <is>
          <t>KINDA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27987-2023</t>
        </is>
      </c>
      <c r="B6731" s="1" t="n">
        <v>45098</v>
      </c>
      <c r="C6731" s="1" t="n">
        <v>45710</v>
      </c>
      <c r="D6731" t="inlineStr">
        <is>
          <t>ÖSTERGÖTLANDS LÄN</t>
        </is>
      </c>
      <c r="E6731" t="inlineStr">
        <is>
          <t>ÅTVIDABERG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27958-2023</t>
        </is>
      </c>
      <c r="B6732" s="1" t="n">
        <v>45098</v>
      </c>
      <c r="C6732" s="1" t="n">
        <v>45710</v>
      </c>
      <c r="D6732" t="inlineStr">
        <is>
          <t>ÖSTERGÖTLANDS LÄN</t>
        </is>
      </c>
      <c r="E6732" t="inlineStr">
        <is>
          <t>LINKÖPING</t>
        </is>
      </c>
      <c r="F6732" t="inlineStr">
        <is>
          <t>Övriga Aktiebolag</t>
        </is>
      </c>
      <c r="G6732" t="n">
        <v>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27966-2023</t>
        </is>
      </c>
      <c r="B6733" s="1" t="n">
        <v>45098</v>
      </c>
      <c r="C6733" s="1" t="n">
        <v>45710</v>
      </c>
      <c r="D6733" t="inlineStr">
        <is>
          <t>ÖSTERGÖTLANDS LÄN</t>
        </is>
      </c>
      <c r="E6733" t="inlineStr">
        <is>
          <t>KINDA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27992-2023</t>
        </is>
      </c>
      <c r="B6734" s="1" t="n">
        <v>45098</v>
      </c>
      <c r="C6734" s="1" t="n">
        <v>45710</v>
      </c>
      <c r="D6734" t="inlineStr">
        <is>
          <t>ÖSTERGÖTLANDS LÄN</t>
        </is>
      </c>
      <c r="E6734" t="inlineStr">
        <is>
          <t>ÅTVIDABERG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28316-2023</t>
        </is>
      </c>
      <c r="B6735" s="1" t="n">
        <v>45098</v>
      </c>
      <c r="C6735" s="1" t="n">
        <v>45710</v>
      </c>
      <c r="D6735" t="inlineStr">
        <is>
          <t>ÖSTERGÖTLANDS LÄN</t>
        </is>
      </c>
      <c r="E6735" t="inlineStr">
        <is>
          <t>KINDA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28310-2023</t>
        </is>
      </c>
      <c r="B6736" s="1" t="n">
        <v>45098</v>
      </c>
      <c r="C6736" s="1" t="n">
        <v>45710</v>
      </c>
      <c r="D6736" t="inlineStr">
        <is>
          <t>ÖSTERGÖTLANDS LÄN</t>
        </is>
      </c>
      <c r="E6736" t="inlineStr">
        <is>
          <t>KINDA</t>
        </is>
      </c>
      <c r="G6736" t="n">
        <v>2.8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28027-2023</t>
        </is>
      </c>
      <c r="B6737" s="1" t="n">
        <v>45098</v>
      </c>
      <c r="C6737" s="1" t="n">
        <v>45710</v>
      </c>
      <c r="D6737" t="inlineStr">
        <is>
          <t>ÖSTERGÖTLANDS LÄN</t>
        </is>
      </c>
      <c r="E6737" t="inlineStr">
        <is>
          <t>SÖDERKÖPING</t>
        </is>
      </c>
      <c r="G6737" t="n">
        <v>3.9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28291-2023</t>
        </is>
      </c>
      <c r="B6738" s="1" t="n">
        <v>45098</v>
      </c>
      <c r="C6738" s="1" t="n">
        <v>45710</v>
      </c>
      <c r="D6738" t="inlineStr">
        <is>
          <t>ÖSTERGÖTLANDS LÄN</t>
        </is>
      </c>
      <c r="E6738" t="inlineStr">
        <is>
          <t>KINDA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28061-2023</t>
        </is>
      </c>
      <c r="B6739" s="1" t="n">
        <v>45099</v>
      </c>
      <c r="C6739" s="1" t="n">
        <v>45710</v>
      </c>
      <c r="D6739" t="inlineStr">
        <is>
          <t>ÖSTERGÖTLANDS LÄN</t>
        </is>
      </c>
      <c r="E6739" t="inlineStr">
        <is>
          <t>SÖDERKÖPING</t>
        </is>
      </c>
      <c r="G6739" t="n">
        <v>12.7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28187-2023</t>
        </is>
      </c>
      <c r="B6740" s="1" t="n">
        <v>45099</v>
      </c>
      <c r="C6740" s="1" t="n">
        <v>45710</v>
      </c>
      <c r="D6740" t="inlineStr">
        <is>
          <t>ÖSTERGÖTLANDS LÄN</t>
        </is>
      </c>
      <c r="E6740" t="inlineStr">
        <is>
          <t>MOTALA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28194-2023</t>
        </is>
      </c>
      <c r="B6741" s="1" t="n">
        <v>45099</v>
      </c>
      <c r="C6741" s="1" t="n">
        <v>45710</v>
      </c>
      <c r="D6741" t="inlineStr">
        <is>
          <t>ÖSTERGÖTLANDS LÄN</t>
        </is>
      </c>
      <c r="E6741" t="inlineStr">
        <is>
          <t>MOTALA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28202-2023</t>
        </is>
      </c>
      <c r="B6742" s="1" t="n">
        <v>45099</v>
      </c>
      <c r="C6742" s="1" t="n">
        <v>45710</v>
      </c>
      <c r="D6742" t="inlineStr">
        <is>
          <t>ÖSTERGÖTLANDS LÄN</t>
        </is>
      </c>
      <c r="E6742" t="inlineStr">
        <is>
          <t>MOTALA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28165-2023</t>
        </is>
      </c>
      <c r="B6743" s="1" t="n">
        <v>45099</v>
      </c>
      <c r="C6743" s="1" t="n">
        <v>45710</v>
      </c>
      <c r="D6743" t="inlineStr">
        <is>
          <t>ÖSTERGÖTLANDS LÄN</t>
        </is>
      </c>
      <c r="E6743" t="inlineStr">
        <is>
          <t>SÖDERKÖPING</t>
        </is>
      </c>
      <c r="G6743" t="n">
        <v>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28239-2023</t>
        </is>
      </c>
      <c r="B6744" s="1" t="n">
        <v>45099</v>
      </c>
      <c r="C6744" s="1" t="n">
        <v>45710</v>
      </c>
      <c r="D6744" t="inlineStr">
        <is>
          <t>ÖSTERGÖTLANDS LÄN</t>
        </is>
      </c>
      <c r="E6744" t="inlineStr">
        <is>
          <t>YDRE</t>
        </is>
      </c>
      <c r="G6744" t="n">
        <v>7.6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28184-2023</t>
        </is>
      </c>
      <c r="B6745" s="1" t="n">
        <v>45099</v>
      </c>
      <c r="C6745" s="1" t="n">
        <v>45710</v>
      </c>
      <c r="D6745" t="inlineStr">
        <is>
          <t>ÖSTERGÖTLANDS LÄN</t>
        </is>
      </c>
      <c r="E6745" t="inlineStr">
        <is>
          <t>MOTALA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28259-2023</t>
        </is>
      </c>
      <c r="B6746" s="1" t="n">
        <v>45099</v>
      </c>
      <c r="C6746" s="1" t="n">
        <v>45710</v>
      </c>
      <c r="D6746" t="inlineStr">
        <is>
          <t>ÖSTERGÖTLANDS LÄN</t>
        </is>
      </c>
      <c r="E6746" t="inlineStr">
        <is>
          <t>VALDEMARSVIK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28338-2023</t>
        </is>
      </c>
      <c r="B6747" s="1" t="n">
        <v>45099</v>
      </c>
      <c r="C6747" s="1" t="n">
        <v>45710</v>
      </c>
      <c r="D6747" t="inlineStr">
        <is>
          <t>ÖSTERGÖTLANDS LÄN</t>
        </is>
      </c>
      <c r="E6747" t="inlineStr">
        <is>
          <t>MJÖLBY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28342-2023</t>
        </is>
      </c>
      <c r="B6748" s="1" t="n">
        <v>45099</v>
      </c>
      <c r="C6748" s="1" t="n">
        <v>45710</v>
      </c>
      <c r="D6748" t="inlineStr">
        <is>
          <t>ÖSTERGÖTLANDS LÄN</t>
        </is>
      </c>
      <c r="E6748" t="inlineStr">
        <is>
          <t>MJÖLBY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28477-2023</t>
        </is>
      </c>
      <c r="B6749" s="1" t="n">
        <v>45103</v>
      </c>
      <c r="C6749" s="1" t="n">
        <v>45710</v>
      </c>
      <c r="D6749" t="inlineStr">
        <is>
          <t>ÖSTERGÖTLANDS LÄN</t>
        </is>
      </c>
      <c r="E6749" t="inlineStr">
        <is>
          <t>ÅTVIDABERG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28531-2023</t>
        </is>
      </c>
      <c r="B6750" s="1" t="n">
        <v>45103</v>
      </c>
      <c r="C6750" s="1" t="n">
        <v>45710</v>
      </c>
      <c r="D6750" t="inlineStr">
        <is>
          <t>ÖSTERGÖTLANDS LÄN</t>
        </is>
      </c>
      <c r="E6750" t="inlineStr">
        <is>
          <t>LINKÖPING</t>
        </is>
      </c>
      <c r="G6750" t="n">
        <v>4.1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28556-2023</t>
        </is>
      </c>
      <c r="B6751" s="1" t="n">
        <v>45103</v>
      </c>
      <c r="C6751" s="1" t="n">
        <v>45710</v>
      </c>
      <c r="D6751" t="inlineStr">
        <is>
          <t>ÖSTERGÖTLANDS LÄN</t>
        </is>
      </c>
      <c r="E6751" t="inlineStr">
        <is>
          <t>FINSPÅNG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28559-2023</t>
        </is>
      </c>
      <c r="B6752" s="1" t="n">
        <v>45103</v>
      </c>
      <c r="C6752" s="1" t="n">
        <v>45710</v>
      </c>
      <c r="D6752" t="inlineStr">
        <is>
          <t>ÖSTERGÖTLANDS LÄN</t>
        </is>
      </c>
      <c r="E6752" t="inlineStr">
        <is>
          <t>FINSPÅNG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28732-2023</t>
        </is>
      </c>
      <c r="B6753" s="1" t="n">
        <v>45103</v>
      </c>
      <c r="C6753" s="1" t="n">
        <v>45710</v>
      </c>
      <c r="D6753" t="inlineStr">
        <is>
          <t>ÖSTERGÖTLANDS LÄN</t>
        </is>
      </c>
      <c r="E6753" t="inlineStr">
        <is>
          <t>FINSPÅNG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28722-2023</t>
        </is>
      </c>
      <c r="B6754" s="1" t="n">
        <v>45103</v>
      </c>
      <c r="C6754" s="1" t="n">
        <v>45710</v>
      </c>
      <c r="D6754" t="inlineStr">
        <is>
          <t>ÖSTERGÖTLANDS LÄN</t>
        </is>
      </c>
      <c r="E6754" t="inlineStr">
        <is>
          <t>FINSPÅNG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30943-2023</t>
        </is>
      </c>
      <c r="B6755" s="1" t="n">
        <v>45103</v>
      </c>
      <c r="C6755" s="1" t="n">
        <v>45710</v>
      </c>
      <c r="D6755" t="inlineStr">
        <is>
          <t>ÖSTERGÖTLANDS LÄN</t>
        </is>
      </c>
      <c r="E6755" t="inlineStr">
        <is>
          <t>LINKÖPING</t>
        </is>
      </c>
      <c r="F6755" t="inlineStr">
        <is>
          <t>Övriga statliga verk och myndigheter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30955-2023</t>
        </is>
      </c>
      <c r="B6756" s="1" t="n">
        <v>45103</v>
      </c>
      <c r="C6756" s="1" t="n">
        <v>45710</v>
      </c>
      <c r="D6756" t="inlineStr">
        <is>
          <t>ÖSTERGÖTLANDS LÄN</t>
        </is>
      </c>
      <c r="E6756" t="inlineStr">
        <is>
          <t>MOTALA</t>
        </is>
      </c>
      <c r="F6756" t="inlineStr">
        <is>
          <t>Övriga statliga verk och myndigheter</t>
        </is>
      </c>
      <c r="G6756" t="n">
        <v>7.5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28558-2023</t>
        </is>
      </c>
      <c r="B6757" s="1" t="n">
        <v>45103</v>
      </c>
      <c r="C6757" s="1" t="n">
        <v>45710</v>
      </c>
      <c r="D6757" t="inlineStr">
        <is>
          <t>ÖSTERGÖTLANDS LÄN</t>
        </is>
      </c>
      <c r="E6757" t="inlineStr">
        <is>
          <t>FINSPÅNG</t>
        </is>
      </c>
      <c r="G6757" t="n">
        <v>11.1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28824-2023</t>
        </is>
      </c>
      <c r="B6758" s="1" t="n">
        <v>45104</v>
      </c>
      <c r="C6758" s="1" t="n">
        <v>45710</v>
      </c>
      <c r="D6758" t="inlineStr">
        <is>
          <t>ÖSTERGÖTLANDS LÄN</t>
        </is>
      </c>
      <c r="E6758" t="inlineStr">
        <is>
          <t>ÅTVIDABERG</t>
        </is>
      </c>
      <c r="F6758" t="inlineStr">
        <is>
          <t>Sveaskog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28879-2023</t>
        </is>
      </c>
      <c r="B6759" s="1" t="n">
        <v>45104</v>
      </c>
      <c r="C6759" s="1" t="n">
        <v>45710</v>
      </c>
      <c r="D6759" t="inlineStr">
        <is>
          <t>ÖSTERGÖTLANDS LÄN</t>
        </is>
      </c>
      <c r="E6759" t="inlineStr">
        <is>
          <t>YDRE</t>
        </is>
      </c>
      <c r="F6759" t="inlineStr">
        <is>
          <t>Sveaskog</t>
        </is>
      </c>
      <c r="G6759" t="n">
        <v>17.7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28887-2023</t>
        </is>
      </c>
      <c r="B6760" s="1" t="n">
        <v>45104</v>
      </c>
      <c r="C6760" s="1" t="n">
        <v>45710</v>
      </c>
      <c r="D6760" t="inlineStr">
        <is>
          <t>ÖSTERGÖTLANDS LÄN</t>
        </is>
      </c>
      <c r="E6760" t="inlineStr">
        <is>
          <t>ÅTVIDABERG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28899-2023</t>
        </is>
      </c>
      <c r="B6761" s="1" t="n">
        <v>45104</v>
      </c>
      <c r="C6761" s="1" t="n">
        <v>45710</v>
      </c>
      <c r="D6761" t="inlineStr">
        <is>
          <t>ÖSTERGÖTLANDS LÄN</t>
        </is>
      </c>
      <c r="E6761" t="inlineStr">
        <is>
          <t>MJÖLBY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28876-2023</t>
        </is>
      </c>
      <c r="B6762" s="1" t="n">
        <v>45104</v>
      </c>
      <c r="C6762" s="1" t="n">
        <v>45710</v>
      </c>
      <c r="D6762" t="inlineStr">
        <is>
          <t>ÖSTERGÖTLANDS LÄN</t>
        </is>
      </c>
      <c r="E6762" t="inlineStr">
        <is>
          <t>ÅTVIDABERG</t>
        </is>
      </c>
      <c r="G6762" t="n">
        <v>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28989-2023</t>
        </is>
      </c>
      <c r="B6763" s="1" t="n">
        <v>45104</v>
      </c>
      <c r="C6763" s="1" t="n">
        <v>45710</v>
      </c>
      <c r="D6763" t="inlineStr">
        <is>
          <t>ÖSTERGÖTLANDS LÄN</t>
        </is>
      </c>
      <c r="E6763" t="inlineStr">
        <is>
          <t>YDRE</t>
        </is>
      </c>
      <c r="G6763" t="n">
        <v>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31309-2023</t>
        </is>
      </c>
      <c r="B6764" s="1" t="n">
        <v>45104</v>
      </c>
      <c r="C6764" s="1" t="n">
        <v>45710</v>
      </c>
      <c r="D6764" t="inlineStr">
        <is>
          <t>ÖSTERGÖTLANDS LÄN</t>
        </is>
      </c>
      <c r="E6764" t="inlineStr">
        <is>
          <t>NORRKÖPING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28878-2023</t>
        </is>
      </c>
      <c r="B6765" s="1" t="n">
        <v>45104</v>
      </c>
      <c r="C6765" s="1" t="n">
        <v>45710</v>
      </c>
      <c r="D6765" t="inlineStr">
        <is>
          <t>ÖSTERGÖTLANDS LÄN</t>
        </is>
      </c>
      <c r="E6765" t="inlineStr">
        <is>
          <t>ÅTVIDABERG</t>
        </is>
      </c>
      <c r="G6765" t="n">
        <v>0.3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28915-2023</t>
        </is>
      </c>
      <c r="B6766" s="1" t="n">
        <v>45104</v>
      </c>
      <c r="C6766" s="1" t="n">
        <v>45710</v>
      </c>
      <c r="D6766" t="inlineStr">
        <is>
          <t>ÖSTERGÖTLANDS LÄN</t>
        </is>
      </c>
      <c r="E6766" t="inlineStr">
        <is>
          <t>YDRE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28900-2023</t>
        </is>
      </c>
      <c r="B6767" s="1" t="n">
        <v>45104</v>
      </c>
      <c r="C6767" s="1" t="n">
        <v>45710</v>
      </c>
      <c r="D6767" t="inlineStr">
        <is>
          <t>ÖSTERGÖTLANDS LÄN</t>
        </is>
      </c>
      <c r="E6767" t="inlineStr">
        <is>
          <t>MJÖLBY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28913-2023</t>
        </is>
      </c>
      <c r="B6768" s="1" t="n">
        <v>45104</v>
      </c>
      <c r="C6768" s="1" t="n">
        <v>45710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28917-2023</t>
        </is>
      </c>
      <c r="B6769" s="1" t="n">
        <v>45104</v>
      </c>
      <c r="C6769" s="1" t="n">
        <v>45710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4.3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29034-2023</t>
        </is>
      </c>
      <c r="B6770" s="1" t="n">
        <v>45104</v>
      </c>
      <c r="C6770" s="1" t="n">
        <v>45710</v>
      </c>
      <c r="D6770" t="inlineStr">
        <is>
          <t>ÖSTERGÖTLANDS LÄN</t>
        </is>
      </c>
      <c r="E6770" t="inlineStr">
        <is>
          <t>YDRE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29155-2023</t>
        </is>
      </c>
      <c r="B6771" s="1" t="n">
        <v>45105</v>
      </c>
      <c r="C6771" s="1" t="n">
        <v>45710</v>
      </c>
      <c r="D6771" t="inlineStr">
        <is>
          <t>ÖSTERGÖTLANDS LÄN</t>
        </is>
      </c>
      <c r="E6771" t="inlineStr">
        <is>
          <t>KINDA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29127-2023</t>
        </is>
      </c>
      <c r="B6772" s="1" t="n">
        <v>45105</v>
      </c>
      <c r="C6772" s="1" t="n">
        <v>45710</v>
      </c>
      <c r="D6772" t="inlineStr">
        <is>
          <t>ÖSTERGÖTLANDS LÄN</t>
        </is>
      </c>
      <c r="E6772" t="inlineStr">
        <is>
          <t>YDRE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29129-2023</t>
        </is>
      </c>
      <c r="B6773" s="1" t="n">
        <v>45105</v>
      </c>
      <c r="C6773" s="1" t="n">
        <v>45710</v>
      </c>
      <c r="D6773" t="inlineStr">
        <is>
          <t>ÖSTERGÖTLANDS LÄN</t>
        </is>
      </c>
      <c r="E6773" t="inlineStr">
        <is>
          <t>YDRE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31635-2023</t>
        </is>
      </c>
      <c r="B6774" s="1" t="n">
        <v>45105</v>
      </c>
      <c r="C6774" s="1" t="n">
        <v>45710</v>
      </c>
      <c r="D6774" t="inlineStr">
        <is>
          <t>ÖSTERGÖTLANDS LÄN</t>
        </is>
      </c>
      <c r="E6774" t="inlineStr">
        <is>
          <t>LINKÖPING</t>
        </is>
      </c>
      <c r="F6774" t="inlineStr">
        <is>
          <t>Övriga statliga verk och myndigheter</t>
        </is>
      </c>
      <c r="G6774" t="n">
        <v>4.6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29128-2023</t>
        </is>
      </c>
      <c r="B6775" s="1" t="n">
        <v>45105</v>
      </c>
      <c r="C6775" s="1" t="n">
        <v>45710</v>
      </c>
      <c r="D6775" t="inlineStr">
        <is>
          <t>ÖSTERGÖTLANDS LÄN</t>
        </is>
      </c>
      <c r="E6775" t="inlineStr">
        <is>
          <t>YDRE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29358-2023</t>
        </is>
      </c>
      <c r="B6776" s="1" t="n">
        <v>45106</v>
      </c>
      <c r="C6776" s="1" t="n">
        <v>45710</v>
      </c>
      <c r="D6776" t="inlineStr">
        <is>
          <t>ÖSTERGÖTLANDS LÄN</t>
        </is>
      </c>
      <c r="E6776" t="inlineStr">
        <is>
          <t>ÅTVIDABERG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29396-2023</t>
        </is>
      </c>
      <c r="B6777" s="1" t="n">
        <v>45106</v>
      </c>
      <c r="C6777" s="1" t="n">
        <v>45710</v>
      </c>
      <c r="D6777" t="inlineStr">
        <is>
          <t>ÖSTERGÖTLANDS LÄN</t>
        </is>
      </c>
      <c r="E6777" t="inlineStr">
        <is>
          <t>BOXHOLM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29412-2023</t>
        </is>
      </c>
      <c r="B6778" s="1" t="n">
        <v>45106</v>
      </c>
      <c r="C6778" s="1" t="n">
        <v>45710</v>
      </c>
      <c r="D6778" t="inlineStr">
        <is>
          <t>ÖSTERGÖTLANDS LÄN</t>
        </is>
      </c>
      <c r="E6778" t="inlineStr">
        <is>
          <t>LINKÖPING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29411-2023</t>
        </is>
      </c>
      <c r="B6779" s="1" t="n">
        <v>45106</v>
      </c>
      <c r="C6779" s="1" t="n">
        <v>45710</v>
      </c>
      <c r="D6779" t="inlineStr">
        <is>
          <t>ÖSTERGÖTLANDS LÄN</t>
        </is>
      </c>
      <c r="E6779" t="inlineStr">
        <is>
          <t>LINKÖPING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29453-2023</t>
        </is>
      </c>
      <c r="B6780" s="1" t="n">
        <v>45106</v>
      </c>
      <c r="C6780" s="1" t="n">
        <v>45710</v>
      </c>
      <c r="D6780" t="inlineStr">
        <is>
          <t>ÖSTERGÖTLANDS LÄN</t>
        </is>
      </c>
      <c r="E6780" t="inlineStr">
        <is>
          <t>MOTALA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29413-2023</t>
        </is>
      </c>
      <c r="B6781" s="1" t="n">
        <v>45106</v>
      </c>
      <c r="C6781" s="1" t="n">
        <v>45710</v>
      </c>
      <c r="D6781" t="inlineStr">
        <is>
          <t>ÖSTERGÖTLANDS LÄN</t>
        </is>
      </c>
      <c r="E6781" t="inlineStr">
        <is>
          <t>LINKÖPING</t>
        </is>
      </c>
      <c r="G6781" t="n">
        <v>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29517-2023</t>
        </is>
      </c>
      <c r="B6782" s="1" t="n">
        <v>45106</v>
      </c>
      <c r="C6782" s="1" t="n">
        <v>45710</v>
      </c>
      <c r="D6782" t="inlineStr">
        <is>
          <t>ÖSTERGÖTLANDS LÄN</t>
        </is>
      </c>
      <c r="E6782" t="inlineStr">
        <is>
          <t>SÖDERKÖPING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29484-2023</t>
        </is>
      </c>
      <c r="B6783" s="1" t="n">
        <v>45106</v>
      </c>
      <c r="C6783" s="1" t="n">
        <v>45710</v>
      </c>
      <c r="D6783" t="inlineStr">
        <is>
          <t>ÖSTERGÖTLANDS LÄN</t>
        </is>
      </c>
      <c r="E6783" t="inlineStr">
        <is>
          <t>YDRE</t>
        </is>
      </c>
      <c r="G6783" t="n">
        <v>2.5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29514-2023</t>
        </is>
      </c>
      <c r="B6784" s="1" t="n">
        <v>45106</v>
      </c>
      <c r="C6784" s="1" t="n">
        <v>45710</v>
      </c>
      <c r="D6784" t="inlineStr">
        <is>
          <t>ÖSTERGÖTLANDS LÄN</t>
        </is>
      </c>
      <c r="E6784" t="inlineStr">
        <is>
          <t>SÖDERKÖPING</t>
        </is>
      </c>
      <c r="G6784" t="n">
        <v>2.6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29519-2023</t>
        </is>
      </c>
      <c r="B6785" s="1" t="n">
        <v>45106</v>
      </c>
      <c r="C6785" s="1" t="n">
        <v>45710</v>
      </c>
      <c r="D6785" t="inlineStr">
        <is>
          <t>ÖSTERGÖTLANDS LÄN</t>
        </is>
      </c>
      <c r="E6785" t="inlineStr">
        <is>
          <t>SÖDERKÖPING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31834-2023</t>
        </is>
      </c>
      <c r="B6786" s="1" t="n">
        <v>45106</v>
      </c>
      <c r="C6786" s="1" t="n">
        <v>45710</v>
      </c>
      <c r="D6786" t="inlineStr">
        <is>
          <t>ÖSTERGÖTLANDS LÄN</t>
        </is>
      </c>
      <c r="E6786" t="inlineStr">
        <is>
          <t>NORRKÖPING</t>
        </is>
      </c>
      <c r="G6786" t="n">
        <v>0.3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31844-2023</t>
        </is>
      </c>
      <c r="B6787" s="1" t="n">
        <v>45106</v>
      </c>
      <c r="C6787" s="1" t="n">
        <v>45710</v>
      </c>
      <c r="D6787" t="inlineStr">
        <is>
          <t>ÖSTERGÖTLANDS LÄN</t>
        </is>
      </c>
      <c r="E6787" t="inlineStr">
        <is>
          <t>NORRKÖPING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31824-2023</t>
        </is>
      </c>
      <c r="B6788" s="1" t="n">
        <v>45106</v>
      </c>
      <c r="C6788" s="1" t="n">
        <v>45710</v>
      </c>
      <c r="D6788" t="inlineStr">
        <is>
          <t>ÖSTERGÖTLANDS LÄN</t>
        </is>
      </c>
      <c r="E6788" t="inlineStr">
        <is>
          <t>NORRKÖPING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31838-2023</t>
        </is>
      </c>
      <c r="B6789" s="1" t="n">
        <v>45106</v>
      </c>
      <c r="C6789" s="1" t="n">
        <v>45710</v>
      </c>
      <c r="D6789" t="inlineStr">
        <is>
          <t>ÖSTERGÖTLANDS LÄN</t>
        </is>
      </c>
      <c r="E6789" t="inlineStr">
        <is>
          <t>NORRKÖPING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31850-2023</t>
        </is>
      </c>
      <c r="B6790" s="1" t="n">
        <v>45106</v>
      </c>
      <c r="C6790" s="1" t="n">
        <v>45710</v>
      </c>
      <c r="D6790" t="inlineStr">
        <is>
          <t>ÖSTERGÖTLANDS LÄN</t>
        </is>
      </c>
      <c r="E6790" t="inlineStr">
        <is>
          <t>NORRKÖPING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31813-2023</t>
        </is>
      </c>
      <c r="B6791" s="1" t="n">
        <v>45106</v>
      </c>
      <c r="C6791" s="1" t="n">
        <v>45710</v>
      </c>
      <c r="D6791" t="inlineStr">
        <is>
          <t>ÖSTERGÖTLANDS LÄN</t>
        </is>
      </c>
      <c r="E6791" t="inlineStr">
        <is>
          <t>NORRKÖPING</t>
        </is>
      </c>
      <c r="G6791" t="n">
        <v>10.3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31852-2023</t>
        </is>
      </c>
      <c r="B6792" s="1" t="n">
        <v>45106</v>
      </c>
      <c r="C6792" s="1" t="n">
        <v>45710</v>
      </c>
      <c r="D6792" t="inlineStr">
        <is>
          <t>ÖSTERGÖTLANDS LÄN</t>
        </is>
      </c>
      <c r="E6792" t="inlineStr">
        <is>
          <t>NORRKÖPING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29717-2023</t>
        </is>
      </c>
      <c r="B6793" s="1" t="n">
        <v>45107</v>
      </c>
      <c r="C6793" s="1" t="n">
        <v>45710</v>
      </c>
      <c r="D6793" t="inlineStr">
        <is>
          <t>ÖSTERGÖTLANDS LÄN</t>
        </is>
      </c>
      <c r="E6793" t="inlineStr">
        <is>
          <t>KINDA</t>
        </is>
      </c>
      <c r="G6793" t="n">
        <v>2.9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29834-2023</t>
        </is>
      </c>
      <c r="B6794" s="1" t="n">
        <v>45107</v>
      </c>
      <c r="C6794" s="1" t="n">
        <v>45710</v>
      </c>
      <c r="D6794" t="inlineStr">
        <is>
          <t>ÖSTERGÖTLANDS LÄN</t>
        </is>
      </c>
      <c r="E6794" t="inlineStr">
        <is>
          <t>LINKÖPING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29794-2023</t>
        </is>
      </c>
      <c r="B6795" s="1" t="n">
        <v>45107</v>
      </c>
      <c r="C6795" s="1" t="n">
        <v>45710</v>
      </c>
      <c r="D6795" t="inlineStr">
        <is>
          <t>ÖSTERGÖTLANDS LÄN</t>
        </is>
      </c>
      <c r="E6795" t="inlineStr">
        <is>
          <t>KINDA</t>
        </is>
      </c>
      <c r="G6795" t="n">
        <v>3.8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29836-2023</t>
        </is>
      </c>
      <c r="B6796" s="1" t="n">
        <v>45107</v>
      </c>
      <c r="C6796" s="1" t="n">
        <v>45710</v>
      </c>
      <c r="D6796" t="inlineStr">
        <is>
          <t>ÖSTERGÖTLANDS LÄN</t>
        </is>
      </c>
      <c r="E6796" t="inlineStr">
        <is>
          <t>LINKÖPING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29896-2023</t>
        </is>
      </c>
      <c r="B6797" s="1" t="n">
        <v>45107</v>
      </c>
      <c r="C6797" s="1" t="n">
        <v>45710</v>
      </c>
      <c r="D6797" t="inlineStr">
        <is>
          <t>ÖSTERGÖTLANDS LÄN</t>
        </is>
      </c>
      <c r="E6797" t="inlineStr">
        <is>
          <t>LINKÖPING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29909-2023</t>
        </is>
      </c>
      <c r="B6798" s="1" t="n">
        <v>45107</v>
      </c>
      <c r="C6798" s="1" t="n">
        <v>45710</v>
      </c>
      <c r="D6798" t="inlineStr">
        <is>
          <t>ÖSTERGÖTLANDS LÄN</t>
        </is>
      </c>
      <c r="E6798" t="inlineStr">
        <is>
          <t>ÅTVIDABERG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29922-2023</t>
        </is>
      </c>
      <c r="B6799" s="1" t="n">
        <v>45107</v>
      </c>
      <c r="C6799" s="1" t="n">
        <v>45710</v>
      </c>
      <c r="D6799" t="inlineStr">
        <is>
          <t>ÖSTERGÖTLANDS LÄN</t>
        </is>
      </c>
      <c r="E6799" t="inlineStr">
        <is>
          <t>FINSPÅNG</t>
        </is>
      </c>
      <c r="G6799" t="n">
        <v>12.6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29923-2023</t>
        </is>
      </c>
      <c r="B6800" s="1" t="n">
        <v>45107</v>
      </c>
      <c r="C6800" s="1" t="n">
        <v>45710</v>
      </c>
      <c r="D6800" t="inlineStr">
        <is>
          <t>ÖSTERGÖTLANDS LÄN</t>
        </is>
      </c>
      <c r="E6800" t="inlineStr">
        <is>
          <t>FINSPÅNG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32165-2023</t>
        </is>
      </c>
      <c r="B6801" s="1" t="n">
        <v>45107</v>
      </c>
      <c r="C6801" s="1" t="n">
        <v>45710</v>
      </c>
      <c r="D6801" t="inlineStr">
        <is>
          <t>ÖSTERGÖTLANDS LÄN</t>
        </is>
      </c>
      <c r="E6801" t="inlineStr">
        <is>
          <t>LINKÖPING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30040-2023</t>
        </is>
      </c>
      <c r="B6802" s="1" t="n">
        <v>45110</v>
      </c>
      <c r="C6802" s="1" t="n">
        <v>45710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30062-2023</t>
        </is>
      </c>
      <c r="B6803" s="1" t="n">
        <v>45110</v>
      </c>
      <c r="C6803" s="1" t="n">
        <v>45710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30120-2023</t>
        </is>
      </c>
      <c r="B6804" s="1" t="n">
        <v>45110</v>
      </c>
      <c r="C6804" s="1" t="n">
        <v>45710</v>
      </c>
      <c r="D6804" t="inlineStr">
        <is>
          <t>ÖSTERGÖTLANDS LÄN</t>
        </is>
      </c>
      <c r="E6804" t="inlineStr">
        <is>
          <t>KINDA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30154-2023</t>
        </is>
      </c>
      <c r="B6805" s="1" t="n">
        <v>45110</v>
      </c>
      <c r="C6805" s="1" t="n">
        <v>45710</v>
      </c>
      <c r="D6805" t="inlineStr">
        <is>
          <t>ÖSTERGÖTLANDS LÄN</t>
        </is>
      </c>
      <c r="E6805" t="inlineStr">
        <is>
          <t>NORRKÖPING</t>
        </is>
      </c>
      <c r="G6805" t="n">
        <v>6.4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30059-2023</t>
        </is>
      </c>
      <c r="B6806" s="1" t="n">
        <v>45110</v>
      </c>
      <c r="C6806" s="1" t="n">
        <v>45710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30049-2023</t>
        </is>
      </c>
      <c r="B6807" s="1" t="n">
        <v>45110</v>
      </c>
      <c r="C6807" s="1" t="n">
        <v>45710</v>
      </c>
      <c r="D6807" t="inlineStr">
        <is>
          <t>ÖSTERGÖTLANDS LÄN</t>
        </is>
      </c>
      <c r="E6807" t="inlineStr">
        <is>
          <t>YDRE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30108-2023</t>
        </is>
      </c>
      <c r="B6808" s="1" t="n">
        <v>45110</v>
      </c>
      <c r="C6808" s="1" t="n">
        <v>45710</v>
      </c>
      <c r="D6808" t="inlineStr">
        <is>
          <t>ÖSTERGÖTLANDS LÄN</t>
        </is>
      </c>
      <c r="E6808" t="inlineStr">
        <is>
          <t>YDRE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30095-2023</t>
        </is>
      </c>
      <c r="B6809" s="1" t="n">
        <v>45110</v>
      </c>
      <c r="C6809" s="1" t="n">
        <v>45710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30129-2023</t>
        </is>
      </c>
      <c r="B6810" s="1" t="n">
        <v>45110</v>
      </c>
      <c r="C6810" s="1" t="n">
        <v>45710</v>
      </c>
      <c r="D6810" t="inlineStr">
        <is>
          <t>ÖSTERGÖTLANDS LÄN</t>
        </is>
      </c>
      <c r="E6810" t="inlineStr">
        <is>
          <t>YDRE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30159-2023</t>
        </is>
      </c>
      <c r="B6811" s="1" t="n">
        <v>45110</v>
      </c>
      <c r="C6811" s="1" t="n">
        <v>45710</v>
      </c>
      <c r="D6811" t="inlineStr">
        <is>
          <t>ÖSTERGÖTLANDS LÄN</t>
        </is>
      </c>
      <c r="E6811" t="inlineStr">
        <is>
          <t>NORRKÖPING</t>
        </is>
      </c>
      <c r="G6811" t="n">
        <v>5.5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30243-2023</t>
        </is>
      </c>
      <c r="B6812" s="1" t="n">
        <v>45110</v>
      </c>
      <c r="C6812" s="1" t="n">
        <v>45710</v>
      </c>
      <c r="D6812" t="inlineStr">
        <is>
          <t>ÖSTERGÖTLANDS LÄN</t>
        </is>
      </c>
      <c r="E6812" t="inlineStr">
        <is>
          <t>NORRKÖPING</t>
        </is>
      </c>
      <c r="F6812" t="inlineStr">
        <is>
          <t>Holmen skog AB</t>
        </is>
      </c>
      <c r="G6812" t="n">
        <v>2.5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30126-2023</t>
        </is>
      </c>
      <c r="B6813" s="1" t="n">
        <v>45110</v>
      </c>
      <c r="C6813" s="1" t="n">
        <v>45710</v>
      </c>
      <c r="D6813" t="inlineStr">
        <is>
          <t>ÖSTERGÖTLANDS LÄN</t>
        </is>
      </c>
      <c r="E6813" t="inlineStr">
        <is>
          <t>YDRE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30156-2023</t>
        </is>
      </c>
      <c r="B6814" s="1" t="n">
        <v>45110</v>
      </c>
      <c r="C6814" s="1" t="n">
        <v>45710</v>
      </c>
      <c r="D6814" t="inlineStr">
        <is>
          <t>ÖSTERGÖTLANDS LÄN</t>
        </is>
      </c>
      <c r="E6814" t="inlineStr">
        <is>
          <t>NORRKÖPING</t>
        </is>
      </c>
      <c r="G6814" t="n">
        <v>5.3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30119-2023</t>
        </is>
      </c>
      <c r="B6815" s="1" t="n">
        <v>45110</v>
      </c>
      <c r="C6815" s="1" t="n">
        <v>45710</v>
      </c>
      <c r="D6815" t="inlineStr">
        <is>
          <t>ÖSTERGÖTLANDS LÄN</t>
        </is>
      </c>
      <c r="E6815" t="inlineStr">
        <is>
          <t>ÅTVIDABERG</t>
        </is>
      </c>
      <c r="F6815" t="inlineStr">
        <is>
          <t>Övriga Aktiebolag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30157-2023</t>
        </is>
      </c>
      <c r="B6816" s="1" t="n">
        <v>45110</v>
      </c>
      <c r="C6816" s="1" t="n">
        <v>45710</v>
      </c>
      <c r="D6816" t="inlineStr">
        <is>
          <t>ÖSTERGÖTLANDS LÄN</t>
        </is>
      </c>
      <c r="E6816" t="inlineStr">
        <is>
          <t>NORRKÖPING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32425-2023</t>
        </is>
      </c>
      <c r="B6817" s="1" t="n">
        <v>45110</v>
      </c>
      <c r="C6817" s="1" t="n">
        <v>45710</v>
      </c>
      <c r="D6817" t="inlineStr">
        <is>
          <t>ÖSTERGÖTLANDS LÄN</t>
        </is>
      </c>
      <c r="E6817" t="inlineStr">
        <is>
          <t>FINSPÅNG</t>
        </is>
      </c>
      <c r="G6817" t="n">
        <v>5.7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32429-2023</t>
        </is>
      </c>
      <c r="B6818" s="1" t="n">
        <v>45110</v>
      </c>
      <c r="C6818" s="1" t="n">
        <v>45710</v>
      </c>
      <c r="D6818" t="inlineStr">
        <is>
          <t>ÖSTERGÖTLANDS LÄN</t>
        </is>
      </c>
      <c r="E6818" t="inlineStr">
        <is>
          <t>FINSPÅNG</t>
        </is>
      </c>
      <c r="G6818" t="n">
        <v>3.4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32423-2023</t>
        </is>
      </c>
      <c r="B6819" s="1" t="n">
        <v>45110</v>
      </c>
      <c r="C6819" s="1" t="n">
        <v>45710</v>
      </c>
      <c r="D6819" t="inlineStr">
        <is>
          <t>ÖSTERGÖTLANDS LÄN</t>
        </is>
      </c>
      <c r="E6819" t="inlineStr">
        <is>
          <t>FINSPÅNG</t>
        </is>
      </c>
      <c r="G6819" t="n">
        <v>6.4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32422-2023</t>
        </is>
      </c>
      <c r="B6820" s="1" t="n">
        <v>45110</v>
      </c>
      <c r="C6820" s="1" t="n">
        <v>45710</v>
      </c>
      <c r="D6820" t="inlineStr">
        <is>
          <t>ÖSTERGÖTLANDS LÄN</t>
        </is>
      </c>
      <c r="E6820" t="inlineStr">
        <is>
          <t>FINSPÅNG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32431-2023</t>
        </is>
      </c>
      <c r="B6821" s="1" t="n">
        <v>45110</v>
      </c>
      <c r="C6821" s="1" t="n">
        <v>45710</v>
      </c>
      <c r="D6821" t="inlineStr">
        <is>
          <t>ÖSTERGÖTLANDS LÄN</t>
        </is>
      </c>
      <c r="E6821" t="inlineStr">
        <is>
          <t>FINSPÅNG</t>
        </is>
      </c>
      <c r="G6821" t="n">
        <v>2.2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32534-2023</t>
        </is>
      </c>
      <c r="B6822" s="1" t="n">
        <v>45110</v>
      </c>
      <c r="C6822" s="1" t="n">
        <v>45710</v>
      </c>
      <c r="D6822" t="inlineStr">
        <is>
          <t>ÖSTERGÖTLANDS LÄN</t>
        </is>
      </c>
      <c r="E6822" t="inlineStr">
        <is>
          <t>FINSPÅNG</t>
        </is>
      </c>
      <c r="G6822" t="n">
        <v>5.1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32427-2023</t>
        </is>
      </c>
      <c r="B6823" s="1" t="n">
        <v>45110</v>
      </c>
      <c r="C6823" s="1" t="n">
        <v>45710</v>
      </c>
      <c r="D6823" t="inlineStr">
        <is>
          <t>ÖSTERGÖTLANDS LÄN</t>
        </is>
      </c>
      <c r="E6823" t="inlineStr">
        <is>
          <t>FINSPÅNG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30465-2023</t>
        </is>
      </c>
      <c r="B6824" s="1" t="n">
        <v>45111</v>
      </c>
      <c r="C6824" s="1" t="n">
        <v>45710</v>
      </c>
      <c r="D6824" t="inlineStr">
        <is>
          <t>ÖSTERGÖTLANDS LÄN</t>
        </is>
      </c>
      <c r="E6824" t="inlineStr">
        <is>
          <t>LINKÖPING</t>
        </is>
      </c>
      <c r="F6824" t="inlineStr">
        <is>
          <t>Övriga Aktiebolag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30481-2023</t>
        </is>
      </c>
      <c r="B6825" s="1" t="n">
        <v>45111</v>
      </c>
      <c r="C6825" s="1" t="n">
        <v>45710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30468-2023</t>
        </is>
      </c>
      <c r="B6826" s="1" t="n">
        <v>45111</v>
      </c>
      <c r="C6826" s="1" t="n">
        <v>45710</v>
      </c>
      <c r="D6826" t="inlineStr">
        <is>
          <t>ÖSTERGÖTLANDS LÄN</t>
        </is>
      </c>
      <c r="E6826" t="inlineStr">
        <is>
          <t>LINKÖPING</t>
        </is>
      </c>
      <c r="G6826" t="n">
        <v>10.1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30461-2023</t>
        </is>
      </c>
      <c r="B6827" s="1" t="n">
        <v>45111</v>
      </c>
      <c r="C6827" s="1" t="n">
        <v>45710</v>
      </c>
      <c r="D6827" t="inlineStr">
        <is>
          <t>ÖSTERGÖTLANDS LÄN</t>
        </is>
      </c>
      <c r="E6827" t="inlineStr">
        <is>
          <t>KINDA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30467-2023</t>
        </is>
      </c>
      <c r="B6828" s="1" t="n">
        <v>45111</v>
      </c>
      <c r="C6828" s="1" t="n">
        <v>45710</v>
      </c>
      <c r="D6828" t="inlineStr">
        <is>
          <t>ÖSTERGÖTLANDS LÄN</t>
        </is>
      </c>
      <c r="E6828" t="inlineStr">
        <is>
          <t>KINDA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30471-2023</t>
        </is>
      </c>
      <c r="B6829" s="1" t="n">
        <v>45111</v>
      </c>
      <c r="C6829" s="1" t="n">
        <v>45710</v>
      </c>
      <c r="D6829" t="inlineStr">
        <is>
          <t>ÖSTERGÖTLANDS LÄN</t>
        </is>
      </c>
      <c r="E6829" t="inlineStr">
        <is>
          <t>LINKÖPING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30459-2023</t>
        </is>
      </c>
      <c r="B6830" s="1" t="n">
        <v>45111</v>
      </c>
      <c r="C6830" s="1" t="n">
        <v>45710</v>
      </c>
      <c r="D6830" t="inlineStr">
        <is>
          <t>ÖSTERGÖTLANDS LÄN</t>
        </is>
      </c>
      <c r="E6830" t="inlineStr">
        <is>
          <t>KINDA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30469-2023</t>
        </is>
      </c>
      <c r="B6831" s="1" t="n">
        <v>45111</v>
      </c>
      <c r="C6831" s="1" t="n">
        <v>45710</v>
      </c>
      <c r="D6831" t="inlineStr">
        <is>
          <t>ÖSTERGÖTLANDS LÄN</t>
        </is>
      </c>
      <c r="E6831" t="inlineStr">
        <is>
          <t>KINDA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30547-2023</t>
        </is>
      </c>
      <c r="B6832" s="1" t="n">
        <v>45111</v>
      </c>
      <c r="C6832" s="1" t="n">
        <v>45710</v>
      </c>
      <c r="D6832" t="inlineStr">
        <is>
          <t>ÖSTERGÖTLANDS LÄN</t>
        </is>
      </c>
      <c r="E6832" t="inlineStr">
        <is>
          <t>LINKÖPING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30337-2023</t>
        </is>
      </c>
      <c r="B6833" s="1" t="n">
        <v>45111</v>
      </c>
      <c r="C6833" s="1" t="n">
        <v>45710</v>
      </c>
      <c r="D6833" t="inlineStr">
        <is>
          <t>ÖSTERGÖTLANDS LÄN</t>
        </is>
      </c>
      <c r="E6833" t="inlineStr">
        <is>
          <t>ÅTVIDABERG</t>
        </is>
      </c>
      <c r="G6833" t="n">
        <v>6.4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30377-2023</t>
        </is>
      </c>
      <c r="B6834" s="1" t="n">
        <v>45111</v>
      </c>
      <c r="C6834" s="1" t="n">
        <v>45710</v>
      </c>
      <c r="D6834" t="inlineStr">
        <is>
          <t>ÖSTERGÖTLANDS LÄN</t>
        </is>
      </c>
      <c r="E6834" t="inlineStr">
        <is>
          <t>MOTALA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30338-2023</t>
        </is>
      </c>
      <c r="B6835" s="1" t="n">
        <v>45111</v>
      </c>
      <c r="C6835" s="1" t="n">
        <v>45710</v>
      </c>
      <c r="D6835" t="inlineStr">
        <is>
          <t>ÖSTERGÖTLANDS LÄN</t>
        </is>
      </c>
      <c r="E6835" t="inlineStr">
        <is>
          <t>ÅTVIDABERG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30551-2023</t>
        </is>
      </c>
      <c r="B6836" s="1" t="n">
        <v>45111</v>
      </c>
      <c r="C6836" s="1" t="n">
        <v>45710</v>
      </c>
      <c r="D6836" t="inlineStr">
        <is>
          <t>ÖSTERGÖTLANDS LÄN</t>
        </is>
      </c>
      <c r="E6836" t="inlineStr">
        <is>
          <t>LINKÖPING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32610-2023</t>
        </is>
      </c>
      <c r="B6837" s="1" t="n">
        <v>45111</v>
      </c>
      <c r="C6837" s="1" t="n">
        <v>45710</v>
      </c>
      <c r="D6837" t="inlineStr">
        <is>
          <t>ÖSTERGÖTLANDS LÄN</t>
        </is>
      </c>
      <c r="E6837" t="inlineStr">
        <is>
          <t>KINDA</t>
        </is>
      </c>
      <c r="G6837" t="n">
        <v>8.9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30591-2023</t>
        </is>
      </c>
      <c r="B6838" s="1" t="n">
        <v>45112</v>
      </c>
      <c r="C6838" s="1" t="n">
        <v>45710</v>
      </c>
      <c r="D6838" t="inlineStr">
        <is>
          <t>ÖSTERGÖTLANDS LÄN</t>
        </is>
      </c>
      <c r="E6838" t="inlineStr">
        <is>
          <t>NORRKÖPING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30603-2023</t>
        </is>
      </c>
      <c r="B6839" s="1" t="n">
        <v>45112</v>
      </c>
      <c r="C6839" s="1" t="n">
        <v>45710</v>
      </c>
      <c r="D6839" t="inlineStr">
        <is>
          <t>ÖSTERGÖTLANDS LÄN</t>
        </is>
      </c>
      <c r="E6839" t="inlineStr">
        <is>
          <t>MOTALA</t>
        </is>
      </c>
      <c r="G6839" t="n">
        <v>4.1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30649-2023</t>
        </is>
      </c>
      <c r="B6840" s="1" t="n">
        <v>45112</v>
      </c>
      <c r="C6840" s="1" t="n">
        <v>45710</v>
      </c>
      <c r="D6840" t="inlineStr">
        <is>
          <t>ÖSTERGÖTLANDS LÄN</t>
        </is>
      </c>
      <c r="E6840" t="inlineStr">
        <is>
          <t>ÅTVIDABERG</t>
        </is>
      </c>
      <c r="F6840" t="inlineStr">
        <is>
          <t>Övriga Aktiebolag</t>
        </is>
      </c>
      <c r="G6840" t="n">
        <v>6.8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30706-2023</t>
        </is>
      </c>
      <c r="B6841" s="1" t="n">
        <v>45112</v>
      </c>
      <c r="C6841" s="1" t="n">
        <v>45710</v>
      </c>
      <c r="D6841" t="inlineStr">
        <is>
          <t>ÖSTERGÖTLANDS LÄN</t>
        </is>
      </c>
      <c r="E6841" t="inlineStr">
        <is>
          <t>NORRKÖPING</t>
        </is>
      </c>
      <c r="G6841" t="n">
        <v>2.5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30723-2023</t>
        </is>
      </c>
      <c r="B6842" s="1" t="n">
        <v>45112</v>
      </c>
      <c r="C6842" s="1" t="n">
        <v>45710</v>
      </c>
      <c r="D6842" t="inlineStr">
        <is>
          <t>ÖSTERGÖTLANDS LÄN</t>
        </is>
      </c>
      <c r="E6842" t="inlineStr">
        <is>
          <t>KINDA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30598-2023</t>
        </is>
      </c>
      <c r="B6843" s="1" t="n">
        <v>45112</v>
      </c>
      <c r="C6843" s="1" t="n">
        <v>45710</v>
      </c>
      <c r="D6843" t="inlineStr">
        <is>
          <t>ÖSTERGÖTLANDS LÄN</t>
        </is>
      </c>
      <c r="E6843" t="inlineStr">
        <is>
          <t>NORRKÖPING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30596-2023</t>
        </is>
      </c>
      <c r="B6844" s="1" t="n">
        <v>45112</v>
      </c>
      <c r="C6844" s="1" t="n">
        <v>45710</v>
      </c>
      <c r="D6844" t="inlineStr">
        <is>
          <t>ÖSTERGÖTLANDS LÄN</t>
        </is>
      </c>
      <c r="E6844" t="inlineStr">
        <is>
          <t>NORRKÖPING</t>
        </is>
      </c>
      <c r="G6844" t="n">
        <v>4.2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30593-2023</t>
        </is>
      </c>
      <c r="B6845" s="1" t="n">
        <v>45112</v>
      </c>
      <c r="C6845" s="1" t="n">
        <v>45710</v>
      </c>
      <c r="D6845" t="inlineStr">
        <is>
          <t>ÖSTERGÖTLANDS LÄN</t>
        </is>
      </c>
      <c r="E6845" t="inlineStr">
        <is>
          <t>NORRKÖPING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30605-2023</t>
        </is>
      </c>
      <c r="B6846" s="1" t="n">
        <v>45112</v>
      </c>
      <c r="C6846" s="1" t="n">
        <v>45710</v>
      </c>
      <c r="D6846" t="inlineStr">
        <is>
          <t>ÖSTERGÖTLANDS LÄN</t>
        </is>
      </c>
      <c r="E6846" t="inlineStr">
        <is>
          <t>NORRKÖPING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30688-2023</t>
        </is>
      </c>
      <c r="B6847" s="1" t="n">
        <v>45112</v>
      </c>
      <c r="C6847" s="1" t="n">
        <v>45710</v>
      </c>
      <c r="D6847" t="inlineStr">
        <is>
          <t>ÖSTERGÖTLANDS LÄN</t>
        </is>
      </c>
      <c r="E6847" t="inlineStr">
        <is>
          <t>LINKÖPING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30707-2023</t>
        </is>
      </c>
      <c r="B6848" s="1" t="n">
        <v>45112</v>
      </c>
      <c r="C6848" s="1" t="n">
        <v>45710</v>
      </c>
      <c r="D6848" t="inlineStr">
        <is>
          <t>ÖSTERGÖTLANDS LÄN</t>
        </is>
      </c>
      <c r="E6848" t="inlineStr">
        <is>
          <t>NORRKÖPING</t>
        </is>
      </c>
      <c r="G6848" t="n">
        <v>4.3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30744-2023</t>
        </is>
      </c>
      <c r="B6849" s="1" t="n">
        <v>45112</v>
      </c>
      <c r="C6849" s="1" t="n">
        <v>45710</v>
      </c>
      <c r="D6849" t="inlineStr">
        <is>
          <t>ÖSTERGÖTLANDS LÄN</t>
        </is>
      </c>
      <c r="E6849" t="inlineStr">
        <is>
          <t>NORRKÖPING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30784-2023</t>
        </is>
      </c>
      <c r="B6850" s="1" t="n">
        <v>45112</v>
      </c>
      <c r="C6850" s="1" t="n">
        <v>45710</v>
      </c>
      <c r="D6850" t="inlineStr">
        <is>
          <t>ÖSTERGÖTLANDS LÄN</t>
        </is>
      </c>
      <c r="E6850" t="inlineStr">
        <is>
          <t>NORRKÖPING</t>
        </is>
      </c>
      <c r="G6850" t="n">
        <v>4.2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30775-2023</t>
        </is>
      </c>
      <c r="B6851" s="1" t="n">
        <v>45112</v>
      </c>
      <c r="C6851" s="1" t="n">
        <v>45710</v>
      </c>
      <c r="D6851" t="inlineStr">
        <is>
          <t>ÖSTERGÖTLANDS LÄN</t>
        </is>
      </c>
      <c r="E6851" t="inlineStr">
        <is>
          <t>NORRKÖPING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30606-2023</t>
        </is>
      </c>
      <c r="B6852" s="1" t="n">
        <v>45112</v>
      </c>
      <c r="C6852" s="1" t="n">
        <v>45710</v>
      </c>
      <c r="D6852" t="inlineStr">
        <is>
          <t>ÖSTERGÖTLANDS LÄN</t>
        </is>
      </c>
      <c r="E6852" t="inlineStr">
        <is>
          <t>MOTALA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30766-2023</t>
        </is>
      </c>
      <c r="B6853" s="1" t="n">
        <v>45112</v>
      </c>
      <c r="C6853" s="1" t="n">
        <v>45710</v>
      </c>
      <c r="D6853" t="inlineStr">
        <is>
          <t>ÖSTERGÖTLANDS LÄN</t>
        </is>
      </c>
      <c r="E6853" t="inlineStr">
        <is>
          <t>NORRKÖPING</t>
        </is>
      </c>
      <c r="G6853" t="n">
        <v>5.6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30782-2023</t>
        </is>
      </c>
      <c r="B6854" s="1" t="n">
        <v>45112</v>
      </c>
      <c r="C6854" s="1" t="n">
        <v>45710</v>
      </c>
      <c r="D6854" t="inlineStr">
        <is>
          <t>ÖSTERGÖTLANDS LÄN</t>
        </is>
      </c>
      <c r="E6854" t="inlineStr">
        <is>
          <t>NORRKÖPING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30915-2023</t>
        </is>
      </c>
      <c r="B6855" s="1" t="n">
        <v>45113</v>
      </c>
      <c r="C6855" s="1" t="n">
        <v>45710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30964-2023</t>
        </is>
      </c>
      <c r="B6856" s="1" t="n">
        <v>45113</v>
      </c>
      <c r="C6856" s="1" t="n">
        <v>45710</v>
      </c>
      <c r="D6856" t="inlineStr">
        <is>
          <t>ÖSTERGÖTLANDS LÄN</t>
        </is>
      </c>
      <c r="E6856" t="inlineStr">
        <is>
          <t>ÖDESHÖG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30945-2023</t>
        </is>
      </c>
      <c r="B6857" s="1" t="n">
        <v>45113</v>
      </c>
      <c r="C6857" s="1" t="n">
        <v>45710</v>
      </c>
      <c r="D6857" t="inlineStr">
        <is>
          <t>ÖSTERGÖTLANDS LÄN</t>
        </is>
      </c>
      <c r="E6857" t="inlineStr">
        <is>
          <t>ÖDESHÖG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30967-2023</t>
        </is>
      </c>
      <c r="B6858" s="1" t="n">
        <v>45113</v>
      </c>
      <c r="C6858" s="1" t="n">
        <v>45710</v>
      </c>
      <c r="D6858" t="inlineStr">
        <is>
          <t>ÖSTERGÖTLANDS LÄN</t>
        </is>
      </c>
      <c r="E6858" t="inlineStr">
        <is>
          <t>ÅTVIDABERG</t>
        </is>
      </c>
      <c r="F6858" t="inlineStr">
        <is>
          <t>Övriga Aktiebolag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31048-2023</t>
        </is>
      </c>
      <c r="B6859" s="1" t="n">
        <v>45113</v>
      </c>
      <c r="C6859" s="1" t="n">
        <v>45710</v>
      </c>
      <c r="D6859" t="inlineStr">
        <is>
          <t>ÖSTERGÖTLANDS LÄN</t>
        </is>
      </c>
      <c r="E6859" t="inlineStr">
        <is>
          <t>FINSPÅNG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30885-2023</t>
        </is>
      </c>
      <c r="B6860" s="1" t="n">
        <v>45113</v>
      </c>
      <c r="C6860" s="1" t="n">
        <v>45710</v>
      </c>
      <c r="D6860" t="inlineStr">
        <is>
          <t>ÖSTERGÖTLANDS LÄN</t>
        </is>
      </c>
      <c r="E6860" t="inlineStr">
        <is>
          <t>ÅTVIDABERG</t>
        </is>
      </c>
      <c r="F6860" t="inlineStr">
        <is>
          <t>Övriga Aktiebolag</t>
        </is>
      </c>
      <c r="G6860" t="n">
        <v>5.1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30905-2023</t>
        </is>
      </c>
      <c r="B6861" s="1" t="n">
        <v>45113</v>
      </c>
      <c r="C6861" s="1" t="n">
        <v>45710</v>
      </c>
      <c r="D6861" t="inlineStr">
        <is>
          <t>ÖSTERGÖTLANDS LÄN</t>
        </is>
      </c>
      <c r="E6861" t="inlineStr">
        <is>
          <t>LINKÖPING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31025-2023</t>
        </is>
      </c>
      <c r="B6862" s="1" t="n">
        <v>45113</v>
      </c>
      <c r="C6862" s="1" t="n">
        <v>45710</v>
      </c>
      <c r="D6862" t="inlineStr">
        <is>
          <t>ÖSTERGÖTLANDS LÄN</t>
        </is>
      </c>
      <c r="E6862" t="inlineStr">
        <is>
          <t>FINSPÅNG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31039-2023</t>
        </is>
      </c>
      <c r="B6863" s="1" t="n">
        <v>45113</v>
      </c>
      <c r="C6863" s="1" t="n">
        <v>45710</v>
      </c>
      <c r="D6863" t="inlineStr">
        <is>
          <t>ÖSTERGÖTLANDS LÄN</t>
        </is>
      </c>
      <c r="E6863" t="inlineStr">
        <is>
          <t>FINSPÅNG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31047-2023</t>
        </is>
      </c>
      <c r="B6864" s="1" t="n">
        <v>45113</v>
      </c>
      <c r="C6864" s="1" t="n">
        <v>45710</v>
      </c>
      <c r="D6864" t="inlineStr">
        <is>
          <t>ÖSTERGÖTLANDS LÄN</t>
        </is>
      </c>
      <c r="E6864" t="inlineStr">
        <is>
          <t>ÅTVIDABERG</t>
        </is>
      </c>
      <c r="F6864" t="inlineStr">
        <is>
          <t>Övriga Aktiebolag</t>
        </is>
      </c>
      <c r="G6864" t="n">
        <v>11.6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31049-2023</t>
        </is>
      </c>
      <c r="B6865" s="1" t="n">
        <v>45113</v>
      </c>
      <c r="C6865" s="1" t="n">
        <v>45710</v>
      </c>
      <c r="D6865" t="inlineStr">
        <is>
          <t>ÖSTERGÖTLANDS LÄN</t>
        </is>
      </c>
      <c r="E6865" t="inlineStr">
        <is>
          <t>FINSPÅNG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31124-2023</t>
        </is>
      </c>
      <c r="B6866" s="1" t="n">
        <v>45113</v>
      </c>
      <c r="C6866" s="1" t="n">
        <v>45710</v>
      </c>
      <c r="D6866" t="inlineStr">
        <is>
          <t>ÖSTERGÖTLANDS LÄN</t>
        </is>
      </c>
      <c r="E6866" t="inlineStr">
        <is>
          <t>LINKÖPING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31130-2023</t>
        </is>
      </c>
      <c r="B6867" s="1" t="n">
        <v>45113</v>
      </c>
      <c r="C6867" s="1" t="n">
        <v>45710</v>
      </c>
      <c r="D6867" t="inlineStr">
        <is>
          <t>ÖSTERGÖTLANDS LÄN</t>
        </is>
      </c>
      <c r="E6867" t="inlineStr">
        <is>
          <t>FINSPÅNG</t>
        </is>
      </c>
      <c r="G6867" t="n">
        <v>5.4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31251-2023</t>
        </is>
      </c>
      <c r="B6868" s="1" t="n">
        <v>45114</v>
      </c>
      <c r="C6868" s="1" t="n">
        <v>45710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5.4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31275-2023</t>
        </is>
      </c>
      <c r="B6869" s="1" t="n">
        <v>45114</v>
      </c>
      <c r="C6869" s="1" t="n">
        <v>45710</v>
      </c>
      <c r="D6869" t="inlineStr">
        <is>
          <t>ÖSTERGÖTLANDS LÄN</t>
        </is>
      </c>
      <c r="E6869" t="inlineStr">
        <is>
          <t>LINKÖPING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31235-2023</t>
        </is>
      </c>
      <c r="B6870" s="1" t="n">
        <v>45114</v>
      </c>
      <c r="C6870" s="1" t="n">
        <v>45710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31362-2023</t>
        </is>
      </c>
      <c r="B6871" s="1" t="n">
        <v>45114</v>
      </c>
      <c r="C6871" s="1" t="n">
        <v>45710</v>
      </c>
      <c r="D6871" t="inlineStr">
        <is>
          <t>ÖSTERGÖTLANDS LÄN</t>
        </is>
      </c>
      <c r="E6871" t="inlineStr">
        <is>
          <t>NORRKÖPING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31370-2023</t>
        </is>
      </c>
      <c r="B6872" s="1" t="n">
        <v>45114</v>
      </c>
      <c r="C6872" s="1" t="n">
        <v>45710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6.4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31249-2023</t>
        </is>
      </c>
      <c r="B6873" s="1" t="n">
        <v>45114</v>
      </c>
      <c r="C6873" s="1" t="n">
        <v>45710</v>
      </c>
      <c r="D6873" t="inlineStr">
        <is>
          <t>ÖSTERGÖTLANDS LÄN</t>
        </is>
      </c>
      <c r="E6873" t="inlineStr">
        <is>
          <t>KINDA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31318-2023</t>
        </is>
      </c>
      <c r="B6874" s="1" t="n">
        <v>45114</v>
      </c>
      <c r="C6874" s="1" t="n">
        <v>45710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31361-2023</t>
        </is>
      </c>
      <c r="B6875" s="1" t="n">
        <v>45114</v>
      </c>
      <c r="C6875" s="1" t="n">
        <v>45710</v>
      </c>
      <c r="D6875" t="inlineStr">
        <is>
          <t>ÖSTERGÖTLANDS LÄN</t>
        </is>
      </c>
      <c r="E6875" t="inlineStr">
        <is>
          <t>NORRKÖPING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31365-2023</t>
        </is>
      </c>
      <c r="B6876" s="1" t="n">
        <v>45114</v>
      </c>
      <c r="C6876" s="1" t="n">
        <v>45710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31460-2023</t>
        </is>
      </c>
      <c r="B6877" s="1" t="n">
        <v>45114</v>
      </c>
      <c r="C6877" s="1" t="n">
        <v>45710</v>
      </c>
      <c r="D6877" t="inlineStr">
        <is>
          <t>ÖSTERGÖTLANDS LÄN</t>
        </is>
      </c>
      <c r="E6877" t="inlineStr">
        <is>
          <t>ÅTVIDABERG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31419-2023</t>
        </is>
      </c>
      <c r="B6878" s="1" t="n">
        <v>45114</v>
      </c>
      <c r="C6878" s="1" t="n">
        <v>45710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31441-2023</t>
        </is>
      </c>
      <c r="B6879" s="1" t="n">
        <v>45114</v>
      </c>
      <c r="C6879" s="1" t="n">
        <v>45710</v>
      </c>
      <c r="D6879" t="inlineStr">
        <is>
          <t>ÖSTERGÖTLANDS LÄN</t>
        </is>
      </c>
      <c r="E6879" t="inlineStr">
        <is>
          <t>MOTALA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31458-2023</t>
        </is>
      </c>
      <c r="B6880" s="1" t="n">
        <v>45114</v>
      </c>
      <c r="C6880" s="1" t="n">
        <v>45710</v>
      </c>
      <c r="D6880" t="inlineStr">
        <is>
          <t>ÖSTERGÖTLANDS LÄN</t>
        </is>
      </c>
      <c r="E6880" t="inlineStr">
        <is>
          <t>ÅTVIDABERG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31276-2023</t>
        </is>
      </c>
      <c r="B6881" s="1" t="n">
        <v>45114</v>
      </c>
      <c r="C6881" s="1" t="n">
        <v>45710</v>
      </c>
      <c r="D6881" t="inlineStr">
        <is>
          <t>ÖSTERGÖTLANDS LÄN</t>
        </is>
      </c>
      <c r="E6881" t="inlineStr">
        <is>
          <t>MOTALA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31359-2023</t>
        </is>
      </c>
      <c r="B6882" s="1" t="n">
        <v>45114</v>
      </c>
      <c r="C6882" s="1" t="n">
        <v>45710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31430-2023</t>
        </is>
      </c>
      <c r="B6883" s="1" t="n">
        <v>45114</v>
      </c>
      <c r="C6883" s="1" t="n">
        <v>45710</v>
      </c>
      <c r="D6883" t="inlineStr">
        <is>
          <t>ÖSTERGÖTLANDS LÄN</t>
        </is>
      </c>
      <c r="E6883" t="inlineStr">
        <is>
          <t>MOTALA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31461-2023</t>
        </is>
      </c>
      <c r="B6884" s="1" t="n">
        <v>45114</v>
      </c>
      <c r="C6884" s="1" t="n">
        <v>45710</v>
      </c>
      <c r="D6884" t="inlineStr">
        <is>
          <t>ÖSTERGÖTLANDS LÄN</t>
        </is>
      </c>
      <c r="E6884" t="inlineStr">
        <is>
          <t>ÅTVIDABERG</t>
        </is>
      </c>
      <c r="G6884" t="n">
        <v>6.2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31533-2023</t>
        </is>
      </c>
      <c r="B6885" s="1" t="n">
        <v>45116</v>
      </c>
      <c r="C6885" s="1" t="n">
        <v>45710</v>
      </c>
      <c r="D6885" t="inlineStr">
        <is>
          <t>ÖSTERGÖTLANDS LÄN</t>
        </is>
      </c>
      <c r="E6885" t="inlineStr">
        <is>
          <t>LINKÖPING</t>
        </is>
      </c>
      <c r="G6885" t="n">
        <v>9.300000000000001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31534-2023</t>
        </is>
      </c>
      <c r="B6886" s="1" t="n">
        <v>45116</v>
      </c>
      <c r="C6886" s="1" t="n">
        <v>45710</v>
      </c>
      <c r="D6886" t="inlineStr">
        <is>
          <t>ÖSTERGÖTLANDS LÄN</t>
        </is>
      </c>
      <c r="E6886" t="inlineStr">
        <is>
          <t>LINKÖPING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31527-2023</t>
        </is>
      </c>
      <c r="B6887" s="1" t="n">
        <v>45116</v>
      </c>
      <c r="C6887" s="1" t="n">
        <v>45710</v>
      </c>
      <c r="D6887" t="inlineStr">
        <is>
          <t>ÖSTERGÖTLANDS LÄN</t>
        </is>
      </c>
      <c r="E6887" t="inlineStr">
        <is>
          <t>KINDA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31542-2023</t>
        </is>
      </c>
      <c r="B6888" s="1" t="n">
        <v>45117</v>
      </c>
      <c r="C6888" s="1" t="n">
        <v>45710</v>
      </c>
      <c r="D6888" t="inlineStr">
        <is>
          <t>ÖSTERGÖTLANDS LÄN</t>
        </is>
      </c>
      <c r="E6888" t="inlineStr">
        <is>
          <t>YDRE</t>
        </is>
      </c>
      <c r="F6888" t="inlineStr">
        <is>
          <t>Övriga Aktiebolag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31675-2023</t>
        </is>
      </c>
      <c r="B6889" s="1" t="n">
        <v>45117</v>
      </c>
      <c r="C6889" s="1" t="n">
        <v>45710</v>
      </c>
      <c r="D6889" t="inlineStr">
        <is>
          <t>ÖSTERGÖTLANDS LÄN</t>
        </is>
      </c>
      <c r="E6889" t="inlineStr">
        <is>
          <t>BOXHOLM</t>
        </is>
      </c>
      <c r="F6889" t="inlineStr">
        <is>
          <t>Övriga Aktiebolag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31595-2023</t>
        </is>
      </c>
      <c r="B6890" s="1" t="n">
        <v>45117</v>
      </c>
      <c r="C6890" s="1" t="n">
        <v>45710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6.1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31640-2023</t>
        </is>
      </c>
      <c r="B6891" s="1" t="n">
        <v>45117</v>
      </c>
      <c r="C6891" s="1" t="n">
        <v>45710</v>
      </c>
      <c r="D6891" t="inlineStr">
        <is>
          <t>ÖSTERGÖTLANDS LÄN</t>
        </is>
      </c>
      <c r="E6891" t="inlineStr">
        <is>
          <t>LINKÖPING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31668-2023</t>
        </is>
      </c>
      <c r="B6892" s="1" t="n">
        <v>45117</v>
      </c>
      <c r="C6892" s="1" t="n">
        <v>45710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31705-2023</t>
        </is>
      </c>
      <c r="B6893" s="1" t="n">
        <v>45117</v>
      </c>
      <c r="C6893" s="1" t="n">
        <v>45710</v>
      </c>
      <c r="D6893" t="inlineStr">
        <is>
          <t>ÖSTERGÖTLANDS LÄN</t>
        </is>
      </c>
      <c r="E6893" t="inlineStr">
        <is>
          <t>FINSPÅNG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31582-2023</t>
        </is>
      </c>
      <c r="B6894" s="1" t="n">
        <v>45117</v>
      </c>
      <c r="C6894" s="1" t="n">
        <v>45710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31637-2023</t>
        </is>
      </c>
      <c r="B6895" s="1" t="n">
        <v>45117</v>
      </c>
      <c r="C6895" s="1" t="n">
        <v>45710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31653-2023</t>
        </is>
      </c>
      <c r="B6896" s="1" t="n">
        <v>45117</v>
      </c>
      <c r="C6896" s="1" t="n">
        <v>45710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31673-2023</t>
        </is>
      </c>
      <c r="B6897" s="1" t="n">
        <v>45117</v>
      </c>
      <c r="C6897" s="1" t="n">
        <v>45710</v>
      </c>
      <c r="D6897" t="inlineStr">
        <is>
          <t>ÖSTERGÖTLANDS LÄN</t>
        </is>
      </c>
      <c r="E6897" t="inlineStr">
        <is>
          <t>BOXHOLM</t>
        </is>
      </c>
      <c r="F6897" t="inlineStr">
        <is>
          <t>Övriga Aktiebolag</t>
        </is>
      </c>
      <c r="G6897" t="n">
        <v>4.6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31546-2023</t>
        </is>
      </c>
      <c r="B6898" s="1" t="n">
        <v>45117</v>
      </c>
      <c r="C6898" s="1" t="n">
        <v>45710</v>
      </c>
      <c r="D6898" t="inlineStr">
        <is>
          <t>ÖSTERGÖTLANDS LÄN</t>
        </is>
      </c>
      <c r="E6898" t="inlineStr">
        <is>
          <t>YDRE</t>
        </is>
      </c>
      <c r="F6898" t="inlineStr">
        <is>
          <t>Övriga Aktiebolag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31706-2023</t>
        </is>
      </c>
      <c r="B6899" s="1" t="n">
        <v>45117</v>
      </c>
      <c r="C6899" s="1" t="n">
        <v>45710</v>
      </c>
      <c r="D6899" t="inlineStr">
        <is>
          <t>ÖSTERGÖTLANDS LÄN</t>
        </is>
      </c>
      <c r="E6899" t="inlineStr">
        <is>
          <t>FINSPÅNG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31795-2023</t>
        </is>
      </c>
      <c r="B6900" s="1" t="n">
        <v>45118</v>
      </c>
      <c r="C6900" s="1" t="n">
        <v>45710</v>
      </c>
      <c r="D6900" t="inlineStr">
        <is>
          <t>ÖSTERGÖTLANDS LÄN</t>
        </is>
      </c>
      <c r="E6900" t="inlineStr">
        <is>
          <t>SÖDERKÖPING</t>
        </is>
      </c>
      <c r="G6900" t="n">
        <v>4.7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31839-2023</t>
        </is>
      </c>
      <c r="B6901" s="1" t="n">
        <v>45118</v>
      </c>
      <c r="C6901" s="1" t="n">
        <v>45710</v>
      </c>
      <c r="D6901" t="inlineStr">
        <is>
          <t>ÖSTERGÖTLANDS LÄN</t>
        </is>
      </c>
      <c r="E6901" t="inlineStr">
        <is>
          <t>KINDA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31843-2023</t>
        </is>
      </c>
      <c r="B6902" s="1" t="n">
        <v>45118</v>
      </c>
      <c r="C6902" s="1" t="n">
        <v>45710</v>
      </c>
      <c r="D6902" t="inlineStr">
        <is>
          <t>ÖSTERGÖTLANDS LÄN</t>
        </is>
      </c>
      <c r="E6902" t="inlineStr">
        <is>
          <t>FINSPÅNG</t>
        </is>
      </c>
      <c r="G6902" t="n">
        <v>4.6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31779-2023</t>
        </is>
      </c>
      <c r="B6903" s="1" t="n">
        <v>45118</v>
      </c>
      <c r="C6903" s="1" t="n">
        <v>45710</v>
      </c>
      <c r="D6903" t="inlineStr">
        <is>
          <t>ÖSTERGÖTLANDS LÄN</t>
        </is>
      </c>
      <c r="E6903" t="inlineStr">
        <is>
          <t>FINSPÅNG</t>
        </is>
      </c>
      <c r="G6903" t="n">
        <v>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31801-2023</t>
        </is>
      </c>
      <c r="B6904" s="1" t="n">
        <v>45118</v>
      </c>
      <c r="C6904" s="1" t="n">
        <v>45710</v>
      </c>
      <c r="D6904" t="inlineStr">
        <is>
          <t>ÖSTERGÖTLANDS LÄN</t>
        </is>
      </c>
      <c r="E6904" t="inlineStr">
        <is>
          <t>FINSPÅNG</t>
        </is>
      </c>
      <c r="G6904" t="n">
        <v>5.1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31785-2023</t>
        </is>
      </c>
      <c r="B6905" s="1" t="n">
        <v>45118</v>
      </c>
      <c r="C6905" s="1" t="n">
        <v>45710</v>
      </c>
      <c r="D6905" t="inlineStr">
        <is>
          <t>ÖSTERGÖTLANDS LÄN</t>
        </is>
      </c>
      <c r="E6905" t="inlineStr">
        <is>
          <t>FINSPÅNG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31831-2023</t>
        </is>
      </c>
      <c r="B6906" s="1" t="n">
        <v>45118</v>
      </c>
      <c r="C6906" s="1" t="n">
        <v>45710</v>
      </c>
      <c r="D6906" t="inlineStr">
        <is>
          <t>ÖSTERGÖTLANDS LÄN</t>
        </is>
      </c>
      <c r="E6906" t="inlineStr">
        <is>
          <t>KINDA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31849-2023</t>
        </is>
      </c>
      <c r="B6907" s="1" t="n">
        <v>45118</v>
      </c>
      <c r="C6907" s="1" t="n">
        <v>45710</v>
      </c>
      <c r="D6907" t="inlineStr">
        <is>
          <t>ÖSTERGÖTLANDS LÄN</t>
        </is>
      </c>
      <c r="E6907" t="inlineStr">
        <is>
          <t>KINDA</t>
        </is>
      </c>
      <c r="G6907" t="n">
        <v>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31883-2023</t>
        </is>
      </c>
      <c r="B6908" s="1" t="n">
        <v>45118</v>
      </c>
      <c r="C6908" s="1" t="n">
        <v>45710</v>
      </c>
      <c r="D6908" t="inlineStr">
        <is>
          <t>ÖSTERGÖTLANDS LÄN</t>
        </is>
      </c>
      <c r="E6908" t="inlineStr">
        <is>
          <t>NORRKÖPING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31887-2023</t>
        </is>
      </c>
      <c r="B6909" s="1" t="n">
        <v>45118</v>
      </c>
      <c r="C6909" s="1" t="n">
        <v>45710</v>
      </c>
      <c r="D6909" t="inlineStr">
        <is>
          <t>ÖSTERGÖTLANDS LÄN</t>
        </is>
      </c>
      <c r="E6909" t="inlineStr">
        <is>
          <t>NORRKÖPING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31797-2023</t>
        </is>
      </c>
      <c r="B6910" s="1" t="n">
        <v>45118</v>
      </c>
      <c r="C6910" s="1" t="n">
        <v>45710</v>
      </c>
      <c r="D6910" t="inlineStr">
        <is>
          <t>ÖSTERGÖTLANDS LÄN</t>
        </is>
      </c>
      <c r="E6910" t="inlineStr">
        <is>
          <t>YDRE</t>
        </is>
      </c>
      <c r="F6910" t="inlineStr">
        <is>
          <t>Övriga Aktiebolag</t>
        </is>
      </c>
      <c r="G6910" t="n">
        <v>5.1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31882-2023</t>
        </is>
      </c>
      <c r="B6911" s="1" t="n">
        <v>45118</v>
      </c>
      <c r="C6911" s="1" t="n">
        <v>45710</v>
      </c>
      <c r="D6911" t="inlineStr">
        <is>
          <t>ÖSTERGÖTLANDS LÄN</t>
        </is>
      </c>
      <c r="E6911" t="inlineStr">
        <is>
          <t>NORRKÖPING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33540-2023</t>
        </is>
      </c>
      <c r="B6912" s="1" t="n">
        <v>45118</v>
      </c>
      <c r="C6912" s="1" t="n">
        <v>45710</v>
      </c>
      <c r="D6912" t="inlineStr">
        <is>
          <t>ÖSTERGÖTLANDS LÄN</t>
        </is>
      </c>
      <c r="E6912" t="inlineStr">
        <is>
          <t>ÅTVIDABERG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33536-2023</t>
        </is>
      </c>
      <c r="B6913" s="1" t="n">
        <v>45118</v>
      </c>
      <c r="C6913" s="1" t="n">
        <v>45710</v>
      </c>
      <c r="D6913" t="inlineStr">
        <is>
          <t>ÖSTERGÖTLANDS LÄN</t>
        </is>
      </c>
      <c r="E6913" t="inlineStr">
        <is>
          <t>ÅTVIDABERG</t>
        </is>
      </c>
      <c r="G6913" t="n">
        <v>6.1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33542-2023</t>
        </is>
      </c>
      <c r="B6914" s="1" t="n">
        <v>45118</v>
      </c>
      <c r="C6914" s="1" t="n">
        <v>45710</v>
      </c>
      <c r="D6914" t="inlineStr">
        <is>
          <t>ÖSTERGÖTLANDS LÄN</t>
        </is>
      </c>
      <c r="E6914" t="inlineStr">
        <is>
          <t>ÅTVIDABERG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32036-2023</t>
        </is>
      </c>
      <c r="B6915" s="1" t="n">
        <v>45119</v>
      </c>
      <c r="C6915" s="1" t="n">
        <v>45710</v>
      </c>
      <c r="D6915" t="inlineStr">
        <is>
          <t>ÖSTERGÖTLANDS LÄN</t>
        </is>
      </c>
      <c r="E6915" t="inlineStr">
        <is>
          <t>YDRE</t>
        </is>
      </c>
      <c r="F6915" t="inlineStr">
        <is>
          <t>Sveaskog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32043-2023</t>
        </is>
      </c>
      <c r="B6916" s="1" t="n">
        <v>45119</v>
      </c>
      <c r="C6916" s="1" t="n">
        <v>45710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Sveaskog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32048-2023</t>
        </is>
      </c>
      <c r="B6917" s="1" t="n">
        <v>45119</v>
      </c>
      <c r="C6917" s="1" t="n">
        <v>45710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31955-2023</t>
        </is>
      </c>
      <c r="B6918" s="1" t="n">
        <v>45119</v>
      </c>
      <c r="C6918" s="1" t="n">
        <v>45710</v>
      </c>
      <c r="D6918" t="inlineStr">
        <is>
          <t>ÖSTERGÖTLANDS LÄN</t>
        </is>
      </c>
      <c r="E6918" t="inlineStr">
        <is>
          <t>YDRE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31984-2023</t>
        </is>
      </c>
      <c r="B6919" s="1" t="n">
        <v>45119</v>
      </c>
      <c r="C6919" s="1" t="n">
        <v>45710</v>
      </c>
      <c r="D6919" t="inlineStr">
        <is>
          <t>ÖSTERGÖTLANDS LÄN</t>
        </is>
      </c>
      <c r="E6919" t="inlineStr">
        <is>
          <t>MJÖLBY</t>
        </is>
      </c>
      <c r="F6919" t="inlineStr">
        <is>
          <t>Sveaskog</t>
        </is>
      </c>
      <c r="G6919" t="n">
        <v>18.3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31994-2023</t>
        </is>
      </c>
      <c r="B6920" s="1" t="n">
        <v>45119</v>
      </c>
      <c r="C6920" s="1" t="n">
        <v>45710</v>
      </c>
      <c r="D6920" t="inlineStr">
        <is>
          <t>ÖSTERGÖTLANDS LÄN</t>
        </is>
      </c>
      <c r="E6920" t="inlineStr">
        <is>
          <t>MJÖLBY</t>
        </is>
      </c>
      <c r="F6920" t="inlineStr">
        <is>
          <t>Sveaskog</t>
        </is>
      </c>
      <c r="G6920" t="n">
        <v>7.4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32050-2023</t>
        </is>
      </c>
      <c r="B6921" s="1" t="n">
        <v>45119</v>
      </c>
      <c r="C6921" s="1" t="n">
        <v>45710</v>
      </c>
      <c r="D6921" t="inlineStr">
        <is>
          <t>ÖSTERGÖTLANDS LÄN</t>
        </is>
      </c>
      <c r="E6921" t="inlineStr">
        <is>
          <t>YDRE</t>
        </is>
      </c>
      <c r="F6921" t="inlineStr">
        <is>
          <t>Sveaskog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32055-2023</t>
        </is>
      </c>
      <c r="B6922" s="1" t="n">
        <v>45119</v>
      </c>
      <c r="C6922" s="1" t="n">
        <v>45710</v>
      </c>
      <c r="D6922" t="inlineStr">
        <is>
          <t>ÖSTERGÖTLANDS LÄN</t>
        </is>
      </c>
      <c r="E6922" t="inlineStr">
        <is>
          <t>YDRE</t>
        </is>
      </c>
      <c r="F6922" t="inlineStr">
        <is>
          <t>Sveaskog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32063-2023</t>
        </is>
      </c>
      <c r="B6923" s="1" t="n">
        <v>45119</v>
      </c>
      <c r="C6923" s="1" t="n">
        <v>45710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32168-2023</t>
        </is>
      </c>
      <c r="B6924" s="1" t="n">
        <v>45119</v>
      </c>
      <c r="C6924" s="1" t="n">
        <v>45710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33727-2023</t>
        </is>
      </c>
      <c r="B6925" s="1" t="n">
        <v>45119</v>
      </c>
      <c r="C6925" s="1" t="n">
        <v>45710</v>
      </c>
      <c r="D6925" t="inlineStr">
        <is>
          <t>ÖSTERGÖTLANDS LÄN</t>
        </is>
      </c>
      <c r="E6925" t="inlineStr">
        <is>
          <t>SÖDERKÖPING</t>
        </is>
      </c>
      <c r="G6925" t="n">
        <v>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33735-2023</t>
        </is>
      </c>
      <c r="B6926" s="1" t="n">
        <v>45119</v>
      </c>
      <c r="C6926" s="1" t="n">
        <v>45710</v>
      </c>
      <c r="D6926" t="inlineStr">
        <is>
          <t>ÖSTERGÖTLANDS LÄN</t>
        </is>
      </c>
      <c r="E6926" t="inlineStr">
        <is>
          <t>SÖDERKÖPING</t>
        </is>
      </c>
      <c r="G6926" t="n">
        <v>3.6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33723-2023</t>
        </is>
      </c>
      <c r="B6927" s="1" t="n">
        <v>45119</v>
      </c>
      <c r="C6927" s="1" t="n">
        <v>45710</v>
      </c>
      <c r="D6927" t="inlineStr">
        <is>
          <t>ÖSTERGÖTLANDS LÄN</t>
        </is>
      </c>
      <c r="E6927" t="inlineStr">
        <is>
          <t>SÖDERKÖPING</t>
        </is>
      </c>
      <c r="G6927" t="n">
        <v>4.2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33730-2023</t>
        </is>
      </c>
      <c r="B6928" s="1" t="n">
        <v>45119</v>
      </c>
      <c r="C6928" s="1" t="n">
        <v>45710</v>
      </c>
      <c r="D6928" t="inlineStr">
        <is>
          <t>ÖSTERGÖTLANDS LÄN</t>
        </is>
      </c>
      <c r="E6928" t="inlineStr">
        <is>
          <t>SÖDERKÖPING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33736-2023</t>
        </is>
      </c>
      <c r="B6929" s="1" t="n">
        <v>45119</v>
      </c>
      <c r="C6929" s="1" t="n">
        <v>45710</v>
      </c>
      <c r="D6929" t="inlineStr">
        <is>
          <t>ÖSTERGÖTLANDS LÄN</t>
        </is>
      </c>
      <c r="E6929" t="inlineStr">
        <is>
          <t>SÖDERKÖPING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33724-2023</t>
        </is>
      </c>
      <c r="B6930" s="1" t="n">
        <v>45119</v>
      </c>
      <c r="C6930" s="1" t="n">
        <v>45710</v>
      </c>
      <c r="D6930" t="inlineStr">
        <is>
          <t>ÖSTERGÖTLANDS LÄN</t>
        </is>
      </c>
      <c r="E6930" t="inlineStr">
        <is>
          <t>SÖDERKÖPING</t>
        </is>
      </c>
      <c r="G6930" t="n">
        <v>6.8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33731-2023</t>
        </is>
      </c>
      <c r="B6931" s="1" t="n">
        <v>45119</v>
      </c>
      <c r="C6931" s="1" t="n">
        <v>45710</v>
      </c>
      <c r="D6931" t="inlineStr">
        <is>
          <t>ÖSTERGÖTLANDS LÄN</t>
        </is>
      </c>
      <c r="E6931" t="inlineStr">
        <is>
          <t>SÖDERKÖPING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33726-2023</t>
        </is>
      </c>
      <c r="B6932" s="1" t="n">
        <v>45119</v>
      </c>
      <c r="C6932" s="1" t="n">
        <v>45710</v>
      </c>
      <c r="D6932" t="inlineStr">
        <is>
          <t>ÖSTERGÖTLANDS LÄN</t>
        </is>
      </c>
      <c r="E6932" t="inlineStr">
        <is>
          <t>SÖDERKÖPING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33733-2023</t>
        </is>
      </c>
      <c r="B6933" s="1" t="n">
        <v>45119</v>
      </c>
      <c r="C6933" s="1" t="n">
        <v>45710</v>
      </c>
      <c r="D6933" t="inlineStr">
        <is>
          <t>ÖSTERGÖTLANDS LÄN</t>
        </is>
      </c>
      <c r="E6933" t="inlineStr">
        <is>
          <t>SÖDERKÖPING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32278-2023</t>
        </is>
      </c>
      <c r="B6934" s="1" t="n">
        <v>45120</v>
      </c>
      <c r="C6934" s="1" t="n">
        <v>45710</v>
      </c>
      <c r="D6934" t="inlineStr">
        <is>
          <t>ÖSTERGÖTLANDS LÄN</t>
        </is>
      </c>
      <c r="E6934" t="inlineStr">
        <is>
          <t>LINKÖPING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32283-2023</t>
        </is>
      </c>
      <c r="B6935" s="1" t="n">
        <v>45120</v>
      </c>
      <c r="C6935" s="1" t="n">
        <v>45710</v>
      </c>
      <c r="D6935" t="inlineStr">
        <is>
          <t>ÖSTERGÖTLANDS LÄN</t>
        </is>
      </c>
      <c r="E6935" t="inlineStr">
        <is>
          <t>LINKÖPING</t>
        </is>
      </c>
      <c r="G6935" t="n">
        <v>6.8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32282-2023</t>
        </is>
      </c>
      <c r="B6936" s="1" t="n">
        <v>45120</v>
      </c>
      <c r="C6936" s="1" t="n">
        <v>45710</v>
      </c>
      <c r="D6936" t="inlineStr">
        <is>
          <t>ÖSTERGÖTLANDS LÄN</t>
        </is>
      </c>
      <c r="E6936" t="inlineStr">
        <is>
          <t>LINKÖPING</t>
        </is>
      </c>
      <c r="G6936" t="n">
        <v>5.4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32269-2023</t>
        </is>
      </c>
      <c r="B6937" s="1" t="n">
        <v>45120</v>
      </c>
      <c r="C6937" s="1" t="n">
        <v>45710</v>
      </c>
      <c r="D6937" t="inlineStr">
        <is>
          <t>ÖSTERGÖTLANDS LÄN</t>
        </is>
      </c>
      <c r="E6937" t="inlineStr">
        <is>
          <t>MOTALA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32275-2023</t>
        </is>
      </c>
      <c r="B6938" s="1" t="n">
        <v>45120</v>
      </c>
      <c r="C6938" s="1" t="n">
        <v>45710</v>
      </c>
      <c r="D6938" t="inlineStr">
        <is>
          <t>ÖSTERGÖTLANDS LÄN</t>
        </is>
      </c>
      <c r="E6938" t="inlineStr">
        <is>
          <t>MOTALA</t>
        </is>
      </c>
      <c r="G6938" t="n">
        <v>6.2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32334-2023</t>
        </is>
      </c>
      <c r="B6939" s="1" t="n">
        <v>45120</v>
      </c>
      <c r="C6939" s="1" t="n">
        <v>45710</v>
      </c>
      <c r="D6939" t="inlineStr">
        <is>
          <t>ÖSTERGÖTLANDS LÄN</t>
        </is>
      </c>
      <c r="E6939" t="inlineStr">
        <is>
          <t>LINKÖPING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32285-2023</t>
        </is>
      </c>
      <c r="B6940" s="1" t="n">
        <v>45120</v>
      </c>
      <c r="C6940" s="1" t="n">
        <v>45710</v>
      </c>
      <c r="D6940" t="inlineStr">
        <is>
          <t>ÖSTERGÖTLANDS LÄN</t>
        </is>
      </c>
      <c r="E6940" t="inlineStr">
        <is>
          <t>KINDA</t>
        </is>
      </c>
      <c r="G6940" t="n">
        <v>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32337-2023</t>
        </is>
      </c>
      <c r="B6941" s="1" t="n">
        <v>45120</v>
      </c>
      <c r="C6941" s="1" t="n">
        <v>45710</v>
      </c>
      <c r="D6941" t="inlineStr">
        <is>
          <t>ÖSTERGÖTLANDS LÄN</t>
        </is>
      </c>
      <c r="E6941" t="inlineStr">
        <is>
          <t>LINKÖPING</t>
        </is>
      </c>
      <c r="G6941" t="n">
        <v>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32394-2023</t>
        </is>
      </c>
      <c r="B6942" s="1" t="n">
        <v>45120</v>
      </c>
      <c r="C6942" s="1" t="n">
        <v>45710</v>
      </c>
      <c r="D6942" t="inlineStr">
        <is>
          <t>ÖSTERGÖTLANDS LÄN</t>
        </is>
      </c>
      <c r="E6942" t="inlineStr">
        <is>
          <t>NORRKÖPING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32382-2023</t>
        </is>
      </c>
      <c r="B6943" s="1" t="n">
        <v>45120</v>
      </c>
      <c r="C6943" s="1" t="n">
        <v>45710</v>
      </c>
      <c r="D6943" t="inlineStr">
        <is>
          <t>ÖSTERGÖTLANDS LÄN</t>
        </is>
      </c>
      <c r="E6943" t="inlineStr">
        <is>
          <t>ÅTVIDABERG</t>
        </is>
      </c>
      <c r="G6943" t="n">
        <v>15.6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32387-2023</t>
        </is>
      </c>
      <c r="B6944" s="1" t="n">
        <v>45120</v>
      </c>
      <c r="C6944" s="1" t="n">
        <v>45710</v>
      </c>
      <c r="D6944" t="inlineStr">
        <is>
          <t>ÖSTERGÖTLANDS LÄN</t>
        </is>
      </c>
      <c r="E6944" t="inlineStr">
        <is>
          <t>NORRKÖPING</t>
        </is>
      </c>
      <c r="G6944" t="n">
        <v>13.2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32346-2023</t>
        </is>
      </c>
      <c r="B6945" s="1" t="n">
        <v>45120</v>
      </c>
      <c r="C6945" s="1" t="n">
        <v>45710</v>
      </c>
      <c r="D6945" t="inlineStr">
        <is>
          <t>ÖSTERGÖTLANDS LÄN</t>
        </is>
      </c>
      <c r="E6945" t="inlineStr">
        <is>
          <t>LINKÖPING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32391-2023</t>
        </is>
      </c>
      <c r="B6946" s="1" t="n">
        <v>45120</v>
      </c>
      <c r="C6946" s="1" t="n">
        <v>45710</v>
      </c>
      <c r="D6946" t="inlineStr">
        <is>
          <t>ÖSTERGÖTLANDS LÄN</t>
        </is>
      </c>
      <c r="E6946" t="inlineStr">
        <is>
          <t>NORRKÖPING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32515-2023</t>
        </is>
      </c>
      <c r="B6947" s="1" t="n">
        <v>45121</v>
      </c>
      <c r="C6947" s="1" t="n">
        <v>45710</v>
      </c>
      <c r="D6947" t="inlineStr">
        <is>
          <t>ÖSTERGÖTLANDS LÄN</t>
        </is>
      </c>
      <c r="E6947" t="inlineStr">
        <is>
          <t>VALDEMARSVIK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32521-2023</t>
        </is>
      </c>
      <c r="B6948" s="1" t="n">
        <v>45121</v>
      </c>
      <c r="C6948" s="1" t="n">
        <v>45710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3.5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32617-2023</t>
        </is>
      </c>
      <c r="B6949" s="1" t="n">
        <v>45121</v>
      </c>
      <c r="C6949" s="1" t="n">
        <v>45710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32511-2023</t>
        </is>
      </c>
      <c r="B6950" s="1" t="n">
        <v>45121</v>
      </c>
      <c r="C6950" s="1" t="n">
        <v>45710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32648-2023</t>
        </is>
      </c>
      <c r="B6951" s="1" t="n">
        <v>45121</v>
      </c>
      <c r="C6951" s="1" t="n">
        <v>45710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33800-2023</t>
        </is>
      </c>
      <c r="B6952" s="1" t="n">
        <v>45121</v>
      </c>
      <c r="C6952" s="1" t="n">
        <v>45710</v>
      </c>
      <c r="D6952" t="inlineStr">
        <is>
          <t>ÖSTERGÖTLANDS LÄN</t>
        </is>
      </c>
      <c r="E6952" t="inlineStr">
        <is>
          <t>LINKÖPING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33803-2023</t>
        </is>
      </c>
      <c r="B6953" s="1" t="n">
        <v>45121</v>
      </c>
      <c r="C6953" s="1" t="n">
        <v>45710</v>
      </c>
      <c r="D6953" t="inlineStr">
        <is>
          <t>ÖSTERGÖTLANDS LÄN</t>
        </is>
      </c>
      <c r="E6953" t="inlineStr">
        <is>
          <t>LINKÖPING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32585-2023</t>
        </is>
      </c>
      <c r="B6954" s="1" t="n">
        <v>45121</v>
      </c>
      <c r="C6954" s="1" t="n">
        <v>45710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Övriga Aktiebolag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33794-2023</t>
        </is>
      </c>
      <c r="B6955" s="1" t="n">
        <v>45121</v>
      </c>
      <c r="C6955" s="1" t="n">
        <v>45710</v>
      </c>
      <c r="D6955" t="inlineStr">
        <is>
          <t>ÖSTERGÖTLANDS LÄN</t>
        </is>
      </c>
      <c r="E6955" t="inlineStr">
        <is>
          <t>LINKÖPING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32740-2023</t>
        </is>
      </c>
      <c r="B6956" s="1" t="n">
        <v>45122</v>
      </c>
      <c r="C6956" s="1" t="n">
        <v>45710</v>
      </c>
      <c r="D6956" t="inlineStr">
        <is>
          <t>ÖSTERGÖTLANDS LÄN</t>
        </is>
      </c>
      <c r="E6956" t="inlineStr">
        <is>
          <t>ÅTVIDABERG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32742-2023</t>
        </is>
      </c>
      <c r="B6957" s="1" t="n">
        <v>45122</v>
      </c>
      <c r="C6957" s="1" t="n">
        <v>45710</v>
      </c>
      <c r="D6957" t="inlineStr">
        <is>
          <t>ÖSTERGÖTLANDS LÄN</t>
        </is>
      </c>
      <c r="E6957" t="inlineStr">
        <is>
          <t>ÅTVIDABERG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32739-2023</t>
        </is>
      </c>
      <c r="B6958" s="1" t="n">
        <v>45122</v>
      </c>
      <c r="C6958" s="1" t="n">
        <v>45710</v>
      </c>
      <c r="D6958" t="inlineStr">
        <is>
          <t>ÖSTERGÖTLANDS LÄN</t>
        </is>
      </c>
      <c r="E6958" t="inlineStr">
        <is>
          <t>ÅTVIDABERG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32741-2023</t>
        </is>
      </c>
      <c r="B6959" s="1" t="n">
        <v>45122</v>
      </c>
      <c r="C6959" s="1" t="n">
        <v>45710</v>
      </c>
      <c r="D6959" t="inlineStr">
        <is>
          <t>ÖSTERGÖTLANDS LÄN</t>
        </is>
      </c>
      <c r="E6959" t="inlineStr">
        <is>
          <t>ÅTVIDABERG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32749-2023</t>
        </is>
      </c>
      <c r="B6960" s="1" t="n">
        <v>45122</v>
      </c>
      <c r="C6960" s="1" t="n">
        <v>45710</v>
      </c>
      <c r="D6960" t="inlineStr">
        <is>
          <t>ÖSTERGÖTLANDS LÄN</t>
        </is>
      </c>
      <c r="E6960" t="inlineStr">
        <is>
          <t>KINDA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32764-2023</t>
        </is>
      </c>
      <c r="B6961" s="1" t="n">
        <v>45123</v>
      </c>
      <c r="C6961" s="1" t="n">
        <v>45710</v>
      </c>
      <c r="D6961" t="inlineStr">
        <is>
          <t>ÖSTERGÖTLANDS LÄN</t>
        </is>
      </c>
      <c r="E6961" t="inlineStr">
        <is>
          <t>KINDA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32766-2023</t>
        </is>
      </c>
      <c r="B6962" s="1" t="n">
        <v>45123</v>
      </c>
      <c r="C6962" s="1" t="n">
        <v>45710</v>
      </c>
      <c r="D6962" t="inlineStr">
        <is>
          <t>ÖSTERGÖTLANDS LÄN</t>
        </is>
      </c>
      <c r="E6962" t="inlineStr">
        <is>
          <t>KINDA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32935-2023</t>
        </is>
      </c>
      <c r="B6963" s="1" t="n">
        <v>45125</v>
      </c>
      <c r="C6963" s="1" t="n">
        <v>45710</v>
      </c>
      <c r="D6963" t="inlineStr">
        <is>
          <t>ÖSTERGÖTLANDS LÄN</t>
        </is>
      </c>
      <c r="E6963" t="inlineStr">
        <is>
          <t>BOXHOLM</t>
        </is>
      </c>
      <c r="F6963" t="inlineStr">
        <is>
          <t>Övriga Aktiebolag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32973-2023</t>
        </is>
      </c>
      <c r="B6964" s="1" t="n">
        <v>45125</v>
      </c>
      <c r="C6964" s="1" t="n">
        <v>45710</v>
      </c>
      <c r="D6964" t="inlineStr">
        <is>
          <t>ÖSTERGÖTLANDS LÄN</t>
        </is>
      </c>
      <c r="E6964" t="inlineStr">
        <is>
          <t>FINSPÅNG</t>
        </is>
      </c>
      <c r="F6964" t="inlineStr">
        <is>
          <t>Övriga Aktiebolag</t>
        </is>
      </c>
      <c r="G6964" t="n">
        <v>3.4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33000-2023</t>
        </is>
      </c>
      <c r="B6965" s="1" t="n">
        <v>45125</v>
      </c>
      <c r="C6965" s="1" t="n">
        <v>45710</v>
      </c>
      <c r="D6965" t="inlineStr">
        <is>
          <t>ÖSTERGÖTLANDS LÄN</t>
        </is>
      </c>
      <c r="E6965" t="inlineStr">
        <is>
          <t>LINKÖPING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33026-2023</t>
        </is>
      </c>
      <c r="B6966" s="1" t="n">
        <v>45125</v>
      </c>
      <c r="C6966" s="1" t="n">
        <v>45710</v>
      </c>
      <c r="D6966" t="inlineStr">
        <is>
          <t>ÖSTERGÖTLANDS LÄN</t>
        </is>
      </c>
      <c r="E6966" t="inlineStr">
        <is>
          <t>LINKÖPING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33171-2023</t>
        </is>
      </c>
      <c r="B6967" s="1" t="n">
        <v>45126</v>
      </c>
      <c r="C6967" s="1" t="n">
        <v>45710</v>
      </c>
      <c r="D6967" t="inlineStr">
        <is>
          <t>ÖSTERGÖTLANDS LÄN</t>
        </is>
      </c>
      <c r="E6967" t="inlineStr">
        <is>
          <t>NORRKÖPING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33170-2023</t>
        </is>
      </c>
      <c r="B6968" s="1" t="n">
        <v>45126</v>
      </c>
      <c r="C6968" s="1" t="n">
        <v>45710</v>
      </c>
      <c r="D6968" t="inlineStr">
        <is>
          <t>ÖSTERGÖTLANDS LÄN</t>
        </is>
      </c>
      <c r="E6968" t="inlineStr">
        <is>
          <t>NORRKÖPING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33190-2023</t>
        </is>
      </c>
      <c r="B6969" s="1" t="n">
        <v>45127</v>
      </c>
      <c r="C6969" s="1" t="n">
        <v>45710</v>
      </c>
      <c r="D6969" t="inlineStr">
        <is>
          <t>ÖSTERGÖTLANDS LÄN</t>
        </is>
      </c>
      <c r="E6969" t="inlineStr">
        <is>
          <t>VALDEMARSVIK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33341-2023</t>
        </is>
      </c>
      <c r="B6970" s="1" t="n">
        <v>45128</v>
      </c>
      <c r="C6970" s="1" t="n">
        <v>45710</v>
      </c>
      <c r="D6970" t="inlineStr">
        <is>
          <t>ÖSTERGÖTLANDS LÄN</t>
        </is>
      </c>
      <c r="E6970" t="inlineStr">
        <is>
          <t>NORRKÖPING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34274-2023</t>
        </is>
      </c>
      <c r="B6971" s="1" t="n">
        <v>45128</v>
      </c>
      <c r="C6971" s="1" t="n">
        <v>45710</v>
      </c>
      <c r="D6971" t="inlineStr">
        <is>
          <t>ÖSTERGÖTLANDS LÄN</t>
        </is>
      </c>
      <c r="E6971" t="inlineStr">
        <is>
          <t>KINDA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34285-2023</t>
        </is>
      </c>
      <c r="B6972" s="1" t="n">
        <v>45128</v>
      </c>
      <c r="C6972" s="1" t="n">
        <v>45710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Allmännings- och besparingsskogar</t>
        </is>
      </c>
      <c r="G6972" t="n">
        <v>6.9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33446-2023</t>
        </is>
      </c>
      <c r="B6973" s="1" t="n">
        <v>45129</v>
      </c>
      <c r="C6973" s="1" t="n">
        <v>45710</v>
      </c>
      <c r="D6973" t="inlineStr">
        <is>
          <t>ÖSTERGÖTLANDS LÄN</t>
        </is>
      </c>
      <c r="E6973" t="inlineStr">
        <is>
          <t>NORRKÖPING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33447-2023</t>
        </is>
      </c>
      <c r="B6974" s="1" t="n">
        <v>45130</v>
      </c>
      <c r="C6974" s="1" t="n">
        <v>45710</v>
      </c>
      <c r="D6974" t="inlineStr">
        <is>
          <t>ÖSTERGÖTLANDS LÄN</t>
        </is>
      </c>
      <c r="E6974" t="inlineStr">
        <is>
          <t>YDRE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33537-2023</t>
        </is>
      </c>
      <c r="B6975" s="1" t="n">
        <v>45131</v>
      </c>
      <c r="C6975" s="1" t="n">
        <v>45710</v>
      </c>
      <c r="D6975" t="inlineStr">
        <is>
          <t>ÖSTERGÖTLANDS LÄN</t>
        </is>
      </c>
      <c r="E6975" t="inlineStr">
        <is>
          <t>FINSPÅNG</t>
        </is>
      </c>
      <c r="F6975" t="inlineStr">
        <is>
          <t>Övriga Aktiebolag</t>
        </is>
      </c>
      <c r="G6975" t="n">
        <v>10.8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33568-2023</t>
        </is>
      </c>
      <c r="B6976" s="1" t="n">
        <v>45131</v>
      </c>
      <c r="C6976" s="1" t="n">
        <v>45710</v>
      </c>
      <c r="D6976" t="inlineStr">
        <is>
          <t>ÖSTERGÖTLANDS LÄN</t>
        </is>
      </c>
      <c r="E6976" t="inlineStr">
        <is>
          <t>FINSPÅNG</t>
        </is>
      </c>
      <c r="F6976" t="inlineStr">
        <is>
          <t>Övriga Aktiebolag</t>
        </is>
      </c>
      <c r="G6976" t="n">
        <v>3.1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34393-2023</t>
        </is>
      </c>
      <c r="B6977" s="1" t="n">
        <v>45132</v>
      </c>
      <c r="C6977" s="1" t="n">
        <v>45710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Allmännings- och besparingsskogar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33809-2023</t>
        </is>
      </c>
      <c r="B6978" s="1" t="n">
        <v>45133</v>
      </c>
      <c r="C6978" s="1" t="n">
        <v>45710</v>
      </c>
      <c r="D6978" t="inlineStr">
        <is>
          <t>ÖSTERGÖTLANDS LÄN</t>
        </is>
      </c>
      <c r="E6978" t="inlineStr">
        <is>
          <t>FINSPÅNG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33856-2023</t>
        </is>
      </c>
      <c r="B6979" s="1" t="n">
        <v>45133</v>
      </c>
      <c r="C6979" s="1" t="n">
        <v>45710</v>
      </c>
      <c r="D6979" t="inlineStr">
        <is>
          <t>ÖSTERGÖTLANDS LÄN</t>
        </is>
      </c>
      <c r="E6979" t="inlineStr">
        <is>
          <t>ÖDESHÖG</t>
        </is>
      </c>
      <c r="G6979" t="n">
        <v>6.3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33868-2023</t>
        </is>
      </c>
      <c r="B6980" s="1" t="n">
        <v>45134</v>
      </c>
      <c r="C6980" s="1" t="n">
        <v>45710</v>
      </c>
      <c r="D6980" t="inlineStr">
        <is>
          <t>ÖSTERGÖTLANDS LÄN</t>
        </is>
      </c>
      <c r="E6980" t="inlineStr">
        <is>
          <t>LINKÖPING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33804-2023</t>
        </is>
      </c>
      <c r="B6981" s="1" t="n">
        <v>45133</v>
      </c>
      <c r="C6981" s="1" t="n">
        <v>45710</v>
      </c>
      <c r="D6981" t="inlineStr">
        <is>
          <t>ÖSTERGÖTLANDS LÄN</t>
        </is>
      </c>
      <c r="E6981" t="inlineStr">
        <is>
          <t>FINSPÅNG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33867-2023</t>
        </is>
      </c>
      <c r="B6982" s="1" t="n">
        <v>45134</v>
      </c>
      <c r="C6982" s="1" t="n">
        <v>45710</v>
      </c>
      <c r="D6982" t="inlineStr">
        <is>
          <t>ÖSTERGÖTLANDS LÄN</t>
        </is>
      </c>
      <c r="E6982" t="inlineStr">
        <is>
          <t>LINKÖPING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34357-2023</t>
        </is>
      </c>
      <c r="B6983" s="1" t="n">
        <v>45133</v>
      </c>
      <c r="C6983" s="1" t="n">
        <v>45710</v>
      </c>
      <c r="D6983" t="inlineStr">
        <is>
          <t>ÖSTERGÖTLANDS LÄN</t>
        </is>
      </c>
      <c r="E6983" t="inlineStr">
        <is>
          <t>VALDEMARSVIK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33799-2023</t>
        </is>
      </c>
      <c r="B6984" s="1" t="n">
        <v>45133</v>
      </c>
      <c r="C6984" s="1" t="n">
        <v>45710</v>
      </c>
      <c r="D6984" t="inlineStr">
        <is>
          <t>ÖSTERGÖTLANDS LÄN</t>
        </is>
      </c>
      <c r="E6984" t="inlineStr">
        <is>
          <t>FINSPÅNG</t>
        </is>
      </c>
      <c r="G6984" t="n">
        <v>4.9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33943-2023</t>
        </is>
      </c>
      <c r="B6985" s="1" t="n">
        <v>45134</v>
      </c>
      <c r="C6985" s="1" t="n">
        <v>45710</v>
      </c>
      <c r="D6985" t="inlineStr">
        <is>
          <t>ÖSTERGÖTLANDS LÄN</t>
        </is>
      </c>
      <c r="E6985" t="inlineStr">
        <is>
          <t>MOTALA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33997-2023</t>
        </is>
      </c>
      <c r="B6986" s="1" t="n">
        <v>45134</v>
      </c>
      <c r="C6986" s="1" t="n">
        <v>45710</v>
      </c>
      <c r="D6986" t="inlineStr">
        <is>
          <t>ÖSTERGÖTLANDS LÄN</t>
        </is>
      </c>
      <c r="E6986" t="inlineStr">
        <is>
          <t>KINDA</t>
        </is>
      </c>
      <c r="G6986" t="n">
        <v>3.7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34541-2023</t>
        </is>
      </c>
      <c r="B6987" s="1" t="n">
        <v>45134</v>
      </c>
      <c r="C6987" s="1" t="n">
        <v>45710</v>
      </c>
      <c r="D6987" t="inlineStr">
        <is>
          <t>ÖSTERGÖTLANDS LÄN</t>
        </is>
      </c>
      <c r="E6987" t="inlineStr">
        <is>
          <t>FINSPÅNG</t>
        </is>
      </c>
      <c r="G6987" t="n">
        <v>3.7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34181-2023</t>
        </is>
      </c>
      <c r="B6988" s="1" t="n">
        <v>45138</v>
      </c>
      <c r="C6988" s="1" t="n">
        <v>45710</v>
      </c>
      <c r="D6988" t="inlineStr">
        <is>
          <t>ÖSTERGÖTLANDS LÄN</t>
        </is>
      </c>
      <c r="E6988" t="inlineStr">
        <is>
          <t>YDRE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34177-2023</t>
        </is>
      </c>
      <c r="B6989" s="1" t="n">
        <v>45138</v>
      </c>
      <c r="C6989" s="1" t="n">
        <v>45710</v>
      </c>
      <c r="D6989" t="inlineStr">
        <is>
          <t>ÖSTERGÖTLANDS LÄN</t>
        </is>
      </c>
      <c r="E6989" t="inlineStr">
        <is>
          <t>YDRE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34296-2023</t>
        </is>
      </c>
      <c r="B6990" s="1" t="n">
        <v>45138</v>
      </c>
      <c r="C6990" s="1" t="n">
        <v>45710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34372-2023</t>
        </is>
      </c>
      <c r="B6991" s="1" t="n">
        <v>45139</v>
      </c>
      <c r="C6991" s="1" t="n">
        <v>45710</v>
      </c>
      <c r="D6991" t="inlineStr">
        <is>
          <t>ÖSTERGÖTLANDS LÄN</t>
        </is>
      </c>
      <c r="E6991" t="inlineStr">
        <is>
          <t>KINDA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34470-2023</t>
        </is>
      </c>
      <c r="B6992" s="1" t="n">
        <v>45139</v>
      </c>
      <c r="C6992" s="1" t="n">
        <v>45710</v>
      </c>
      <c r="D6992" t="inlineStr">
        <is>
          <t>ÖSTERGÖTLANDS LÄN</t>
        </is>
      </c>
      <c r="E6992" t="inlineStr">
        <is>
          <t>LINKÖPING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34627-2023</t>
        </is>
      </c>
      <c r="B6993" s="1" t="n">
        <v>45139</v>
      </c>
      <c r="C6993" s="1" t="n">
        <v>45710</v>
      </c>
      <c r="D6993" t="inlineStr">
        <is>
          <t>ÖSTERGÖTLANDS LÄN</t>
        </is>
      </c>
      <c r="E6993" t="inlineStr">
        <is>
          <t>KINDA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34877-2023</t>
        </is>
      </c>
      <c r="B6994" s="1" t="n">
        <v>45140</v>
      </c>
      <c r="C6994" s="1" t="n">
        <v>45710</v>
      </c>
      <c r="D6994" t="inlineStr">
        <is>
          <t>ÖSTERGÖTLANDS LÄN</t>
        </is>
      </c>
      <c r="E6994" t="inlineStr">
        <is>
          <t>LINKÖPING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34872-2023</t>
        </is>
      </c>
      <c r="B6995" s="1" t="n">
        <v>45140</v>
      </c>
      <c r="C6995" s="1" t="n">
        <v>45710</v>
      </c>
      <c r="D6995" t="inlineStr">
        <is>
          <t>ÖSTERGÖTLANDS LÄN</t>
        </is>
      </c>
      <c r="E6995" t="inlineStr">
        <is>
          <t>LINKÖPING</t>
        </is>
      </c>
      <c r="G6995" t="n">
        <v>4.8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34879-2023</t>
        </is>
      </c>
      <c r="B6996" s="1" t="n">
        <v>45140</v>
      </c>
      <c r="C6996" s="1" t="n">
        <v>45710</v>
      </c>
      <c r="D6996" t="inlineStr">
        <is>
          <t>ÖSTERGÖTLANDS LÄN</t>
        </is>
      </c>
      <c r="E6996" t="inlineStr">
        <is>
          <t>LINKÖPING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34875-2023</t>
        </is>
      </c>
      <c r="B6997" s="1" t="n">
        <v>45140</v>
      </c>
      <c r="C6997" s="1" t="n">
        <v>45710</v>
      </c>
      <c r="D6997" t="inlineStr">
        <is>
          <t>ÖSTERGÖTLANDS LÄN</t>
        </is>
      </c>
      <c r="E6997" t="inlineStr">
        <is>
          <t>LINKÖPING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34889-2023</t>
        </is>
      </c>
      <c r="B6998" s="1" t="n">
        <v>45140</v>
      </c>
      <c r="C6998" s="1" t="n">
        <v>45710</v>
      </c>
      <c r="D6998" t="inlineStr">
        <is>
          <t>ÖSTERGÖTLANDS LÄN</t>
        </is>
      </c>
      <c r="E6998" t="inlineStr">
        <is>
          <t>LINKÖPING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34873-2023</t>
        </is>
      </c>
      <c r="B6999" s="1" t="n">
        <v>45140</v>
      </c>
      <c r="C6999" s="1" t="n">
        <v>45710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34881-2023</t>
        </is>
      </c>
      <c r="B7000" s="1" t="n">
        <v>45140</v>
      </c>
      <c r="C7000" s="1" t="n">
        <v>45710</v>
      </c>
      <c r="D7000" t="inlineStr">
        <is>
          <t>ÖSTERGÖTLANDS LÄN</t>
        </is>
      </c>
      <c r="E7000" t="inlineStr">
        <is>
          <t>LINKÖPING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34806-2023</t>
        </is>
      </c>
      <c r="B7001" s="1" t="n">
        <v>45141</v>
      </c>
      <c r="C7001" s="1" t="n">
        <v>45710</v>
      </c>
      <c r="D7001" t="inlineStr">
        <is>
          <t>ÖSTERGÖTLANDS LÄN</t>
        </is>
      </c>
      <c r="E7001" t="inlineStr">
        <is>
          <t>BOXHOLM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34812-2023</t>
        </is>
      </c>
      <c r="B7002" s="1" t="n">
        <v>45141</v>
      </c>
      <c r="C7002" s="1" t="n">
        <v>45710</v>
      </c>
      <c r="D7002" t="inlineStr">
        <is>
          <t>ÖSTERGÖTLANDS LÄN</t>
        </is>
      </c>
      <c r="E7002" t="inlineStr">
        <is>
          <t>BOXHOLM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34839-2023</t>
        </is>
      </c>
      <c r="B7003" s="1" t="n">
        <v>45141</v>
      </c>
      <c r="C7003" s="1" t="n">
        <v>45710</v>
      </c>
      <c r="D7003" t="inlineStr">
        <is>
          <t>ÖSTERGÖTLANDS LÄN</t>
        </is>
      </c>
      <c r="E7003" t="inlineStr">
        <is>
          <t>BOXHOLM</t>
        </is>
      </c>
      <c r="G7003" t="n">
        <v>2.6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34882-2023</t>
        </is>
      </c>
      <c r="B7004" s="1" t="n">
        <v>45141</v>
      </c>
      <c r="C7004" s="1" t="n">
        <v>45710</v>
      </c>
      <c r="D7004" t="inlineStr">
        <is>
          <t>ÖSTERGÖTLANDS LÄN</t>
        </is>
      </c>
      <c r="E7004" t="inlineStr">
        <is>
          <t>KINDA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34811-2023</t>
        </is>
      </c>
      <c r="B7005" s="1" t="n">
        <v>45141</v>
      </c>
      <c r="C7005" s="1" t="n">
        <v>45710</v>
      </c>
      <c r="D7005" t="inlineStr">
        <is>
          <t>ÖSTERGÖTLANDS LÄN</t>
        </is>
      </c>
      <c r="E7005" t="inlineStr">
        <is>
          <t>BOXHOLM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34815-2023</t>
        </is>
      </c>
      <c r="B7006" s="1" t="n">
        <v>45141</v>
      </c>
      <c r="C7006" s="1" t="n">
        <v>45710</v>
      </c>
      <c r="D7006" t="inlineStr">
        <is>
          <t>ÖSTERGÖTLANDS LÄN</t>
        </is>
      </c>
      <c r="E7006" t="inlineStr">
        <is>
          <t>BOXHOLM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34977-2023</t>
        </is>
      </c>
      <c r="B7007" s="1" t="n">
        <v>45141</v>
      </c>
      <c r="C7007" s="1" t="n">
        <v>45710</v>
      </c>
      <c r="D7007" t="inlineStr">
        <is>
          <t>ÖSTERGÖTLANDS LÄN</t>
        </is>
      </c>
      <c r="E7007" t="inlineStr">
        <is>
          <t>NORRKÖPING</t>
        </is>
      </c>
      <c r="F7007" t="inlineStr">
        <is>
          <t>Allmännings- och besparingsskogar</t>
        </is>
      </c>
      <c r="G7007" t="n">
        <v>3.8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34864-2023</t>
        </is>
      </c>
      <c r="B7008" s="1" t="n">
        <v>45141</v>
      </c>
      <c r="C7008" s="1" t="n">
        <v>45710</v>
      </c>
      <c r="D7008" t="inlineStr">
        <is>
          <t>ÖSTERGÖTLANDS LÄN</t>
        </is>
      </c>
      <c r="E7008" t="inlineStr">
        <is>
          <t>LINKÖPING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34930-2023</t>
        </is>
      </c>
      <c r="B7009" s="1" t="n">
        <v>45142</v>
      </c>
      <c r="C7009" s="1" t="n">
        <v>45710</v>
      </c>
      <c r="D7009" t="inlineStr">
        <is>
          <t>ÖSTERGÖTLANDS LÄN</t>
        </is>
      </c>
      <c r="E7009" t="inlineStr">
        <is>
          <t>LINKÖPING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34941-2023</t>
        </is>
      </c>
      <c r="B7010" s="1" t="n">
        <v>45142</v>
      </c>
      <c r="C7010" s="1" t="n">
        <v>45710</v>
      </c>
      <c r="D7010" t="inlineStr">
        <is>
          <t>ÖSTERGÖTLANDS LÄN</t>
        </is>
      </c>
      <c r="E7010" t="inlineStr">
        <is>
          <t>FINSPÅNG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34928-2023</t>
        </is>
      </c>
      <c r="B7011" s="1" t="n">
        <v>45142</v>
      </c>
      <c r="C7011" s="1" t="n">
        <v>45710</v>
      </c>
      <c r="D7011" t="inlineStr">
        <is>
          <t>ÖSTERGÖTLANDS LÄN</t>
        </is>
      </c>
      <c r="E7011" t="inlineStr">
        <is>
          <t>LINKÖPING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35091-2023</t>
        </is>
      </c>
      <c r="B7012" s="1" t="n">
        <v>45145</v>
      </c>
      <c r="C7012" s="1" t="n">
        <v>45710</v>
      </c>
      <c r="D7012" t="inlineStr">
        <is>
          <t>ÖSTERGÖTLANDS LÄN</t>
        </is>
      </c>
      <c r="E7012" t="inlineStr">
        <is>
          <t>BOXHOLM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35101-2023</t>
        </is>
      </c>
      <c r="B7013" s="1" t="n">
        <v>45145</v>
      </c>
      <c r="C7013" s="1" t="n">
        <v>45710</v>
      </c>
      <c r="D7013" t="inlineStr">
        <is>
          <t>ÖSTERGÖTLANDS LÄN</t>
        </is>
      </c>
      <c r="E7013" t="inlineStr">
        <is>
          <t>VALDEMARSVIK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35079-2023</t>
        </is>
      </c>
      <c r="B7014" s="1" t="n">
        <v>45145</v>
      </c>
      <c r="C7014" s="1" t="n">
        <v>45710</v>
      </c>
      <c r="D7014" t="inlineStr">
        <is>
          <t>ÖSTERGÖTLANDS LÄN</t>
        </is>
      </c>
      <c r="E7014" t="inlineStr">
        <is>
          <t>ÖDESHÖG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35097-2023</t>
        </is>
      </c>
      <c r="B7015" s="1" t="n">
        <v>45145</v>
      </c>
      <c r="C7015" s="1" t="n">
        <v>45710</v>
      </c>
      <c r="D7015" t="inlineStr">
        <is>
          <t>ÖSTERGÖTLANDS LÄN</t>
        </is>
      </c>
      <c r="E7015" t="inlineStr">
        <is>
          <t>ÖDESHÖG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35223-2023</t>
        </is>
      </c>
      <c r="B7016" s="1" t="n">
        <v>45145</v>
      </c>
      <c r="C7016" s="1" t="n">
        <v>45710</v>
      </c>
      <c r="D7016" t="inlineStr">
        <is>
          <t>ÖSTERGÖTLANDS LÄN</t>
        </is>
      </c>
      <c r="E7016" t="inlineStr">
        <is>
          <t>KINDA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35146-2023</t>
        </is>
      </c>
      <c r="B7017" s="1" t="n">
        <v>45145</v>
      </c>
      <c r="C7017" s="1" t="n">
        <v>45710</v>
      </c>
      <c r="D7017" t="inlineStr">
        <is>
          <t>ÖSTERGÖTLANDS LÄN</t>
        </is>
      </c>
      <c r="E7017" t="inlineStr">
        <is>
          <t>NORRKÖPING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35203-2023</t>
        </is>
      </c>
      <c r="B7018" s="1" t="n">
        <v>45145</v>
      </c>
      <c r="C7018" s="1" t="n">
        <v>45710</v>
      </c>
      <c r="D7018" t="inlineStr">
        <is>
          <t>ÖSTERGÖTLANDS LÄN</t>
        </is>
      </c>
      <c r="E7018" t="inlineStr">
        <is>
          <t>KINDA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35208-2023</t>
        </is>
      </c>
      <c r="B7019" s="1" t="n">
        <v>45145</v>
      </c>
      <c r="C7019" s="1" t="n">
        <v>45710</v>
      </c>
      <c r="D7019" t="inlineStr">
        <is>
          <t>ÖSTERGÖTLANDS LÄN</t>
        </is>
      </c>
      <c r="E7019" t="inlineStr">
        <is>
          <t>KINDA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35103-2023</t>
        </is>
      </c>
      <c r="B7020" s="1" t="n">
        <v>45145</v>
      </c>
      <c r="C7020" s="1" t="n">
        <v>45710</v>
      </c>
      <c r="D7020" t="inlineStr">
        <is>
          <t>ÖSTERGÖTLANDS LÄN</t>
        </is>
      </c>
      <c r="E7020" t="inlineStr">
        <is>
          <t>VALDEMARSVIK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35148-2023</t>
        </is>
      </c>
      <c r="B7021" s="1" t="n">
        <v>45145</v>
      </c>
      <c r="C7021" s="1" t="n">
        <v>45710</v>
      </c>
      <c r="D7021" t="inlineStr">
        <is>
          <t>ÖSTERGÖTLANDS LÄN</t>
        </is>
      </c>
      <c r="E7021" t="inlineStr">
        <is>
          <t>NORRKÖPING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35204-2023</t>
        </is>
      </c>
      <c r="B7022" s="1" t="n">
        <v>45145</v>
      </c>
      <c r="C7022" s="1" t="n">
        <v>45710</v>
      </c>
      <c r="D7022" t="inlineStr">
        <is>
          <t>ÖSTERGÖTLANDS LÄN</t>
        </is>
      </c>
      <c r="E7022" t="inlineStr">
        <is>
          <t>KINDA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35209-2023</t>
        </is>
      </c>
      <c r="B7023" s="1" t="n">
        <v>45145</v>
      </c>
      <c r="C7023" s="1" t="n">
        <v>45710</v>
      </c>
      <c r="D7023" t="inlineStr">
        <is>
          <t>ÖSTERGÖTLANDS LÄN</t>
        </is>
      </c>
      <c r="E7023" t="inlineStr">
        <is>
          <t>YDRE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35213-2023</t>
        </is>
      </c>
      <c r="B7024" s="1" t="n">
        <v>45145</v>
      </c>
      <c r="C7024" s="1" t="n">
        <v>45710</v>
      </c>
      <c r="D7024" t="inlineStr">
        <is>
          <t>ÖSTERGÖTLANDS LÄN</t>
        </is>
      </c>
      <c r="E7024" t="inlineStr">
        <is>
          <t>KINDA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35221-2023</t>
        </is>
      </c>
      <c r="B7025" s="1" t="n">
        <v>45145</v>
      </c>
      <c r="C7025" s="1" t="n">
        <v>45710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35225-2023</t>
        </is>
      </c>
      <c r="B7026" s="1" t="n">
        <v>45145</v>
      </c>
      <c r="C7026" s="1" t="n">
        <v>45710</v>
      </c>
      <c r="D7026" t="inlineStr">
        <is>
          <t>ÖSTERGÖTLANDS LÄN</t>
        </is>
      </c>
      <c r="E7026" t="inlineStr">
        <is>
          <t>ÖDESHÖG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35229-2023</t>
        </is>
      </c>
      <c r="B7027" s="1" t="n">
        <v>45145</v>
      </c>
      <c r="C7027" s="1" t="n">
        <v>45710</v>
      </c>
      <c r="D7027" t="inlineStr">
        <is>
          <t>ÖSTERGÖTLANDS LÄN</t>
        </is>
      </c>
      <c r="E7027" t="inlineStr">
        <is>
          <t>ÖDESHÖG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35081-2023</t>
        </is>
      </c>
      <c r="B7028" s="1" t="n">
        <v>45145</v>
      </c>
      <c r="C7028" s="1" t="n">
        <v>45710</v>
      </c>
      <c r="D7028" t="inlineStr">
        <is>
          <t>ÖSTERGÖTLANDS LÄN</t>
        </is>
      </c>
      <c r="E7028" t="inlineStr">
        <is>
          <t>BOXHOLM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35095-2023</t>
        </is>
      </c>
      <c r="B7029" s="1" t="n">
        <v>45145</v>
      </c>
      <c r="C7029" s="1" t="n">
        <v>45710</v>
      </c>
      <c r="D7029" t="inlineStr">
        <is>
          <t>ÖSTERGÖTLANDS LÄN</t>
        </is>
      </c>
      <c r="E7029" t="inlineStr">
        <is>
          <t>ÖDESHÖG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35099-2023</t>
        </is>
      </c>
      <c r="B7030" s="1" t="n">
        <v>45145</v>
      </c>
      <c r="C7030" s="1" t="n">
        <v>45710</v>
      </c>
      <c r="D7030" t="inlineStr">
        <is>
          <t>ÖSTERGÖTLANDS LÄN</t>
        </is>
      </c>
      <c r="E7030" t="inlineStr">
        <is>
          <t>BOXHOLM</t>
        </is>
      </c>
      <c r="G7030" t="n">
        <v>4.1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35104-2023</t>
        </is>
      </c>
      <c r="B7031" s="1" t="n">
        <v>45145</v>
      </c>
      <c r="C7031" s="1" t="n">
        <v>45710</v>
      </c>
      <c r="D7031" t="inlineStr">
        <is>
          <t>ÖSTERGÖTLANDS LÄN</t>
        </is>
      </c>
      <c r="E7031" t="inlineStr">
        <is>
          <t>KINDA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35124-2023</t>
        </is>
      </c>
      <c r="B7032" s="1" t="n">
        <v>45145</v>
      </c>
      <c r="C7032" s="1" t="n">
        <v>45710</v>
      </c>
      <c r="D7032" t="inlineStr">
        <is>
          <t>ÖSTERGÖTLANDS LÄN</t>
        </is>
      </c>
      <c r="E7032" t="inlineStr">
        <is>
          <t>ÖDESHÖG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35218-2023</t>
        </is>
      </c>
      <c r="B7033" s="1" t="n">
        <v>45145</v>
      </c>
      <c r="C7033" s="1" t="n">
        <v>45710</v>
      </c>
      <c r="D7033" t="inlineStr">
        <is>
          <t>ÖSTERGÖTLANDS LÄN</t>
        </is>
      </c>
      <c r="E7033" t="inlineStr">
        <is>
          <t>KINDA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35345-2023</t>
        </is>
      </c>
      <c r="B7034" s="1" t="n">
        <v>45146</v>
      </c>
      <c r="C7034" s="1" t="n">
        <v>45710</v>
      </c>
      <c r="D7034" t="inlineStr">
        <is>
          <t>ÖSTERGÖTLANDS LÄN</t>
        </is>
      </c>
      <c r="E7034" t="inlineStr">
        <is>
          <t>BOXHOLM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35380-2023</t>
        </is>
      </c>
      <c r="B7035" s="1" t="n">
        <v>45146</v>
      </c>
      <c r="C7035" s="1" t="n">
        <v>45710</v>
      </c>
      <c r="D7035" t="inlineStr">
        <is>
          <t>ÖSTERGÖTLANDS LÄN</t>
        </is>
      </c>
      <c r="E7035" t="inlineStr">
        <is>
          <t>ÖDESHÖG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35411-2023</t>
        </is>
      </c>
      <c r="B7036" s="1" t="n">
        <v>45146</v>
      </c>
      <c r="C7036" s="1" t="n">
        <v>45710</v>
      </c>
      <c r="D7036" t="inlineStr">
        <is>
          <t>ÖSTERGÖTLANDS LÄN</t>
        </is>
      </c>
      <c r="E7036" t="inlineStr">
        <is>
          <t>ÖDESHÖG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35427-2023</t>
        </is>
      </c>
      <c r="B7037" s="1" t="n">
        <v>45146</v>
      </c>
      <c r="C7037" s="1" t="n">
        <v>45710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Övriga Aktiebolag</t>
        </is>
      </c>
      <c r="G7037" t="n">
        <v>2.5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35443-2023</t>
        </is>
      </c>
      <c r="B7038" s="1" t="n">
        <v>45146</v>
      </c>
      <c r="C7038" s="1" t="n">
        <v>45710</v>
      </c>
      <c r="D7038" t="inlineStr">
        <is>
          <t>ÖSTERGÖTLANDS LÄN</t>
        </is>
      </c>
      <c r="E7038" t="inlineStr">
        <is>
          <t>MJÖLBY</t>
        </is>
      </c>
      <c r="G7038" t="n">
        <v>2.4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35447-2023</t>
        </is>
      </c>
      <c r="B7039" s="1" t="n">
        <v>45146</v>
      </c>
      <c r="C7039" s="1" t="n">
        <v>45710</v>
      </c>
      <c r="D7039" t="inlineStr">
        <is>
          <t>ÖSTERGÖTLANDS LÄN</t>
        </is>
      </c>
      <c r="E7039" t="inlineStr">
        <is>
          <t>MJÖLBY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35357-2023</t>
        </is>
      </c>
      <c r="B7040" s="1" t="n">
        <v>45146</v>
      </c>
      <c r="C7040" s="1" t="n">
        <v>45710</v>
      </c>
      <c r="D7040" t="inlineStr">
        <is>
          <t>ÖSTERGÖTLANDS LÄN</t>
        </is>
      </c>
      <c r="E7040" t="inlineStr">
        <is>
          <t>BOXHOLM</t>
        </is>
      </c>
      <c r="G7040" t="n">
        <v>9.6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35393-2023</t>
        </is>
      </c>
      <c r="B7041" s="1" t="n">
        <v>45146</v>
      </c>
      <c r="C7041" s="1" t="n">
        <v>45710</v>
      </c>
      <c r="D7041" t="inlineStr">
        <is>
          <t>ÖSTERGÖTLANDS LÄN</t>
        </is>
      </c>
      <c r="E7041" t="inlineStr">
        <is>
          <t>MJÖLBY</t>
        </is>
      </c>
      <c r="F7041" t="inlineStr">
        <is>
          <t>Kyrkan</t>
        </is>
      </c>
      <c r="G7041" t="n">
        <v>4.1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35337-2023</t>
        </is>
      </c>
      <c r="B7042" s="1" t="n">
        <v>45146</v>
      </c>
      <c r="C7042" s="1" t="n">
        <v>45710</v>
      </c>
      <c r="D7042" t="inlineStr">
        <is>
          <t>ÖSTERGÖTLANDS LÄN</t>
        </is>
      </c>
      <c r="E7042" t="inlineStr">
        <is>
          <t>BOXHOLM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35343-2023</t>
        </is>
      </c>
      <c r="B7043" s="1" t="n">
        <v>45146</v>
      </c>
      <c r="C7043" s="1" t="n">
        <v>45710</v>
      </c>
      <c r="D7043" t="inlineStr">
        <is>
          <t>ÖSTERGÖTLANDS LÄN</t>
        </is>
      </c>
      <c r="E7043" t="inlineStr">
        <is>
          <t>BOXHOLM</t>
        </is>
      </c>
      <c r="G7043" t="n">
        <v>2.9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35348-2023</t>
        </is>
      </c>
      <c r="B7044" s="1" t="n">
        <v>45146</v>
      </c>
      <c r="C7044" s="1" t="n">
        <v>45710</v>
      </c>
      <c r="D7044" t="inlineStr">
        <is>
          <t>ÖSTERGÖTLANDS LÄN</t>
        </is>
      </c>
      <c r="E7044" t="inlineStr">
        <is>
          <t>MJÖLBY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35463-2023</t>
        </is>
      </c>
      <c r="B7045" s="1" t="n">
        <v>45146</v>
      </c>
      <c r="C7045" s="1" t="n">
        <v>45710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35467-2023</t>
        </is>
      </c>
      <c r="B7046" s="1" t="n">
        <v>45146</v>
      </c>
      <c r="C7046" s="1" t="n">
        <v>45710</v>
      </c>
      <c r="D7046" t="inlineStr">
        <is>
          <t>ÖSTERGÖTLANDS LÄN</t>
        </is>
      </c>
      <c r="E7046" t="inlineStr">
        <is>
          <t>MJÖLBY</t>
        </is>
      </c>
      <c r="G7046" t="n">
        <v>6.5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35446-2023</t>
        </is>
      </c>
      <c r="B7047" s="1" t="n">
        <v>45146</v>
      </c>
      <c r="C7047" s="1" t="n">
        <v>45710</v>
      </c>
      <c r="D7047" t="inlineStr">
        <is>
          <t>ÖSTERGÖTLANDS LÄN</t>
        </is>
      </c>
      <c r="E7047" t="inlineStr">
        <is>
          <t>MJÖLBY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35483-2023</t>
        </is>
      </c>
      <c r="B7048" s="1" t="n">
        <v>45146</v>
      </c>
      <c r="C7048" s="1" t="n">
        <v>45710</v>
      </c>
      <c r="D7048" t="inlineStr">
        <is>
          <t>ÖSTERGÖTLANDS LÄN</t>
        </is>
      </c>
      <c r="E7048" t="inlineStr">
        <is>
          <t>LINKÖPING</t>
        </is>
      </c>
      <c r="F7048" t="inlineStr">
        <is>
          <t>Övriga Aktiebolag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35400-2023</t>
        </is>
      </c>
      <c r="B7049" s="1" t="n">
        <v>45146</v>
      </c>
      <c r="C7049" s="1" t="n">
        <v>45710</v>
      </c>
      <c r="D7049" t="inlineStr">
        <is>
          <t>ÖSTERGÖTLANDS LÄN</t>
        </is>
      </c>
      <c r="E7049" t="inlineStr">
        <is>
          <t>MJÖLBY</t>
        </is>
      </c>
      <c r="G7049" t="n">
        <v>4.6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35404-2023</t>
        </is>
      </c>
      <c r="B7050" s="1" t="n">
        <v>45146</v>
      </c>
      <c r="C7050" s="1" t="n">
        <v>45710</v>
      </c>
      <c r="D7050" t="inlineStr">
        <is>
          <t>ÖSTERGÖTLANDS LÄN</t>
        </is>
      </c>
      <c r="E7050" t="inlineStr">
        <is>
          <t>MJÖLBY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35432-2023</t>
        </is>
      </c>
      <c r="B7051" s="1" t="n">
        <v>45146</v>
      </c>
      <c r="C7051" s="1" t="n">
        <v>45710</v>
      </c>
      <c r="D7051" t="inlineStr">
        <is>
          <t>ÖSTERGÖTLANDS LÄN</t>
        </is>
      </c>
      <c r="E7051" t="inlineStr">
        <is>
          <t>BOXHOLM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35452-2023</t>
        </is>
      </c>
      <c r="B7052" s="1" t="n">
        <v>45146</v>
      </c>
      <c r="C7052" s="1" t="n">
        <v>45710</v>
      </c>
      <c r="D7052" t="inlineStr">
        <is>
          <t>ÖSTERGÖTLANDS LÄN</t>
        </is>
      </c>
      <c r="E7052" t="inlineStr">
        <is>
          <t>SÖDERKÖPING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35456-2023</t>
        </is>
      </c>
      <c r="B7053" s="1" t="n">
        <v>45146</v>
      </c>
      <c r="C7053" s="1" t="n">
        <v>45710</v>
      </c>
      <c r="D7053" t="inlineStr">
        <is>
          <t>ÖSTERGÖTLANDS LÄN</t>
        </is>
      </c>
      <c r="E7053" t="inlineStr">
        <is>
          <t>LINKÖPING</t>
        </is>
      </c>
      <c r="F7053" t="inlineStr">
        <is>
          <t>Övriga Aktiebolag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35481-2023</t>
        </is>
      </c>
      <c r="B7054" s="1" t="n">
        <v>45146</v>
      </c>
      <c r="C7054" s="1" t="n">
        <v>45710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Övriga Aktiebolag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35548-2023</t>
        </is>
      </c>
      <c r="B7055" s="1" t="n">
        <v>45147</v>
      </c>
      <c r="C7055" s="1" t="n">
        <v>45710</v>
      </c>
      <c r="D7055" t="inlineStr">
        <is>
          <t>ÖSTERGÖTLANDS LÄN</t>
        </is>
      </c>
      <c r="E7055" t="inlineStr">
        <is>
          <t>ÅTVIDABERG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35738-2023</t>
        </is>
      </c>
      <c r="B7056" s="1" t="n">
        <v>45147</v>
      </c>
      <c r="C7056" s="1" t="n">
        <v>45710</v>
      </c>
      <c r="D7056" t="inlineStr">
        <is>
          <t>ÖSTERGÖTLANDS LÄN</t>
        </is>
      </c>
      <c r="E7056" t="inlineStr">
        <is>
          <t>ÅTVIDABERG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35570-2023</t>
        </is>
      </c>
      <c r="B7057" s="1" t="n">
        <v>45147</v>
      </c>
      <c r="C7057" s="1" t="n">
        <v>45710</v>
      </c>
      <c r="D7057" t="inlineStr">
        <is>
          <t>ÖSTERGÖTLANDS LÄN</t>
        </is>
      </c>
      <c r="E7057" t="inlineStr">
        <is>
          <t>FINSPÅNG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35598-2023</t>
        </is>
      </c>
      <c r="B7058" s="1" t="n">
        <v>45147</v>
      </c>
      <c r="C7058" s="1" t="n">
        <v>45710</v>
      </c>
      <c r="D7058" t="inlineStr">
        <is>
          <t>ÖSTERGÖTLANDS LÄN</t>
        </is>
      </c>
      <c r="E7058" t="inlineStr">
        <is>
          <t>FINSPÅNG</t>
        </is>
      </c>
      <c r="G7058" t="n">
        <v>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35735-2023</t>
        </is>
      </c>
      <c r="B7059" s="1" t="n">
        <v>45147</v>
      </c>
      <c r="C7059" s="1" t="n">
        <v>45710</v>
      </c>
      <c r="D7059" t="inlineStr">
        <is>
          <t>ÖSTERGÖTLANDS LÄN</t>
        </is>
      </c>
      <c r="E7059" t="inlineStr">
        <is>
          <t>LINKÖPING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35781-2023</t>
        </is>
      </c>
      <c r="B7060" s="1" t="n">
        <v>45147</v>
      </c>
      <c r="C7060" s="1" t="n">
        <v>45710</v>
      </c>
      <c r="D7060" t="inlineStr">
        <is>
          <t>ÖSTERGÖTLANDS LÄN</t>
        </is>
      </c>
      <c r="E7060" t="inlineStr">
        <is>
          <t>LINKÖPING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35525-2023</t>
        </is>
      </c>
      <c r="B7061" s="1" t="n">
        <v>45147</v>
      </c>
      <c r="C7061" s="1" t="n">
        <v>45710</v>
      </c>
      <c r="D7061" t="inlineStr">
        <is>
          <t>ÖSTERGÖTLANDS LÄN</t>
        </is>
      </c>
      <c r="E7061" t="inlineStr">
        <is>
          <t>KINDA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35648-2023</t>
        </is>
      </c>
      <c r="B7062" s="1" t="n">
        <v>45147</v>
      </c>
      <c r="C7062" s="1" t="n">
        <v>45710</v>
      </c>
      <c r="D7062" t="inlineStr">
        <is>
          <t>ÖSTERGÖTLANDS LÄN</t>
        </is>
      </c>
      <c r="E7062" t="inlineStr">
        <is>
          <t>BOXHOLM</t>
        </is>
      </c>
      <c r="G7062" t="n">
        <v>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35774-2023</t>
        </is>
      </c>
      <c r="B7063" s="1" t="n">
        <v>45148</v>
      </c>
      <c r="C7063" s="1" t="n">
        <v>45710</v>
      </c>
      <c r="D7063" t="inlineStr">
        <is>
          <t>ÖSTERGÖTLANDS LÄN</t>
        </is>
      </c>
      <c r="E7063" t="inlineStr">
        <is>
          <t>NORRKÖPING</t>
        </is>
      </c>
      <c r="F7063" t="inlineStr">
        <is>
          <t>Holmen skog AB</t>
        </is>
      </c>
      <c r="G7063" t="n">
        <v>2.7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35779-2023</t>
        </is>
      </c>
      <c r="B7064" s="1" t="n">
        <v>45148</v>
      </c>
      <c r="C7064" s="1" t="n">
        <v>45710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Holmen skog AB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  <c r="U7064">
        <f>HYPERLINK("https://klasma.github.io/Logging_0581/knärot/A 35779-2023 karta knärot.png", "A 35779-2023")</f>
        <v/>
      </c>
      <c r="V7064">
        <f>HYPERLINK("https://klasma.github.io/Logging_0581/klagomål/A 35779-2023 FSC-klagomål.docx", "A 35779-2023")</f>
        <v/>
      </c>
      <c r="W7064">
        <f>HYPERLINK("https://klasma.github.io/Logging_0581/klagomålsmail/A 35779-2023 FSC-klagomål mail.docx", "A 35779-2023")</f>
        <v/>
      </c>
      <c r="X7064">
        <f>HYPERLINK("https://klasma.github.io/Logging_0581/tillsyn/A 35779-2023 tillsynsbegäran.docx", "A 35779-2023")</f>
        <v/>
      </c>
      <c r="Y7064">
        <f>HYPERLINK("https://klasma.github.io/Logging_0581/tillsynsmail/A 35779-2023 tillsynsbegäran mail.docx", "A 35779-2023")</f>
        <v/>
      </c>
    </row>
    <row r="7065" ht="15" customHeight="1">
      <c r="A7065" t="inlineStr">
        <is>
          <t>A 35908-2023</t>
        </is>
      </c>
      <c r="B7065" s="1" t="n">
        <v>45148</v>
      </c>
      <c r="C7065" s="1" t="n">
        <v>45710</v>
      </c>
      <c r="D7065" t="inlineStr">
        <is>
          <t>ÖSTERGÖTLANDS LÄN</t>
        </is>
      </c>
      <c r="E7065" t="inlineStr">
        <is>
          <t>VALDEMARSVIK</t>
        </is>
      </c>
      <c r="G7065" t="n">
        <v>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35947-2023</t>
        </is>
      </c>
      <c r="B7066" s="1" t="n">
        <v>45148</v>
      </c>
      <c r="C7066" s="1" t="n">
        <v>45710</v>
      </c>
      <c r="D7066" t="inlineStr">
        <is>
          <t>ÖSTERGÖTLANDS LÄN</t>
        </is>
      </c>
      <c r="E7066" t="inlineStr">
        <is>
          <t>KINDA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35954-2023</t>
        </is>
      </c>
      <c r="B7067" s="1" t="n">
        <v>45148</v>
      </c>
      <c r="C7067" s="1" t="n">
        <v>45710</v>
      </c>
      <c r="D7067" t="inlineStr">
        <is>
          <t>ÖSTERGÖTLANDS LÄN</t>
        </is>
      </c>
      <c r="E7067" t="inlineStr">
        <is>
          <t>KINDA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35993-2023</t>
        </is>
      </c>
      <c r="B7068" s="1" t="n">
        <v>45149</v>
      </c>
      <c r="C7068" s="1" t="n">
        <v>45710</v>
      </c>
      <c r="D7068" t="inlineStr">
        <is>
          <t>ÖSTERGÖTLANDS LÄN</t>
        </is>
      </c>
      <c r="E7068" t="inlineStr">
        <is>
          <t>ÅTVIDABERG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36075-2023</t>
        </is>
      </c>
      <c r="B7069" s="1" t="n">
        <v>45149</v>
      </c>
      <c r="C7069" s="1" t="n">
        <v>45710</v>
      </c>
      <c r="D7069" t="inlineStr">
        <is>
          <t>ÖSTERGÖTLANDS LÄN</t>
        </is>
      </c>
      <c r="E7069" t="inlineStr">
        <is>
          <t>ÖDESHÖG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36118-2023</t>
        </is>
      </c>
      <c r="B7070" s="1" t="n">
        <v>45149</v>
      </c>
      <c r="C7070" s="1" t="n">
        <v>45710</v>
      </c>
      <c r="D7070" t="inlineStr">
        <is>
          <t>ÖSTERGÖTLANDS LÄN</t>
        </is>
      </c>
      <c r="E7070" t="inlineStr">
        <is>
          <t>SÖDERKÖPING</t>
        </is>
      </c>
      <c r="G7070" t="n">
        <v>7.1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36007-2023</t>
        </is>
      </c>
      <c r="B7071" s="1" t="n">
        <v>45149</v>
      </c>
      <c r="C7071" s="1" t="n">
        <v>45710</v>
      </c>
      <c r="D7071" t="inlineStr">
        <is>
          <t>ÖSTERGÖTLANDS LÄN</t>
        </is>
      </c>
      <c r="E7071" t="inlineStr">
        <is>
          <t>KINDA</t>
        </is>
      </c>
      <c r="G7071" t="n">
        <v>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35994-2023</t>
        </is>
      </c>
      <c r="B7072" s="1" t="n">
        <v>45149</v>
      </c>
      <c r="C7072" s="1" t="n">
        <v>45710</v>
      </c>
      <c r="D7072" t="inlineStr">
        <is>
          <t>ÖSTERGÖTLANDS LÄN</t>
        </is>
      </c>
      <c r="E7072" t="inlineStr">
        <is>
          <t>LINKÖPING</t>
        </is>
      </c>
      <c r="G7072" t="n">
        <v>2.5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36044-2023</t>
        </is>
      </c>
      <c r="B7073" s="1" t="n">
        <v>45149</v>
      </c>
      <c r="C7073" s="1" t="n">
        <v>45710</v>
      </c>
      <c r="D7073" t="inlineStr">
        <is>
          <t>ÖSTERGÖTLANDS LÄN</t>
        </is>
      </c>
      <c r="E7073" t="inlineStr">
        <is>
          <t>YDRE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36126-2023</t>
        </is>
      </c>
      <c r="B7074" s="1" t="n">
        <v>45149</v>
      </c>
      <c r="C7074" s="1" t="n">
        <v>45710</v>
      </c>
      <c r="D7074" t="inlineStr">
        <is>
          <t>ÖSTERGÖTLANDS LÄN</t>
        </is>
      </c>
      <c r="E7074" t="inlineStr">
        <is>
          <t>KINDA</t>
        </is>
      </c>
      <c r="G7074" t="n">
        <v>3.8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36128-2023</t>
        </is>
      </c>
      <c r="B7075" s="1" t="n">
        <v>45149</v>
      </c>
      <c r="C7075" s="1" t="n">
        <v>45710</v>
      </c>
      <c r="D7075" t="inlineStr">
        <is>
          <t>ÖSTERGÖTLANDS LÄN</t>
        </is>
      </c>
      <c r="E7075" t="inlineStr">
        <is>
          <t>FINSPÅNG</t>
        </is>
      </c>
      <c r="G7075" t="n">
        <v>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36191-2023</t>
        </is>
      </c>
      <c r="B7076" s="1" t="n">
        <v>45149</v>
      </c>
      <c r="C7076" s="1" t="n">
        <v>45710</v>
      </c>
      <c r="D7076" t="inlineStr">
        <is>
          <t>ÖSTERGÖTLANDS LÄN</t>
        </is>
      </c>
      <c r="E7076" t="inlineStr">
        <is>
          <t>FINSPÅNG</t>
        </is>
      </c>
      <c r="G7076" t="n">
        <v>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36192-2023</t>
        </is>
      </c>
      <c r="B7077" s="1" t="n">
        <v>45149</v>
      </c>
      <c r="C7077" s="1" t="n">
        <v>45710</v>
      </c>
      <c r="D7077" t="inlineStr">
        <is>
          <t>ÖSTERGÖTLANDS LÄN</t>
        </is>
      </c>
      <c r="E7077" t="inlineStr">
        <is>
          <t>FINSPÅNG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36110-2023</t>
        </is>
      </c>
      <c r="B7078" s="1" t="n">
        <v>45149</v>
      </c>
      <c r="C7078" s="1" t="n">
        <v>45710</v>
      </c>
      <c r="D7078" t="inlineStr">
        <is>
          <t>ÖSTERGÖTLANDS LÄN</t>
        </is>
      </c>
      <c r="E7078" t="inlineStr">
        <is>
          <t>FINSPÅNG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36256-2023</t>
        </is>
      </c>
      <c r="B7079" s="1" t="n">
        <v>45151</v>
      </c>
      <c r="C7079" s="1" t="n">
        <v>45710</v>
      </c>
      <c r="D7079" t="inlineStr">
        <is>
          <t>ÖSTERGÖTLANDS LÄN</t>
        </is>
      </c>
      <c r="E7079" t="inlineStr">
        <is>
          <t>KINDA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36422-2023</t>
        </is>
      </c>
      <c r="B7080" s="1" t="n">
        <v>45152</v>
      </c>
      <c r="C7080" s="1" t="n">
        <v>45710</v>
      </c>
      <c r="D7080" t="inlineStr">
        <is>
          <t>ÖSTERGÖTLANDS LÄN</t>
        </is>
      </c>
      <c r="E7080" t="inlineStr">
        <is>
          <t>NORRKÖPING</t>
        </is>
      </c>
      <c r="G7080" t="n">
        <v>3.1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36336-2023</t>
        </is>
      </c>
      <c r="B7081" s="1" t="n">
        <v>45152</v>
      </c>
      <c r="C7081" s="1" t="n">
        <v>45710</v>
      </c>
      <c r="D7081" t="inlineStr">
        <is>
          <t>ÖSTERGÖTLANDS LÄN</t>
        </is>
      </c>
      <c r="E7081" t="inlineStr">
        <is>
          <t>LINKÖPING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36340-2023</t>
        </is>
      </c>
      <c r="B7082" s="1" t="n">
        <v>45152</v>
      </c>
      <c r="C7082" s="1" t="n">
        <v>45710</v>
      </c>
      <c r="D7082" t="inlineStr">
        <is>
          <t>ÖSTERGÖTLANDS LÄN</t>
        </is>
      </c>
      <c r="E7082" t="inlineStr">
        <is>
          <t>LINKÖPING</t>
        </is>
      </c>
      <c r="G7082" t="n">
        <v>4.4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36401-2023</t>
        </is>
      </c>
      <c r="B7083" s="1" t="n">
        <v>45152</v>
      </c>
      <c r="C7083" s="1" t="n">
        <v>45710</v>
      </c>
      <c r="D7083" t="inlineStr">
        <is>
          <t>ÖSTERGÖTLANDS LÄN</t>
        </is>
      </c>
      <c r="E7083" t="inlineStr">
        <is>
          <t>MJÖLBY</t>
        </is>
      </c>
      <c r="F7083" t="inlineStr">
        <is>
          <t>Allmännings- och besparingsskogar</t>
        </is>
      </c>
      <c r="G7083" t="n">
        <v>6.3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36347-2023</t>
        </is>
      </c>
      <c r="B7084" s="1" t="n">
        <v>45152</v>
      </c>
      <c r="C7084" s="1" t="n">
        <v>45710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36491-2023</t>
        </is>
      </c>
      <c r="B7085" s="1" t="n">
        <v>45152</v>
      </c>
      <c r="C7085" s="1" t="n">
        <v>45710</v>
      </c>
      <c r="D7085" t="inlineStr">
        <is>
          <t>ÖSTERGÖTLANDS LÄN</t>
        </is>
      </c>
      <c r="E7085" t="inlineStr">
        <is>
          <t>BOXHOLM</t>
        </is>
      </c>
      <c r="G7085" t="n">
        <v>10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36429-2023</t>
        </is>
      </c>
      <c r="B7086" s="1" t="n">
        <v>45152</v>
      </c>
      <c r="C7086" s="1" t="n">
        <v>45710</v>
      </c>
      <c r="D7086" t="inlineStr">
        <is>
          <t>ÖSTERGÖTLANDS LÄN</t>
        </is>
      </c>
      <c r="E7086" t="inlineStr">
        <is>
          <t>NORRKÖPING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36542-2023</t>
        </is>
      </c>
      <c r="B7087" s="1" t="n">
        <v>45153</v>
      </c>
      <c r="C7087" s="1" t="n">
        <v>45710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Holmen skog AB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36657-2023</t>
        </is>
      </c>
      <c r="B7088" s="1" t="n">
        <v>45153</v>
      </c>
      <c r="C7088" s="1" t="n">
        <v>45710</v>
      </c>
      <c r="D7088" t="inlineStr">
        <is>
          <t>ÖSTERGÖTLANDS LÄN</t>
        </is>
      </c>
      <c r="E7088" t="inlineStr">
        <is>
          <t>LINKÖPING</t>
        </is>
      </c>
      <c r="F7088" t="inlineStr">
        <is>
          <t>Allmännings- och besparingsskogar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36575-2023</t>
        </is>
      </c>
      <c r="B7089" s="1" t="n">
        <v>45153</v>
      </c>
      <c r="C7089" s="1" t="n">
        <v>45710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Holmen skog AB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36730-2023</t>
        </is>
      </c>
      <c r="B7090" s="1" t="n">
        <v>45153</v>
      </c>
      <c r="C7090" s="1" t="n">
        <v>45710</v>
      </c>
      <c r="D7090" t="inlineStr">
        <is>
          <t>ÖSTERGÖTLANDS LÄN</t>
        </is>
      </c>
      <c r="E7090" t="inlineStr">
        <is>
          <t>ÖDESHÖG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36571-2023</t>
        </is>
      </c>
      <c r="B7091" s="1" t="n">
        <v>45153</v>
      </c>
      <c r="C7091" s="1" t="n">
        <v>45710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Holmen skog AB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36642-2023</t>
        </is>
      </c>
      <c r="B7092" s="1" t="n">
        <v>45153</v>
      </c>
      <c r="C7092" s="1" t="n">
        <v>45710</v>
      </c>
      <c r="D7092" t="inlineStr">
        <is>
          <t>ÖSTERGÖTLANDS LÄN</t>
        </is>
      </c>
      <c r="E7092" t="inlineStr">
        <is>
          <t>VALDEMARSVIK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36557-2023</t>
        </is>
      </c>
      <c r="B7093" s="1" t="n">
        <v>45153</v>
      </c>
      <c r="C7093" s="1" t="n">
        <v>45710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Övriga Aktiebolag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36632-2023</t>
        </is>
      </c>
      <c r="B7094" s="1" t="n">
        <v>45153</v>
      </c>
      <c r="C7094" s="1" t="n">
        <v>45710</v>
      </c>
      <c r="D7094" t="inlineStr">
        <is>
          <t>ÖSTERGÖTLANDS LÄN</t>
        </is>
      </c>
      <c r="E7094" t="inlineStr">
        <is>
          <t>KINDA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36694-2023</t>
        </is>
      </c>
      <c r="B7095" s="1" t="n">
        <v>45153</v>
      </c>
      <c r="C7095" s="1" t="n">
        <v>45710</v>
      </c>
      <c r="D7095" t="inlineStr">
        <is>
          <t>ÖSTERGÖTLANDS LÄN</t>
        </is>
      </c>
      <c r="E7095" t="inlineStr">
        <is>
          <t>ÖDESHÖG</t>
        </is>
      </c>
      <c r="G7095" t="n">
        <v>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36728-2023</t>
        </is>
      </c>
      <c r="B7096" s="1" t="n">
        <v>45153</v>
      </c>
      <c r="C7096" s="1" t="n">
        <v>45710</v>
      </c>
      <c r="D7096" t="inlineStr">
        <is>
          <t>ÖSTERGÖTLANDS LÄN</t>
        </is>
      </c>
      <c r="E7096" t="inlineStr">
        <is>
          <t>ÖDESHÖG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36711-2023</t>
        </is>
      </c>
      <c r="B7097" s="1" t="n">
        <v>45153</v>
      </c>
      <c r="C7097" s="1" t="n">
        <v>45710</v>
      </c>
      <c r="D7097" t="inlineStr">
        <is>
          <t>ÖSTERGÖTLANDS LÄN</t>
        </is>
      </c>
      <c r="E7097" t="inlineStr">
        <is>
          <t>YDRE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36605-2023</t>
        </is>
      </c>
      <c r="B7098" s="1" t="n">
        <v>45153</v>
      </c>
      <c r="C7098" s="1" t="n">
        <v>45710</v>
      </c>
      <c r="D7098" t="inlineStr">
        <is>
          <t>ÖSTERGÖTLANDS LÄN</t>
        </is>
      </c>
      <c r="E7098" t="inlineStr">
        <is>
          <t>LINKÖPING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36621-2023</t>
        </is>
      </c>
      <c r="B7099" s="1" t="n">
        <v>45153</v>
      </c>
      <c r="C7099" s="1" t="n">
        <v>45710</v>
      </c>
      <c r="D7099" t="inlineStr">
        <is>
          <t>ÖSTERGÖTLANDS LÄN</t>
        </is>
      </c>
      <c r="E7099" t="inlineStr">
        <is>
          <t>ÅTVIDABERG</t>
        </is>
      </c>
      <c r="G7099" t="n">
        <v>3.9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36725-2023</t>
        </is>
      </c>
      <c r="B7100" s="1" t="n">
        <v>45153</v>
      </c>
      <c r="C7100" s="1" t="n">
        <v>45710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Allmännings- och besparingsskogar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36822-2023</t>
        </is>
      </c>
      <c r="B7101" s="1" t="n">
        <v>45154</v>
      </c>
      <c r="C7101" s="1" t="n">
        <v>45710</v>
      </c>
      <c r="D7101" t="inlineStr">
        <is>
          <t>ÖSTERGÖTLANDS LÄN</t>
        </is>
      </c>
      <c r="E7101" t="inlineStr">
        <is>
          <t>ÅTVIDABERG</t>
        </is>
      </c>
      <c r="G7101" t="n">
        <v>8.9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36828-2023</t>
        </is>
      </c>
      <c r="B7102" s="1" t="n">
        <v>45154</v>
      </c>
      <c r="C7102" s="1" t="n">
        <v>45710</v>
      </c>
      <c r="D7102" t="inlineStr">
        <is>
          <t>ÖSTERGÖTLANDS LÄN</t>
        </is>
      </c>
      <c r="E7102" t="inlineStr">
        <is>
          <t>MJÖLBY</t>
        </is>
      </c>
      <c r="F7102" t="inlineStr">
        <is>
          <t>Sveaskog</t>
        </is>
      </c>
      <c r="G7102" t="n">
        <v>6.7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36937-2023</t>
        </is>
      </c>
      <c r="B7103" s="1" t="n">
        <v>45154</v>
      </c>
      <c r="C7103" s="1" t="n">
        <v>45710</v>
      </c>
      <c r="D7103" t="inlineStr">
        <is>
          <t>ÖSTERGÖTLANDS LÄN</t>
        </is>
      </c>
      <c r="E7103" t="inlineStr">
        <is>
          <t>FINSPÅNG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36941-2023</t>
        </is>
      </c>
      <c r="B7104" s="1" t="n">
        <v>45154</v>
      </c>
      <c r="C7104" s="1" t="n">
        <v>45710</v>
      </c>
      <c r="D7104" t="inlineStr">
        <is>
          <t>ÖSTERGÖTLANDS LÄN</t>
        </is>
      </c>
      <c r="E7104" t="inlineStr">
        <is>
          <t>KINDA</t>
        </is>
      </c>
      <c r="F7104" t="inlineStr">
        <is>
          <t>Allmännings- och besparingsskogar</t>
        </is>
      </c>
      <c r="G7104" t="n">
        <v>8.5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36948-2023</t>
        </is>
      </c>
      <c r="B7105" s="1" t="n">
        <v>45154</v>
      </c>
      <c r="C7105" s="1" t="n">
        <v>45710</v>
      </c>
      <c r="D7105" t="inlineStr">
        <is>
          <t>ÖSTERGÖTLANDS LÄN</t>
        </is>
      </c>
      <c r="E7105" t="inlineStr">
        <is>
          <t>FINSPÅNG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36942-2023</t>
        </is>
      </c>
      <c r="B7106" s="1" t="n">
        <v>45154</v>
      </c>
      <c r="C7106" s="1" t="n">
        <v>45710</v>
      </c>
      <c r="D7106" t="inlineStr">
        <is>
          <t>ÖSTERGÖTLANDS LÄN</t>
        </is>
      </c>
      <c r="E7106" t="inlineStr">
        <is>
          <t>KINDA</t>
        </is>
      </c>
      <c r="F7106" t="inlineStr">
        <is>
          <t>Allmännings- och besparingsskogar</t>
        </is>
      </c>
      <c r="G7106" t="n">
        <v>14.8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36817-2023</t>
        </is>
      </c>
      <c r="B7107" s="1" t="n">
        <v>45154</v>
      </c>
      <c r="C7107" s="1" t="n">
        <v>45710</v>
      </c>
      <c r="D7107" t="inlineStr">
        <is>
          <t>ÖSTERGÖTLANDS LÄN</t>
        </is>
      </c>
      <c r="E7107" t="inlineStr">
        <is>
          <t>FINSPÅNG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37129-2023</t>
        </is>
      </c>
      <c r="B7108" s="1" t="n">
        <v>45155</v>
      </c>
      <c r="C7108" s="1" t="n">
        <v>45710</v>
      </c>
      <c r="D7108" t="inlineStr">
        <is>
          <t>ÖSTERGÖTLANDS LÄN</t>
        </is>
      </c>
      <c r="E7108" t="inlineStr">
        <is>
          <t>MOTALA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37154-2023</t>
        </is>
      </c>
      <c r="B7109" s="1" t="n">
        <v>45155</v>
      </c>
      <c r="C7109" s="1" t="n">
        <v>45710</v>
      </c>
      <c r="D7109" t="inlineStr">
        <is>
          <t>ÖSTERGÖTLANDS LÄN</t>
        </is>
      </c>
      <c r="E7109" t="inlineStr">
        <is>
          <t>LINKÖPING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37084-2023</t>
        </is>
      </c>
      <c r="B7110" s="1" t="n">
        <v>45155</v>
      </c>
      <c r="C7110" s="1" t="n">
        <v>45710</v>
      </c>
      <c r="D7110" t="inlineStr">
        <is>
          <t>ÖSTERGÖTLANDS LÄN</t>
        </is>
      </c>
      <c r="E7110" t="inlineStr">
        <is>
          <t>MOTALA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37158-2023</t>
        </is>
      </c>
      <c r="B7111" s="1" t="n">
        <v>45155</v>
      </c>
      <c r="C7111" s="1" t="n">
        <v>45710</v>
      </c>
      <c r="D7111" t="inlineStr">
        <is>
          <t>ÖSTERGÖTLANDS LÄN</t>
        </is>
      </c>
      <c r="E7111" t="inlineStr">
        <is>
          <t>LINKÖPING</t>
        </is>
      </c>
      <c r="G7111" t="n">
        <v>2.7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37580-2023</t>
        </is>
      </c>
      <c r="B7112" s="1" t="n">
        <v>45155</v>
      </c>
      <c r="C7112" s="1" t="n">
        <v>45710</v>
      </c>
      <c r="D7112" t="inlineStr">
        <is>
          <t>ÖSTERGÖTLANDS LÄN</t>
        </is>
      </c>
      <c r="E7112" t="inlineStr">
        <is>
          <t>ÅTVIDABERG</t>
        </is>
      </c>
      <c r="F7112" t="inlineStr">
        <is>
          <t>Övriga statliga verk och myndigheter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37156-2023</t>
        </is>
      </c>
      <c r="B7113" s="1" t="n">
        <v>45155</v>
      </c>
      <c r="C7113" s="1" t="n">
        <v>45710</v>
      </c>
      <c r="D7113" t="inlineStr">
        <is>
          <t>ÖSTERGÖTLANDS LÄN</t>
        </is>
      </c>
      <c r="E7113" t="inlineStr">
        <is>
          <t>ÅTVIDABERG</t>
        </is>
      </c>
      <c r="G7113" t="n">
        <v>6.3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37214-2023</t>
        </is>
      </c>
      <c r="B7114" s="1" t="n">
        <v>45155</v>
      </c>
      <c r="C7114" s="1" t="n">
        <v>45710</v>
      </c>
      <c r="D7114" t="inlineStr">
        <is>
          <t>ÖSTERGÖTLANDS LÄN</t>
        </is>
      </c>
      <c r="E7114" t="inlineStr">
        <is>
          <t>ÅTVIDABERG</t>
        </is>
      </c>
      <c r="G7114" t="n">
        <v>0.1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37576-2023</t>
        </is>
      </c>
      <c r="B7115" s="1" t="n">
        <v>45155</v>
      </c>
      <c r="C7115" s="1" t="n">
        <v>45710</v>
      </c>
      <c r="D7115" t="inlineStr">
        <is>
          <t>ÖSTERGÖTLANDS LÄN</t>
        </is>
      </c>
      <c r="E7115" t="inlineStr">
        <is>
          <t>ÅTVIDABERG</t>
        </is>
      </c>
      <c r="F7115" t="inlineStr">
        <is>
          <t>Övriga statliga verk och myndigheter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37582-2023</t>
        </is>
      </c>
      <c r="B7116" s="1" t="n">
        <v>45155</v>
      </c>
      <c r="C7116" s="1" t="n">
        <v>45710</v>
      </c>
      <c r="D7116" t="inlineStr">
        <is>
          <t>ÖSTERGÖTLANDS LÄN</t>
        </is>
      </c>
      <c r="E7116" t="inlineStr">
        <is>
          <t>ÅTVIDABERG</t>
        </is>
      </c>
      <c r="F7116" t="inlineStr">
        <is>
          <t>Övriga statliga verk och myndigheter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37304-2023</t>
        </is>
      </c>
      <c r="B7117" s="1" t="n">
        <v>45156</v>
      </c>
      <c r="C7117" s="1" t="n">
        <v>45710</v>
      </c>
      <c r="D7117" t="inlineStr">
        <is>
          <t>ÖSTERGÖTLANDS LÄN</t>
        </is>
      </c>
      <c r="E7117" t="inlineStr">
        <is>
          <t>ÅTVIDABERG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37400-2023</t>
        </is>
      </c>
      <c r="B7118" s="1" t="n">
        <v>45156</v>
      </c>
      <c r="C7118" s="1" t="n">
        <v>45710</v>
      </c>
      <c r="D7118" t="inlineStr">
        <is>
          <t>ÖSTERGÖTLANDS LÄN</t>
        </is>
      </c>
      <c r="E7118" t="inlineStr">
        <is>
          <t>BOXHOLM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37404-2023</t>
        </is>
      </c>
      <c r="B7119" s="1" t="n">
        <v>45156</v>
      </c>
      <c r="C7119" s="1" t="n">
        <v>45710</v>
      </c>
      <c r="D7119" t="inlineStr">
        <is>
          <t>ÖSTERGÖTLANDS LÄN</t>
        </is>
      </c>
      <c r="E7119" t="inlineStr">
        <is>
          <t>BOXHOLM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37405-2023</t>
        </is>
      </c>
      <c r="B7120" s="1" t="n">
        <v>45156</v>
      </c>
      <c r="C7120" s="1" t="n">
        <v>45710</v>
      </c>
      <c r="D7120" t="inlineStr">
        <is>
          <t>ÖSTERGÖTLANDS LÄN</t>
        </is>
      </c>
      <c r="E7120" t="inlineStr">
        <is>
          <t>BOXHOLM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37393-2023</t>
        </is>
      </c>
      <c r="B7121" s="1" t="n">
        <v>45156</v>
      </c>
      <c r="C7121" s="1" t="n">
        <v>45710</v>
      </c>
      <c r="D7121" t="inlineStr">
        <is>
          <t>ÖSTERGÖTLANDS LÄN</t>
        </is>
      </c>
      <c r="E7121" t="inlineStr">
        <is>
          <t>BOXHOLM</t>
        </is>
      </c>
      <c r="G7121" t="n">
        <v>3.6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37390-2023</t>
        </is>
      </c>
      <c r="B7122" s="1" t="n">
        <v>45156</v>
      </c>
      <c r="C7122" s="1" t="n">
        <v>45710</v>
      </c>
      <c r="D7122" t="inlineStr">
        <is>
          <t>ÖSTERGÖTLANDS LÄN</t>
        </is>
      </c>
      <c r="E7122" t="inlineStr">
        <is>
          <t>BOXHOLM</t>
        </is>
      </c>
      <c r="G7122" t="n">
        <v>3.8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37445-2023</t>
        </is>
      </c>
      <c r="B7123" s="1" t="n">
        <v>45156</v>
      </c>
      <c r="C7123" s="1" t="n">
        <v>45710</v>
      </c>
      <c r="D7123" t="inlineStr">
        <is>
          <t>ÖSTERGÖTLANDS LÄN</t>
        </is>
      </c>
      <c r="E7123" t="inlineStr">
        <is>
          <t>LINKÖPING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37520-2023</t>
        </is>
      </c>
      <c r="B7124" s="1" t="n">
        <v>45158</v>
      </c>
      <c r="C7124" s="1" t="n">
        <v>45710</v>
      </c>
      <c r="D7124" t="inlineStr">
        <is>
          <t>ÖSTERGÖTLANDS LÄN</t>
        </is>
      </c>
      <c r="E7124" t="inlineStr">
        <is>
          <t>NORRKÖPING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37524-2023</t>
        </is>
      </c>
      <c r="B7125" s="1" t="n">
        <v>45158</v>
      </c>
      <c r="C7125" s="1" t="n">
        <v>45710</v>
      </c>
      <c r="D7125" t="inlineStr">
        <is>
          <t>ÖSTERGÖTLANDS LÄN</t>
        </is>
      </c>
      <c r="E7125" t="inlineStr">
        <is>
          <t>VALDEMARSVIK</t>
        </is>
      </c>
      <c r="G7125" t="n">
        <v>0.4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37634-2023</t>
        </is>
      </c>
      <c r="B7126" s="1" t="n">
        <v>45159</v>
      </c>
      <c r="C7126" s="1" t="n">
        <v>45710</v>
      </c>
      <c r="D7126" t="inlineStr">
        <is>
          <t>ÖSTERGÖTLANDS LÄN</t>
        </is>
      </c>
      <c r="E7126" t="inlineStr">
        <is>
          <t>MJÖLBY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37701-2023</t>
        </is>
      </c>
      <c r="B7127" s="1" t="n">
        <v>45159</v>
      </c>
      <c r="C7127" s="1" t="n">
        <v>45710</v>
      </c>
      <c r="D7127" t="inlineStr">
        <is>
          <t>ÖSTERGÖTLANDS LÄN</t>
        </is>
      </c>
      <c r="E7127" t="inlineStr">
        <is>
          <t>NORRKÖPING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37567-2023</t>
        </is>
      </c>
      <c r="B7128" s="1" t="n">
        <v>45159</v>
      </c>
      <c r="C7128" s="1" t="n">
        <v>45710</v>
      </c>
      <c r="D7128" t="inlineStr">
        <is>
          <t>ÖSTERGÖTLANDS LÄN</t>
        </is>
      </c>
      <c r="E7128" t="inlineStr">
        <is>
          <t>YDRE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37581-2023</t>
        </is>
      </c>
      <c r="B7129" s="1" t="n">
        <v>45159</v>
      </c>
      <c r="C7129" s="1" t="n">
        <v>45710</v>
      </c>
      <c r="D7129" t="inlineStr">
        <is>
          <t>ÖSTERGÖTLANDS LÄN</t>
        </is>
      </c>
      <c r="E7129" t="inlineStr">
        <is>
          <t>YDRE</t>
        </is>
      </c>
      <c r="G7129" t="n">
        <v>3.4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37631-2023</t>
        </is>
      </c>
      <c r="B7130" s="1" t="n">
        <v>45159</v>
      </c>
      <c r="C7130" s="1" t="n">
        <v>45710</v>
      </c>
      <c r="D7130" t="inlineStr">
        <is>
          <t>ÖSTERGÖTLANDS LÄN</t>
        </is>
      </c>
      <c r="E7130" t="inlineStr">
        <is>
          <t>MJÖLBY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37687-2023</t>
        </is>
      </c>
      <c r="B7131" s="1" t="n">
        <v>45159</v>
      </c>
      <c r="C7131" s="1" t="n">
        <v>45710</v>
      </c>
      <c r="D7131" t="inlineStr">
        <is>
          <t>ÖSTERGÖTLANDS LÄN</t>
        </is>
      </c>
      <c r="E7131" t="inlineStr">
        <is>
          <t>SÖDERKÖPING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37692-2023</t>
        </is>
      </c>
      <c r="B7132" s="1" t="n">
        <v>45159</v>
      </c>
      <c r="C7132" s="1" t="n">
        <v>45710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37629-2023</t>
        </is>
      </c>
      <c r="B7133" s="1" t="n">
        <v>45159</v>
      </c>
      <c r="C7133" s="1" t="n">
        <v>45710</v>
      </c>
      <c r="D7133" t="inlineStr">
        <is>
          <t>ÖSTERGÖTLANDS LÄN</t>
        </is>
      </c>
      <c r="E7133" t="inlineStr">
        <is>
          <t>BOXHOLM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37568-2023</t>
        </is>
      </c>
      <c r="B7134" s="1" t="n">
        <v>45159</v>
      </c>
      <c r="C7134" s="1" t="n">
        <v>45710</v>
      </c>
      <c r="D7134" t="inlineStr">
        <is>
          <t>ÖSTERGÖTLANDS LÄN</t>
        </is>
      </c>
      <c r="E7134" t="inlineStr">
        <is>
          <t>YDRE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37572-2023</t>
        </is>
      </c>
      <c r="B7135" s="1" t="n">
        <v>45159</v>
      </c>
      <c r="C7135" s="1" t="n">
        <v>45710</v>
      </c>
      <c r="D7135" t="inlineStr">
        <is>
          <t>ÖSTERGÖTLANDS LÄN</t>
        </is>
      </c>
      <c r="E7135" t="inlineStr">
        <is>
          <t>YDRE</t>
        </is>
      </c>
      <c r="G7135" t="n">
        <v>4.2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37619-2023</t>
        </is>
      </c>
      <c r="B7136" s="1" t="n">
        <v>45159</v>
      </c>
      <c r="C7136" s="1" t="n">
        <v>45710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Allmännings- och besparingsskogar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37694-2023</t>
        </is>
      </c>
      <c r="B7137" s="1" t="n">
        <v>45159</v>
      </c>
      <c r="C7137" s="1" t="n">
        <v>45710</v>
      </c>
      <c r="D7137" t="inlineStr">
        <is>
          <t>ÖSTERGÖTLANDS LÄN</t>
        </is>
      </c>
      <c r="E7137" t="inlineStr">
        <is>
          <t>SÖDERKÖPING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37700-2023</t>
        </is>
      </c>
      <c r="B7138" s="1" t="n">
        <v>45159</v>
      </c>
      <c r="C7138" s="1" t="n">
        <v>45710</v>
      </c>
      <c r="D7138" t="inlineStr">
        <is>
          <t>ÖSTERGÖTLANDS LÄN</t>
        </is>
      </c>
      <c r="E7138" t="inlineStr">
        <is>
          <t>NORRKÖPING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37684-2023</t>
        </is>
      </c>
      <c r="B7139" s="1" t="n">
        <v>45159</v>
      </c>
      <c r="C7139" s="1" t="n">
        <v>45710</v>
      </c>
      <c r="D7139" t="inlineStr">
        <is>
          <t>ÖSTERGÖTLANDS LÄN</t>
        </is>
      </c>
      <c r="E7139" t="inlineStr">
        <is>
          <t>SÖDERKÖPING</t>
        </is>
      </c>
      <c r="G7139" t="n">
        <v>1.4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37777-2023</t>
        </is>
      </c>
      <c r="B7140" s="1" t="n">
        <v>45159</v>
      </c>
      <c r="C7140" s="1" t="n">
        <v>45710</v>
      </c>
      <c r="D7140" t="inlineStr">
        <is>
          <t>ÖSTERGÖTLANDS LÄN</t>
        </is>
      </c>
      <c r="E7140" t="inlineStr">
        <is>
          <t>YDRE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37943-2023</t>
        </is>
      </c>
      <c r="B7141" s="1" t="n">
        <v>45159</v>
      </c>
      <c r="C7141" s="1" t="n">
        <v>45710</v>
      </c>
      <c r="D7141" t="inlineStr">
        <is>
          <t>ÖSTERGÖTLANDS LÄN</t>
        </is>
      </c>
      <c r="E7141" t="inlineStr">
        <is>
          <t>VALDEMARSVIK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38061-2023</t>
        </is>
      </c>
      <c r="B7142" s="1" t="n">
        <v>45159</v>
      </c>
      <c r="C7142" s="1" t="n">
        <v>45710</v>
      </c>
      <c r="D7142" t="inlineStr">
        <is>
          <t>ÖSTERGÖTLANDS LÄN</t>
        </is>
      </c>
      <c r="E7142" t="inlineStr">
        <is>
          <t>KINDA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37843-2023</t>
        </is>
      </c>
      <c r="B7143" s="1" t="n">
        <v>45160</v>
      </c>
      <c r="C7143" s="1" t="n">
        <v>45710</v>
      </c>
      <c r="D7143" t="inlineStr">
        <is>
          <t>ÖSTERGÖTLANDS LÄN</t>
        </is>
      </c>
      <c r="E7143" t="inlineStr">
        <is>
          <t>ÖDESHÖG</t>
        </is>
      </c>
      <c r="G7143" t="n">
        <v>4.8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37831-2023</t>
        </is>
      </c>
      <c r="B7144" s="1" t="n">
        <v>45160</v>
      </c>
      <c r="C7144" s="1" t="n">
        <v>45710</v>
      </c>
      <c r="D7144" t="inlineStr">
        <is>
          <t>ÖSTERGÖTLANDS LÄN</t>
        </is>
      </c>
      <c r="E7144" t="inlineStr">
        <is>
          <t>KINDA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37988-2023</t>
        </is>
      </c>
      <c r="B7145" s="1" t="n">
        <v>45160</v>
      </c>
      <c r="C7145" s="1" t="n">
        <v>45710</v>
      </c>
      <c r="D7145" t="inlineStr">
        <is>
          <t>ÖSTERGÖTLANDS LÄN</t>
        </is>
      </c>
      <c r="E7145" t="inlineStr">
        <is>
          <t>SÖDERKÖPING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38015-2023</t>
        </is>
      </c>
      <c r="B7146" s="1" t="n">
        <v>45160</v>
      </c>
      <c r="C7146" s="1" t="n">
        <v>45710</v>
      </c>
      <c r="D7146" t="inlineStr">
        <is>
          <t>ÖSTERGÖTLANDS LÄN</t>
        </is>
      </c>
      <c r="E7146" t="inlineStr">
        <is>
          <t>KINDA</t>
        </is>
      </c>
      <c r="F7146" t="inlineStr">
        <is>
          <t>Allmännings- och besparingsskogar</t>
        </is>
      </c>
      <c r="G7146" t="n">
        <v>11.5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37830-2023</t>
        </is>
      </c>
      <c r="B7147" s="1" t="n">
        <v>45160</v>
      </c>
      <c r="C7147" s="1" t="n">
        <v>45710</v>
      </c>
      <c r="D7147" t="inlineStr">
        <is>
          <t>ÖSTERGÖTLANDS LÄN</t>
        </is>
      </c>
      <c r="E7147" t="inlineStr">
        <is>
          <t>KINDA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37909-2023</t>
        </is>
      </c>
      <c r="B7148" s="1" t="n">
        <v>45160</v>
      </c>
      <c r="C7148" s="1" t="n">
        <v>45710</v>
      </c>
      <c r="D7148" t="inlineStr">
        <is>
          <t>ÖSTERGÖTLANDS LÄN</t>
        </is>
      </c>
      <c r="E7148" t="inlineStr">
        <is>
          <t>KINDA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37993-2023</t>
        </is>
      </c>
      <c r="B7149" s="1" t="n">
        <v>45160</v>
      </c>
      <c r="C7149" s="1" t="n">
        <v>45710</v>
      </c>
      <c r="D7149" t="inlineStr">
        <is>
          <t>ÖSTERGÖTLANDS LÄN</t>
        </is>
      </c>
      <c r="E7149" t="inlineStr">
        <is>
          <t>SÖDERKÖPING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38715-2023</t>
        </is>
      </c>
      <c r="B7150" s="1" t="n">
        <v>45160</v>
      </c>
      <c r="C7150" s="1" t="n">
        <v>45710</v>
      </c>
      <c r="D7150" t="inlineStr">
        <is>
          <t>ÖSTERGÖTLANDS LÄN</t>
        </is>
      </c>
      <c r="E7150" t="inlineStr">
        <is>
          <t>LINKÖPING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38706-2023</t>
        </is>
      </c>
      <c r="B7151" s="1" t="n">
        <v>45160</v>
      </c>
      <c r="C7151" s="1" t="n">
        <v>45710</v>
      </c>
      <c r="D7151" t="inlineStr">
        <is>
          <t>ÖSTERGÖTLANDS LÄN</t>
        </is>
      </c>
      <c r="E7151" t="inlineStr">
        <is>
          <t>LINKÖPING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38881-2023</t>
        </is>
      </c>
      <c r="B7152" s="1" t="n">
        <v>45161</v>
      </c>
      <c r="C7152" s="1" t="n">
        <v>45710</v>
      </c>
      <c r="D7152" t="inlineStr">
        <is>
          <t>ÖSTERGÖTLANDS LÄN</t>
        </is>
      </c>
      <c r="E7152" t="inlineStr">
        <is>
          <t>MOTALA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38132-2023</t>
        </is>
      </c>
      <c r="B7153" s="1" t="n">
        <v>45161</v>
      </c>
      <c r="C7153" s="1" t="n">
        <v>45710</v>
      </c>
      <c r="D7153" t="inlineStr">
        <is>
          <t>ÖSTERGÖTLANDS LÄN</t>
        </is>
      </c>
      <c r="E7153" t="inlineStr">
        <is>
          <t>KINDA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38154-2023</t>
        </is>
      </c>
      <c r="B7154" s="1" t="n">
        <v>45161</v>
      </c>
      <c r="C7154" s="1" t="n">
        <v>45710</v>
      </c>
      <c r="D7154" t="inlineStr">
        <is>
          <t>ÖSTERGÖTLANDS LÄN</t>
        </is>
      </c>
      <c r="E7154" t="inlineStr">
        <is>
          <t>ÖDESHÖG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38133-2023</t>
        </is>
      </c>
      <c r="B7155" s="1" t="n">
        <v>45161</v>
      </c>
      <c r="C7155" s="1" t="n">
        <v>45710</v>
      </c>
      <c r="D7155" t="inlineStr">
        <is>
          <t>ÖSTERGÖTLANDS LÄN</t>
        </is>
      </c>
      <c r="E7155" t="inlineStr">
        <is>
          <t>KINDA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38191-2023</t>
        </is>
      </c>
      <c r="B7156" s="1" t="n">
        <v>45161</v>
      </c>
      <c r="C7156" s="1" t="n">
        <v>45710</v>
      </c>
      <c r="D7156" t="inlineStr">
        <is>
          <t>ÖSTERGÖTLANDS LÄN</t>
        </is>
      </c>
      <c r="E7156" t="inlineStr">
        <is>
          <t>BOXHOLM</t>
        </is>
      </c>
      <c r="G7156" t="n">
        <v>8.800000000000001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38208-2023</t>
        </is>
      </c>
      <c r="B7157" s="1" t="n">
        <v>45161</v>
      </c>
      <c r="C7157" s="1" t="n">
        <v>45710</v>
      </c>
      <c r="D7157" t="inlineStr">
        <is>
          <t>ÖSTERGÖTLANDS LÄN</t>
        </is>
      </c>
      <c r="E7157" t="inlineStr">
        <is>
          <t>ÖDESHÖG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38212-2023</t>
        </is>
      </c>
      <c r="B7158" s="1" t="n">
        <v>45161</v>
      </c>
      <c r="C7158" s="1" t="n">
        <v>45710</v>
      </c>
      <c r="D7158" t="inlineStr">
        <is>
          <t>ÖSTERGÖTLANDS LÄN</t>
        </is>
      </c>
      <c r="E7158" t="inlineStr">
        <is>
          <t>ÖDESHÖG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38259-2023</t>
        </is>
      </c>
      <c r="B7159" s="1" t="n">
        <v>45161</v>
      </c>
      <c r="C7159" s="1" t="n">
        <v>45710</v>
      </c>
      <c r="D7159" t="inlineStr">
        <is>
          <t>ÖSTERGÖTLANDS LÄN</t>
        </is>
      </c>
      <c r="E7159" t="inlineStr">
        <is>
          <t>ÖDESHÖG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38296-2023</t>
        </is>
      </c>
      <c r="B7160" s="1" t="n">
        <v>45161</v>
      </c>
      <c r="C7160" s="1" t="n">
        <v>45710</v>
      </c>
      <c r="D7160" t="inlineStr">
        <is>
          <t>ÖSTERGÖTLANDS LÄN</t>
        </is>
      </c>
      <c r="E7160" t="inlineStr">
        <is>
          <t>MJÖLBY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38300-2023</t>
        </is>
      </c>
      <c r="B7161" s="1" t="n">
        <v>45161</v>
      </c>
      <c r="C7161" s="1" t="n">
        <v>45710</v>
      </c>
      <c r="D7161" t="inlineStr">
        <is>
          <t>ÖSTERGÖTLANDS LÄN</t>
        </is>
      </c>
      <c r="E7161" t="inlineStr">
        <is>
          <t>MJÖLBY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38341-2023</t>
        </is>
      </c>
      <c r="B7162" s="1" t="n">
        <v>45161</v>
      </c>
      <c r="C7162" s="1" t="n">
        <v>45710</v>
      </c>
      <c r="D7162" t="inlineStr">
        <is>
          <t>ÖSTERGÖTLANDS LÄN</t>
        </is>
      </c>
      <c r="E7162" t="inlineStr">
        <is>
          <t>YDRE</t>
        </is>
      </c>
      <c r="G7162" t="n">
        <v>15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38130-2023</t>
        </is>
      </c>
      <c r="B7163" s="1" t="n">
        <v>45161</v>
      </c>
      <c r="C7163" s="1" t="n">
        <v>45710</v>
      </c>
      <c r="D7163" t="inlineStr">
        <is>
          <t>ÖSTERGÖTLANDS LÄN</t>
        </is>
      </c>
      <c r="E7163" t="inlineStr">
        <is>
          <t>KINDA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38136-2023</t>
        </is>
      </c>
      <c r="B7164" s="1" t="n">
        <v>45161</v>
      </c>
      <c r="C7164" s="1" t="n">
        <v>45710</v>
      </c>
      <c r="D7164" t="inlineStr">
        <is>
          <t>ÖSTERGÖTLANDS LÄN</t>
        </is>
      </c>
      <c r="E7164" t="inlineStr">
        <is>
          <t>LINKÖPING</t>
        </is>
      </c>
      <c r="G7164" t="n">
        <v>5.6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38287-2023</t>
        </is>
      </c>
      <c r="B7165" s="1" t="n">
        <v>45161</v>
      </c>
      <c r="C7165" s="1" t="n">
        <v>45710</v>
      </c>
      <c r="D7165" t="inlineStr">
        <is>
          <t>ÖSTERGÖTLANDS LÄN</t>
        </is>
      </c>
      <c r="E7165" t="inlineStr">
        <is>
          <t>MJÖLBY</t>
        </is>
      </c>
      <c r="G7165" t="n">
        <v>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38299-2023</t>
        </is>
      </c>
      <c r="B7166" s="1" t="n">
        <v>45161</v>
      </c>
      <c r="C7166" s="1" t="n">
        <v>45710</v>
      </c>
      <c r="D7166" t="inlineStr">
        <is>
          <t>ÖSTERGÖTLANDS LÄN</t>
        </is>
      </c>
      <c r="E7166" t="inlineStr">
        <is>
          <t>MJÖLBY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38878-2023</t>
        </is>
      </c>
      <c r="B7167" s="1" t="n">
        <v>45161</v>
      </c>
      <c r="C7167" s="1" t="n">
        <v>45710</v>
      </c>
      <c r="D7167" t="inlineStr">
        <is>
          <t>ÖSTERGÖTLANDS LÄN</t>
        </is>
      </c>
      <c r="E7167" t="inlineStr">
        <is>
          <t>MOTALA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38101-2023</t>
        </is>
      </c>
      <c r="B7168" s="1" t="n">
        <v>45161</v>
      </c>
      <c r="C7168" s="1" t="n">
        <v>45710</v>
      </c>
      <c r="D7168" t="inlineStr">
        <is>
          <t>ÖSTERGÖTLANDS LÄN</t>
        </is>
      </c>
      <c r="E7168" t="inlineStr">
        <is>
          <t>NORRKÖPING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38141-2023</t>
        </is>
      </c>
      <c r="B7169" s="1" t="n">
        <v>45161</v>
      </c>
      <c r="C7169" s="1" t="n">
        <v>45710</v>
      </c>
      <c r="D7169" t="inlineStr">
        <is>
          <t>ÖSTERGÖTLANDS LÄN</t>
        </is>
      </c>
      <c r="E7169" t="inlineStr">
        <is>
          <t>LINKÖPING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38152-2023</t>
        </is>
      </c>
      <c r="B7170" s="1" t="n">
        <v>45161</v>
      </c>
      <c r="C7170" s="1" t="n">
        <v>45710</v>
      </c>
      <c r="D7170" t="inlineStr">
        <is>
          <t>ÖSTERGÖTLANDS LÄN</t>
        </is>
      </c>
      <c r="E7170" t="inlineStr">
        <is>
          <t>ÖDESHÖG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38230-2023</t>
        </is>
      </c>
      <c r="B7171" s="1" t="n">
        <v>45161</v>
      </c>
      <c r="C7171" s="1" t="n">
        <v>45710</v>
      </c>
      <c r="D7171" t="inlineStr">
        <is>
          <t>ÖSTERGÖTLANDS LÄN</t>
        </is>
      </c>
      <c r="E7171" t="inlineStr">
        <is>
          <t>LINKÖPING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38290-2023</t>
        </is>
      </c>
      <c r="B7172" s="1" t="n">
        <v>45161</v>
      </c>
      <c r="C7172" s="1" t="n">
        <v>45710</v>
      </c>
      <c r="D7172" t="inlineStr">
        <is>
          <t>ÖSTERGÖTLANDS LÄN</t>
        </is>
      </c>
      <c r="E7172" t="inlineStr">
        <is>
          <t>MJÖLBY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38596-2023</t>
        </is>
      </c>
      <c r="B7173" s="1" t="n">
        <v>45162</v>
      </c>
      <c r="C7173" s="1" t="n">
        <v>45710</v>
      </c>
      <c r="D7173" t="inlineStr">
        <is>
          <t>ÖSTERGÖTLANDS LÄN</t>
        </is>
      </c>
      <c r="E7173" t="inlineStr">
        <is>
          <t>KINDA</t>
        </is>
      </c>
      <c r="F7173" t="inlineStr">
        <is>
          <t>Allmännings- och besparingsskogar</t>
        </is>
      </c>
      <c r="G7173" t="n">
        <v>12.2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38654-2023</t>
        </is>
      </c>
      <c r="B7174" s="1" t="n">
        <v>45162</v>
      </c>
      <c r="C7174" s="1" t="n">
        <v>45710</v>
      </c>
      <c r="D7174" t="inlineStr">
        <is>
          <t>ÖSTERGÖTLANDS LÄN</t>
        </is>
      </c>
      <c r="E7174" t="inlineStr">
        <is>
          <t>ÅTVIDABERG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38650-2023</t>
        </is>
      </c>
      <c r="B7175" s="1" t="n">
        <v>45162</v>
      </c>
      <c r="C7175" s="1" t="n">
        <v>45710</v>
      </c>
      <c r="D7175" t="inlineStr">
        <is>
          <t>ÖSTERGÖTLANDS LÄN</t>
        </is>
      </c>
      <c r="E7175" t="inlineStr">
        <is>
          <t>ÅTVIDABERG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38899-2023</t>
        </is>
      </c>
      <c r="B7176" s="1" t="n">
        <v>45163</v>
      </c>
      <c r="C7176" s="1" t="n">
        <v>45710</v>
      </c>
      <c r="D7176" t="inlineStr">
        <is>
          <t>ÖSTERGÖTLANDS LÄN</t>
        </is>
      </c>
      <c r="E7176" t="inlineStr">
        <is>
          <t>LINKÖPING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39029-2023</t>
        </is>
      </c>
      <c r="B7177" s="1" t="n">
        <v>45163</v>
      </c>
      <c r="C7177" s="1" t="n">
        <v>45710</v>
      </c>
      <c r="D7177" t="inlineStr">
        <is>
          <t>ÖSTERGÖTLANDS LÄN</t>
        </is>
      </c>
      <c r="E7177" t="inlineStr">
        <is>
          <t>BOXHOLM</t>
        </is>
      </c>
      <c r="F7177" t="inlineStr">
        <is>
          <t>Allmännings- och besparingsskogar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39033-2023</t>
        </is>
      </c>
      <c r="B7178" s="1" t="n">
        <v>45163</v>
      </c>
      <c r="C7178" s="1" t="n">
        <v>45710</v>
      </c>
      <c r="D7178" t="inlineStr">
        <is>
          <t>ÖSTERGÖTLANDS LÄN</t>
        </is>
      </c>
      <c r="E7178" t="inlineStr">
        <is>
          <t>BOXHOLM</t>
        </is>
      </c>
      <c r="F7178" t="inlineStr">
        <is>
          <t>Allmännings- och besparingsskogar</t>
        </is>
      </c>
      <c r="G7178" t="n">
        <v>3.3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38720-2023</t>
        </is>
      </c>
      <c r="B7179" s="1" t="n">
        <v>45163</v>
      </c>
      <c r="C7179" s="1" t="n">
        <v>45710</v>
      </c>
      <c r="D7179" t="inlineStr">
        <is>
          <t>ÖSTERGÖTLANDS LÄN</t>
        </is>
      </c>
      <c r="E7179" t="inlineStr">
        <is>
          <t>ÖDESHÖG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38900-2023</t>
        </is>
      </c>
      <c r="B7180" s="1" t="n">
        <v>45163</v>
      </c>
      <c r="C7180" s="1" t="n">
        <v>45710</v>
      </c>
      <c r="D7180" t="inlineStr">
        <is>
          <t>ÖSTERGÖTLANDS LÄN</t>
        </is>
      </c>
      <c r="E7180" t="inlineStr">
        <is>
          <t>LINKÖPING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38919-2023</t>
        </is>
      </c>
      <c r="B7181" s="1" t="n">
        <v>45163</v>
      </c>
      <c r="C7181" s="1" t="n">
        <v>45710</v>
      </c>
      <c r="D7181" t="inlineStr">
        <is>
          <t>ÖSTERGÖTLANDS LÄN</t>
        </is>
      </c>
      <c r="E7181" t="inlineStr">
        <is>
          <t>LINKÖPING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38966-2023</t>
        </is>
      </c>
      <c r="B7182" s="1" t="n">
        <v>45163</v>
      </c>
      <c r="C7182" s="1" t="n">
        <v>45710</v>
      </c>
      <c r="D7182" t="inlineStr">
        <is>
          <t>ÖSTERGÖTLANDS LÄN</t>
        </is>
      </c>
      <c r="E7182" t="inlineStr">
        <is>
          <t>YDRE</t>
        </is>
      </c>
      <c r="F7182" t="inlineStr">
        <is>
          <t>Sveaskog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38971-2023</t>
        </is>
      </c>
      <c r="B7183" s="1" t="n">
        <v>45163</v>
      </c>
      <c r="C7183" s="1" t="n">
        <v>45710</v>
      </c>
      <c r="D7183" t="inlineStr">
        <is>
          <t>ÖSTERGÖTLANDS LÄN</t>
        </is>
      </c>
      <c r="E7183" t="inlineStr">
        <is>
          <t>KINDA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38975-2023</t>
        </is>
      </c>
      <c r="B7184" s="1" t="n">
        <v>45163</v>
      </c>
      <c r="C7184" s="1" t="n">
        <v>45710</v>
      </c>
      <c r="D7184" t="inlineStr">
        <is>
          <t>ÖSTERGÖTLANDS LÄN</t>
        </is>
      </c>
      <c r="E7184" t="inlineStr">
        <is>
          <t>KINDA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39023-2023</t>
        </is>
      </c>
      <c r="B7185" s="1" t="n">
        <v>45163</v>
      </c>
      <c r="C7185" s="1" t="n">
        <v>45710</v>
      </c>
      <c r="D7185" t="inlineStr">
        <is>
          <t>ÖSTERGÖTLANDS LÄN</t>
        </is>
      </c>
      <c r="E7185" t="inlineStr">
        <is>
          <t>ÖDESHÖG</t>
        </is>
      </c>
      <c r="F7185" t="inlineStr">
        <is>
          <t>Allmännings- och besparingsskogar</t>
        </is>
      </c>
      <c r="G7185" t="n">
        <v>14.7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39027-2023</t>
        </is>
      </c>
      <c r="B7186" s="1" t="n">
        <v>45163</v>
      </c>
      <c r="C7186" s="1" t="n">
        <v>45710</v>
      </c>
      <c r="D7186" t="inlineStr">
        <is>
          <t>ÖSTERGÖTLANDS LÄN</t>
        </is>
      </c>
      <c r="E7186" t="inlineStr">
        <is>
          <t>ÖDESHÖG</t>
        </is>
      </c>
      <c r="F7186" t="inlineStr">
        <is>
          <t>Allmännings- och besparingsskogar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39031-2023</t>
        </is>
      </c>
      <c r="B7187" s="1" t="n">
        <v>45163</v>
      </c>
      <c r="C7187" s="1" t="n">
        <v>45710</v>
      </c>
      <c r="D7187" t="inlineStr">
        <is>
          <t>ÖSTERGÖTLANDS LÄN</t>
        </is>
      </c>
      <c r="E7187" t="inlineStr">
        <is>
          <t>BOXHOLM</t>
        </is>
      </c>
      <c r="F7187" t="inlineStr">
        <is>
          <t>Allmännings- och besparingsskogar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39035-2023</t>
        </is>
      </c>
      <c r="B7188" s="1" t="n">
        <v>45163</v>
      </c>
      <c r="C7188" s="1" t="n">
        <v>45710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2.2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38718-2023</t>
        </is>
      </c>
      <c r="B7189" s="1" t="n">
        <v>45163</v>
      </c>
      <c r="C7189" s="1" t="n">
        <v>45710</v>
      </c>
      <c r="D7189" t="inlineStr">
        <is>
          <t>ÖSTERGÖTLANDS LÄN</t>
        </is>
      </c>
      <c r="E7189" t="inlineStr">
        <is>
          <t>ÖDESHÖG</t>
        </is>
      </c>
      <c r="G7189" t="n">
        <v>3.2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38716-2023</t>
        </is>
      </c>
      <c r="B7190" s="1" t="n">
        <v>45163</v>
      </c>
      <c r="C7190" s="1" t="n">
        <v>45710</v>
      </c>
      <c r="D7190" t="inlineStr">
        <is>
          <t>ÖSTERGÖTLANDS LÄN</t>
        </is>
      </c>
      <c r="E7190" t="inlineStr">
        <is>
          <t>ÖDESHÖG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38726-2023</t>
        </is>
      </c>
      <c r="B7191" s="1" t="n">
        <v>45163</v>
      </c>
      <c r="C7191" s="1" t="n">
        <v>45710</v>
      </c>
      <c r="D7191" t="inlineStr">
        <is>
          <t>ÖSTERGÖTLANDS LÄN</t>
        </is>
      </c>
      <c r="E7191" t="inlineStr">
        <is>
          <t>ÖDESHÖG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38973-2023</t>
        </is>
      </c>
      <c r="B7192" s="1" t="n">
        <v>45163</v>
      </c>
      <c r="C7192" s="1" t="n">
        <v>45710</v>
      </c>
      <c r="D7192" t="inlineStr">
        <is>
          <t>ÖSTERGÖTLANDS LÄN</t>
        </is>
      </c>
      <c r="E7192" t="inlineStr">
        <is>
          <t>KINDA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39024-2023</t>
        </is>
      </c>
      <c r="B7193" s="1" t="n">
        <v>45163</v>
      </c>
      <c r="C7193" s="1" t="n">
        <v>45710</v>
      </c>
      <c r="D7193" t="inlineStr">
        <is>
          <t>ÖSTERGÖTLANDS LÄN</t>
        </is>
      </c>
      <c r="E7193" t="inlineStr">
        <is>
          <t>ÖDESHÖG</t>
        </is>
      </c>
      <c r="F7193" t="inlineStr">
        <is>
          <t>Allmännings- och besparingsskogar</t>
        </is>
      </c>
      <c r="G7193" t="n">
        <v>4.7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39028-2023</t>
        </is>
      </c>
      <c r="B7194" s="1" t="n">
        <v>45163</v>
      </c>
      <c r="C7194" s="1" t="n">
        <v>45710</v>
      </c>
      <c r="D7194" t="inlineStr">
        <is>
          <t>ÖSTERGÖTLANDS LÄN</t>
        </is>
      </c>
      <c r="E7194" t="inlineStr">
        <is>
          <t>BOXHOLM</t>
        </is>
      </c>
      <c r="F7194" t="inlineStr">
        <is>
          <t>Allmännings- och besparingsskogar</t>
        </is>
      </c>
      <c r="G7194" t="n">
        <v>2.9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39032-2023</t>
        </is>
      </c>
      <c r="B7195" s="1" t="n">
        <v>45163</v>
      </c>
      <c r="C7195" s="1" t="n">
        <v>45710</v>
      </c>
      <c r="D7195" t="inlineStr">
        <is>
          <t>ÖSTERGÖTLANDS LÄN</t>
        </is>
      </c>
      <c r="E7195" t="inlineStr">
        <is>
          <t>ÖDESHÖG</t>
        </is>
      </c>
      <c r="F7195" t="inlineStr">
        <is>
          <t>Allmännings- och besparingsskogar</t>
        </is>
      </c>
      <c r="G7195" t="n">
        <v>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38723-2023</t>
        </is>
      </c>
      <c r="B7196" s="1" t="n">
        <v>45163</v>
      </c>
      <c r="C7196" s="1" t="n">
        <v>45710</v>
      </c>
      <c r="D7196" t="inlineStr">
        <is>
          <t>ÖSTERGÖTLANDS LÄN</t>
        </is>
      </c>
      <c r="E7196" t="inlineStr">
        <is>
          <t>ÖDESHÖG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39567-2023</t>
        </is>
      </c>
      <c r="B7197" s="1" t="n">
        <v>45163</v>
      </c>
      <c r="C7197" s="1" t="n">
        <v>45710</v>
      </c>
      <c r="D7197" t="inlineStr">
        <is>
          <t>ÖSTERGÖTLANDS LÄN</t>
        </is>
      </c>
      <c r="E7197" t="inlineStr">
        <is>
          <t>KINDA</t>
        </is>
      </c>
      <c r="G7197" t="n">
        <v>2.8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39082-2023</t>
        </is>
      </c>
      <c r="B7198" s="1" t="n">
        <v>45164</v>
      </c>
      <c r="C7198" s="1" t="n">
        <v>45710</v>
      </c>
      <c r="D7198" t="inlineStr">
        <is>
          <t>ÖSTERGÖTLANDS LÄN</t>
        </is>
      </c>
      <c r="E7198" t="inlineStr">
        <is>
          <t>ÅTVIDABERG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39155-2023</t>
        </is>
      </c>
      <c r="B7199" s="1" t="n">
        <v>45166</v>
      </c>
      <c r="C7199" s="1" t="n">
        <v>45710</v>
      </c>
      <c r="D7199" t="inlineStr">
        <is>
          <t>ÖSTERGÖTLANDS LÄN</t>
        </is>
      </c>
      <c r="E7199" t="inlineStr">
        <is>
          <t>ÅTVIDABERG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39160-2023</t>
        </is>
      </c>
      <c r="B7200" s="1" t="n">
        <v>45166</v>
      </c>
      <c r="C7200" s="1" t="n">
        <v>45710</v>
      </c>
      <c r="D7200" t="inlineStr">
        <is>
          <t>ÖSTERGÖTLANDS LÄN</t>
        </is>
      </c>
      <c r="E7200" t="inlineStr">
        <is>
          <t>ÅTVIDABERG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39190-2023</t>
        </is>
      </c>
      <c r="B7201" s="1" t="n">
        <v>45166</v>
      </c>
      <c r="C7201" s="1" t="n">
        <v>45710</v>
      </c>
      <c r="D7201" t="inlineStr">
        <is>
          <t>ÖSTERGÖTLANDS LÄN</t>
        </is>
      </c>
      <c r="E7201" t="inlineStr">
        <is>
          <t>ÖDESHÖG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39265-2023</t>
        </is>
      </c>
      <c r="B7202" s="1" t="n">
        <v>45166</v>
      </c>
      <c r="C7202" s="1" t="n">
        <v>45710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3.7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39333-2023</t>
        </is>
      </c>
      <c r="B7203" s="1" t="n">
        <v>45166</v>
      </c>
      <c r="C7203" s="1" t="n">
        <v>45710</v>
      </c>
      <c r="D7203" t="inlineStr">
        <is>
          <t>ÖSTERGÖTLANDS LÄN</t>
        </is>
      </c>
      <c r="E7203" t="inlineStr">
        <is>
          <t>LINKÖPING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39342-2023</t>
        </is>
      </c>
      <c r="B7204" s="1" t="n">
        <v>45166</v>
      </c>
      <c r="C7204" s="1" t="n">
        <v>45710</v>
      </c>
      <c r="D7204" t="inlineStr">
        <is>
          <t>ÖSTERGÖTLANDS LÄN</t>
        </is>
      </c>
      <c r="E7204" t="inlineStr">
        <is>
          <t>MOTALA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39346-2023</t>
        </is>
      </c>
      <c r="B7205" s="1" t="n">
        <v>45166</v>
      </c>
      <c r="C7205" s="1" t="n">
        <v>45710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5.4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39352-2023</t>
        </is>
      </c>
      <c r="B7206" s="1" t="n">
        <v>45166</v>
      </c>
      <c r="C7206" s="1" t="n">
        <v>45710</v>
      </c>
      <c r="D7206" t="inlineStr">
        <is>
          <t>ÖSTERGÖTLANDS LÄN</t>
        </is>
      </c>
      <c r="E7206" t="inlineStr">
        <is>
          <t>MOTALA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39272-2023</t>
        </is>
      </c>
      <c r="B7207" s="1" t="n">
        <v>45166</v>
      </c>
      <c r="C7207" s="1" t="n">
        <v>45710</v>
      </c>
      <c r="D7207" t="inlineStr">
        <is>
          <t>ÖSTERGÖTLANDS LÄN</t>
        </is>
      </c>
      <c r="E7207" t="inlineStr">
        <is>
          <t>KINDA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39330-2023</t>
        </is>
      </c>
      <c r="B7208" s="1" t="n">
        <v>45166</v>
      </c>
      <c r="C7208" s="1" t="n">
        <v>45710</v>
      </c>
      <c r="D7208" t="inlineStr">
        <is>
          <t>ÖSTERGÖTLANDS LÄN</t>
        </is>
      </c>
      <c r="E7208" t="inlineStr">
        <is>
          <t>FINSPÅNG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39324-2023</t>
        </is>
      </c>
      <c r="B7209" s="1" t="n">
        <v>45166</v>
      </c>
      <c r="C7209" s="1" t="n">
        <v>45710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39351-2023</t>
        </is>
      </c>
      <c r="B7210" s="1" t="n">
        <v>45166</v>
      </c>
      <c r="C7210" s="1" t="n">
        <v>45710</v>
      </c>
      <c r="D7210" t="inlineStr">
        <is>
          <t>ÖSTERGÖTLANDS LÄN</t>
        </is>
      </c>
      <c r="E7210" t="inlineStr">
        <is>
          <t>MOTALA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39375-2023</t>
        </is>
      </c>
      <c r="B7211" s="1" t="n">
        <v>45166</v>
      </c>
      <c r="C7211" s="1" t="n">
        <v>45710</v>
      </c>
      <c r="D7211" t="inlineStr">
        <is>
          <t>ÖSTERGÖTLANDS LÄN</t>
        </is>
      </c>
      <c r="E7211" t="inlineStr">
        <is>
          <t>SÖDERKÖPING</t>
        </is>
      </c>
      <c r="G7211" t="n">
        <v>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39462-2023</t>
        </is>
      </c>
      <c r="B7212" s="1" t="n">
        <v>45166</v>
      </c>
      <c r="C7212" s="1" t="n">
        <v>45710</v>
      </c>
      <c r="D7212" t="inlineStr">
        <is>
          <t>ÖSTERGÖTLANDS LÄN</t>
        </is>
      </c>
      <c r="E7212" t="inlineStr">
        <is>
          <t>KINDA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39457-2023</t>
        </is>
      </c>
      <c r="B7213" s="1" t="n">
        <v>45166</v>
      </c>
      <c r="C7213" s="1" t="n">
        <v>45710</v>
      </c>
      <c r="D7213" t="inlineStr">
        <is>
          <t>ÖSTERGÖTLANDS LÄN</t>
        </is>
      </c>
      <c r="E7213" t="inlineStr">
        <is>
          <t>LINKÖPING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39467-2023</t>
        </is>
      </c>
      <c r="B7214" s="1" t="n">
        <v>45166</v>
      </c>
      <c r="C7214" s="1" t="n">
        <v>45710</v>
      </c>
      <c r="D7214" t="inlineStr">
        <is>
          <t>ÖSTERGÖTLANDS LÄN</t>
        </is>
      </c>
      <c r="E7214" t="inlineStr">
        <is>
          <t>KINDA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39896-2023</t>
        </is>
      </c>
      <c r="B7215" s="1" t="n">
        <v>45166</v>
      </c>
      <c r="C7215" s="1" t="n">
        <v>45710</v>
      </c>
      <c r="D7215" t="inlineStr">
        <is>
          <t>ÖSTERGÖTLANDS LÄN</t>
        </is>
      </c>
      <c r="E7215" t="inlineStr">
        <is>
          <t>FINSPÅNG</t>
        </is>
      </c>
      <c r="F7215" t="inlineStr">
        <is>
          <t>Övriga Aktiebolag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39520-2023</t>
        </is>
      </c>
      <c r="B7216" s="1" t="n">
        <v>45167</v>
      </c>
      <c r="C7216" s="1" t="n">
        <v>45710</v>
      </c>
      <c r="D7216" t="inlineStr">
        <is>
          <t>ÖSTERGÖTLANDS LÄN</t>
        </is>
      </c>
      <c r="E7216" t="inlineStr">
        <is>
          <t>VALDEMARSVIK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39680-2023</t>
        </is>
      </c>
      <c r="B7217" s="1" t="n">
        <v>45167</v>
      </c>
      <c r="C7217" s="1" t="n">
        <v>45710</v>
      </c>
      <c r="D7217" t="inlineStr">
        <is>
          <t>ÖSTERGÖTLANDS LÄN</t>
        </is>
      </c>
      <c r="E7217" t="inlineStr">
        <is>
          <t>ÅTVIDABERG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39517-2023</t>
        </is>
      </c>
      <c r="B7218" s="1" t="n">
        <v>45167</v>
      </c>
      <c r="C7218" s="1" t="n">
        <v>45710</v>
      </c>
      <c r="D7218" t="inlineStr">
        <is>
          <t>ÖSTERGÖTLANDS LÄN</t>
        </is>
      </c>
      <c r="E7218" t="inlineStr">
        <is>
          <t>VALDEMARSVIK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39580-2023</t>
        </is>
      </c>
      <c r="B7219" s="1" t="n">
        <v>45167</v>
      </c>
      <c r="C7219" s="1" t="n">
        <v>45710</v>
      </c>
      <c r="D7219" t="inlineStr">
        <is>
          <t>ÖSTERGÖTLANDS LÄN</t>
        </is>
      </c>
      <c r="E7219" t="inlineStr">
        <is>
          <t>ÅTVIDABERG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39518-2023</t>
        </is>
      </c>
      <c r="B7220" s="1" t="n">
        <v>45167</v>
      </c>
      <c r="C7220" s="1" t="n">
        <v>45710</v>
      </c>
      <c r="D7220" t="inlineStr">
        <is>
          <t>ÖSTERGÖTLANDS LÄN</t>
        </is>
      </c>
      <c r="E7220" t="inlineStr">
        <is>
          <t>VALDEMARSVIK</t>
        </is>
      </c>
      <c r="G7220" t="n">
        <v>6.1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39669-2023</t>
        </is>
      </c>
      <c r="B7221" s="1" t="n">
        <v>45167</v>
      </c>
      <c r="C7221" s="1" t="n">
        <v>45710</v>
      </c>
      <c r="D7221" t="inlineStr">
        <is>
          <t>ÖSTERGÖTLANDS LÄN</t>
        </is>
      </c>
      <c r="E7221" t="inlineStr">
        <is>
          <t>MJÖLBY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39740-2023</t>
        </is>
      </c>
      <c r="B7222" s="1" t="n">
        <v>45167</v>
      </c>
      <c r="C7222" s="1" t="n">
        <v>45710</v>
      </c>
      <c r="D7222" t="inlineStr">
        <is>
          <t>ÖSTERGÖTLANDS LÄN</t>
        </is>
      </c>
      <c r="E7222" t="inlineStr">
        <is>
          <t>FINSPÅNG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39655-2023</t>
        </is>
      </c>
      <c r="B7223" s="1" t="n">
        <v>45167</v>
      </c>
      <c r="C7223" s="1" t="n">
        <v>45710</v>
      </c>
      <c r="D7223" t="inlineStr">
        <is>
          <t>ÖSTERGÖTLANDS LÄN</t>
        </is>
      </c>
      <c r="E7223" t="inlineStr">
        <is>
          <t>FINSPÅNG</t>
        </is>
      </c>
      <c r="F7223" t="inlineStr">
        <is>
          <t>Kyrkan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39770-2023</t>
        </is>
      </c>
      <c r="B7224" s="1" t="n">
        <v>45167</v>
      </c>
      <c r="C7224" s="1" t="n">
        <v>45710</v>
      </c>
      <c r="D7224" t="inlineStr">
        <is>
          <t>ÖSTERGÖTLANDS LÄN</t>
        </is>
      </c>
      <c r="E7224" t="inlineStr">
        <is>
          <t>KINDA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39774-2023</t>
        </is>
      </c>
      <c r="B7225" s="1" t="n">
        <v>45167</v>
      </c>
      <c r="C7225" s="1" t="n">
        <v>45710</v>
      </c>
      <c r="D7225" t="inlineStr">
        <is>
          <t>ÖSTERGÖTLANDS LÄN</t>
        </is>
      </c>
      <c r="E7225" t="inlineStr">
        <is>
          <t>KINDA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39889-2023</t>
        </is>
      </c>
      <c r="B7226" s="1" t="n">
        <v>45168</v>
      </c>
      <c r="C7226" s="1" t="n">
        <v>45710</v>
      </c>
      <c r="D7226" t="inlineStr">
        <is>
          <t>ÖSTERGÖTLANDS LÄN</t>
        </is>
      </c>
      <c r="E7226" t="inlineStr">
        <is>
          <t>NORRKÖPING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39837-2023</t>
        </is>
      </c>
      <c r="B7227" s="1" t="n">
        <v>45168</v>
      </c>
      <c r="C7227" s="1" t="n">
        <v>45710</v>
      </c>
      <c r="D7227" t="inlineStr">
        <is>
          <t>ÖSTERGÖTLANDS LÄN</t>
        </is>
      </c>
      <c r="E7227" t="inlineStr">
        <is>
          <t>ÅTVIDABERG</t>
        </is>
      </c>
      <c r="F7227" t="inlineStr">
        <is>
          <t>Kyrkan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39888-2023</t>
        </is>
      </c>
      <c r="B7228" s="1" t="n">
        <v>45168</v>
      </c>
      <c r="C7228" s="1" t="n">
        <v>45710</v>
      </c>
      <c r="D7228" t="inlineStr">
        <is>
          <t>ÖSTERGÖTLANDS LÄN</t>
        </is>
      </c>
      <c r="E7228" t="inlineStr">
        <is>
          <t>NORRKÖPING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39943-2023</t>
        </is>
      </c>
      <c r="B7229" s="1" t="n">
        <v>45168</v>
      </c>
      <c r="C7229" s="1" t="n">
        <v>45710</v>
      </c>
      <c r="D7229" t="inlineStr">
        <is>
          <t>ÖSTERGÖTLANDS LÄN</t>
        </is>
      </c>
      <c r="E7229" t="inlineStr">
        <is>
          <t>KINDA</t>
        </is>
      </c>
      <c r="F7229" t="inlineStr">
        <is>
          <t>Övriga Aktiebolag</t>
        </is>
      </c>
      <c r="G7229" t="n">
        <v>4.9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39967-2023</t>
        </is>
      </c>
      <c r="B7230" s="1" t="n">
        <v>45168</v>
      </c>
      <c r="C7230" s="1" t="n">
        <v>45710</v>
      </c>
      <c r="D7230" t="inlineStr">
        <is>
          <t>ÖSTERGÖTLANDS LÄN</t>
        </is>
      </c>
      <c r="E7230" t="inlineStr">
        <is>
          <t>LINKÖPING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39930-2023</t>
        </is>
      </c>
      <c r="B7231" s="1" t="n">
        <v>45168</v>
      </c>
      <c r="C7231" s="1" t="n">
        <v>45710</v>
      </c>
      <c r="D7231" t="inlineStr">
        <is>
          <t>ÖSTERGÖTLANDS LÄN</t>
        </is>
      </c>
      <c r="E7231" t="inlineStr">
        <is>
          <t>ÅTVIDABERG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40148-2023</t>
        </is>
      </c>
      <c r="B7232" s="1" t="n">
        <v>45169</v>
      </c>
      <c r="C7232" s="1" t="n">
        <v>45710</v>
      </c>
      <c r="D7232" t="inlineStr">
        <is>
          <t>ÖSTERGÖTLANDS LÄN</t>
        </is>
      </c>
      <c r="E7232" t="inlineStr">
        <is>
          <t>LINKÖPING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40297-2023</t>
        </is>
      </c>
      <c r="B7233" s="1" t="n">
        <v>45169</v>
      </c>
      <c r="C7233" s="1" t="n">
        <v>45710</v>
      </c>
      <c r="D7233" t="inlineStr">
        <is>
          <t>ÖSTERGÖTLANDS LÄN</t>
        </is>
      </c>
      <c r="E7233" t="inlineStr">
        <is>
          <t>ÅTVIDABERG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40340-2023</t>
        </is>
      </c>
      <c r="B7234" s="1" t="n">
        <v>45169</v>
      </c>
      <c r="C7234" s="1" t="n">
        <v>45710</v>
      </c>
      <c r="D7234" t="inlineStr">
        <is>
          <t>ÖSTERGÖTLANDS LÄN</t>
        </is>
      </c>
      <c r="E7234" t="inlineStr">
        <is>
          <t>YDRE</t>
        </is>
      </c>
      <c r="G7234" t="n">
        <v>4.8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40292-2023</t>
        </is>
      </c>
      <c r="B7235" s="1" t="n">
        <v>45169</v>
      </c>
      <c r="C7235" s="1" t="n">
        <v>45710</v>
      </c>
      <c r="D7235" t="inlineStr">
        <is>
          <t>ÖSTERGÖTLANDS LÄN</t>
        </is>
      </c>
      <c r="E7235" t="inlineStr">
        <is>
          <t>ÅTVIDABERG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40357-2023</t>
        </is>
      </c>
      <c r="B7236" s="1" t="n">
        <v>45169</v>
      </c>
      <c r="C7236" s="1" t="n">
        <v>45710</v>
      </c>
      <c r="D7236" t="inlineStr">
        <is>
          <t>ÖSTERGÖTLANDS LÄN</t>
        </is>
      </c>
      <c r="E7236" t="inlineStr">
        <is>
          <t>SÖDERKÖPING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40203-2023</t>
        </is>
      </c>
      <c r="B7237" s="1" t="n">
        <v>45169</v>
      </c>
      <c r="C7237" s="1" t="n">
        <v>45710</v>
      </c>
      <c r="D7237" t="inlineStr">
        <is>
          <t>ÖSTERGÖTLANDS LÄN</t>
        </is>
      </c>
      <c r="E7237" t="inlineStr">
        <is>
          <t>KINDA</t>
        </is>
      </c>
      <c r="F7237" t="inlineStr">
        <is>
          <t>Övriga Aktiebolag</t>
        </is>
      </c>
      <c r="G7237" t="n">
        <v>27.1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40328-2023</t>
        </is>
      </c>
      <c r="B7238" s="1" t="n">
        <v>45169</v>
      </c>
      <c r="C7238" s="1" t="n">
        <v>45710</v>
      </c>
      <c r="D7238" t="inlineStr">
        <is>
          <t>ÖSTERGÖTLANDS LÄN</t>
        </is>
      </c>
      <c r="E7238" t="inlineStr">
        <is>
          <t>SÖDERKÖPING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40350-2023</t>
        </is>
      </c>
      <c r="B7239" s="1" t="n">
        <v>45169</v>
      </c>
      <c r="C7239" s="1" t="n">
        <v>45710</v>
      </c>
      <c r="D7239" t="inlineStr">
        <is>
          <t>ÖSTERGÖTLANDS LÄN</t>
        </is>
      </c>
      <c r="E7239" t="inlineStr">
        <is>
          <t>SÖDERKÖPING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40355-2023</t>
        </is>
      </c>
      <c r="B7240" s="1" t="n">
        <v>45169</v>
      </c>
      <c r="C7240" s="1" t="n">
        <v>45710</v>
      </c>
      <c r="D7240" t="inlineStr">
        <is>
          <t>ÖSTERGÖTLANDS LÄN</t>
        </is>
      </c>
      <c r="E7240" t="inlineStr">
        <is>
          <t>YDRE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40279-2023</t>
        </is>
      </c>
      <c r="B7241" s="1" t="n">
        <v>45169</v>
      </c>
      <c r="C7241" s="1" t="n">
        <v>45710</v>
      </c>
      <c r="D7241" t="inlineStr">
        <is>
          <t>ÖSTERGÖTLANDS LÄN</t>
        </is>
      </c>
      <c r="E7241" t="inlineStr">
        <is>
          <t>ÅTVIDABERG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40342-2023</t>
        </is>
      </c>
      <c r="B7242" s="1" t="n">
        <v>45169</v>
      </c>
      <c r="C7242" s="1" t="n">
        <v>45710</v>
      </c>
      <c r="D7242" t="inlineStr">
        <is>
          <t>ÖSTERGÖTLANDS LÄN</t>
        </is>
      </c>
      <c r="E7242" t="inlineStr">
        <is>
          <t>YDRE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40351-2023</t>
        </is>
      </c>
      <c r="B7243" s="1" t="n">
        <v>45169</v>
      </c>
      <c r="C7243" s="1" t="n">
        <v>45710</v>
      </c>
      <c r="D7243" t="inlineStr">
        <is>
          <t>ÖSTERGÖTLANDS LÄN</t>
        </is>
      </c>
      <c r="E7243" t="inlineStr">
        <is>
          <t>SÖDERKÖPING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40356-2023</t>
        </is>
      </c>
      <c r="B7244" s="1" t="n">
        <v>45169</v>
      </c>
      <c r="C7244" s="1" t="n">
        <v>45710</v>
      </c>
      <c r="D7244" t="inlineStr">
        <is>
          <t>ÖSTERGÖTLANDS LÄN</t>
        </is>
      </c>
      <c r="E7244" t="inlineStr">
        <is>
          <t>SÖDERKÖPING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40540-2023</t>
        </is>
      </c>
      <c r="B7245" s="1" t="n">
        <v>45170</v>
      </c>
      <c r="C7245" s="1" t="n">
        <v>45710</v>
      </c>
      <c r="D7245" t="inlineStr">
        <is>
          <t>ÖSTERGÖTLANDS LÄN</t>
        </is>
      </c>
      <c r="E7245" t="inlineStr">
        <is>
          <t>MJÖLBY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40553-2023</t>
        </is>
      </c>
      <c r="B7246" s="1" t="n">
        <v>45170</v>
      </c>
      <c r="C7246" s="1" t="n">
        <v>45710</v>
      </c>
      <c r="D7246" t="inlineStr">
        <is>
          <t>ÖSTERGÖTLANDS LÄN</t>
        </is>
      </c>
      <c r="E7246" t="inlineStr">
        <is>
          <t>ÅTVIDABERG</t>
        </is>
      </c>
      <c r="F7246" t="inlineStr">
        <is>
          <t>Kyrkan</t>
        </is>
      </c>
      <c r="G7246" t="n">
        <v>4.2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40535-2023</t>
        </is>
      </c>
      <c r="B7247" s="1" t="n">
        <v>45170</v>
      </c>
      <c r="C7247" s="1" t="n">
        <v>45710</v>
      </c>
      <c r="D7247" t="inlineStr">
        <is>
          <t>ÖSTERGÖTLANDS LÄN</t>
        </is>
      </c>
      <c r="E7247" t="inlineStr">
        <is>
          <t>ÅTVIDABERG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40555-2023</t>
        </is>
      </c>
      <c r="B7248" s="1" t="n">
        <v>45170</v>
      </c>
      <c r="C7248" s="1" t="n">
        <v>45710</v>
      </c>
      <c r="D7248" t="inlineStr">
        <is>
          <t>ÖSTERGÖTLANDS LÄN</t>
        </is>
      </c>
      <c r="E7248" t="inlineStr">
        <is>
          <t>NORRKÖPING</t>
        </is>
      </c>
      <c r="F7248" t="inlineStr">
        <is>
          <t>Holmen skog AB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40667-2023</t>
        </is>
      </c>
      <c r="B7249" s="1" t="n">
        <v>45170</v>
      </c>
      <c r="C7249" s="1" t="n">
        <v>45710</v>
      </c>
      <c r="D7249" t="inlineStr">
        <is>
          <t>ÖSTERGÖTLANDS LÄN</t>
        </is>
      </c>
      <c r="E7249" t="inlineStr">
        <is>
          <t>MJÖLBY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40700-2023</t>
        </is>
      </c>
      <c r="B7250" s="1" t="n">
        <v>45170</v>
      </c>
      <c r="C7250" s="1" t="n">
        <v>45710</v>
      </c>
      <c r="D7250" t="inlineStr">
        <is>
          <t>ÖSTERGÖTLANDS LÄN</t>
        </is>
      </c>
      <c r="E7250" t="inlineStr">
        <is>
          <t>YDRE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40692-2023</t>
        </is>
      </c>
      <c r="B7251" s="1" t="n">
        <v>45170</v>
      </c>
      <c r="C7251" s="1" t="n">
        <v>45710</v>
      </c>
      <c r="D7251" t="inlineStr">
        <is>
          <t>ÖSTERGÖTLANDS LÄN</t>
        </is>
      </c>
      <c r="E7251" t="inlineStr">
        <is>
          <t>YDRE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40726-2023</t>
        </is>
      </c>
      <c r="B7252" s="1" t="n">
        <v>45170</v>
      </c>
      <c r="C7252" s="1" t="n">
        <v>45710</v>
      </c>
      <c r="D7252" t="inlineStr">
        <is>
          <t>ÖSTERGÖTLANDS LÄN</t>
        </is>
      </c>
      <c r="E7252" t="inlineStr">
        <is>
          <t>VALDEMARSVIK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40746-2023</t>
        </is>
      </c>
      <c r="B7253" s="1" t="n">
        <v>45170</v>
      </c>
      <c r="C7253" s="1" t="n">
        <v>45710</v>
      </c>
      <c r="D7253" t="inlineStr">
        <is>
          <t>ÖSTERGÖTLANDS LÄN</t>
        </is>
      </c>
      <c r="E7253" t="inlineStr">
        <is>
          <t>ÅTVIDABERG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40676-2023</t>
        </is>
      </c>
      <c r="B7254" s="1" t="n">
        <v>45170</v>
      </c>
      <c r="C7254" s="1" t="n">
        <v>45710</v>
      </c>
      <c r="D7254" t="inlineStr">
        <is>
          <t>ÖSTERGÖTLANDS LÄN</t>
        </is>
      </c>
      <c r="E7254" t="inlineStr">
        <is>
          <t>YDRE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40684-2023</t>
        </is>
      </c>
      <c r="B7255" s="1" t="n">
        <v>45170</v>
      </c>
      <c r="C7255" s="1" t="n">
        <v>45710</v>
      </c>
      <c r="D7255" t="inlineStr">
        <is>
          <t>ÖSTERGÖTLANDS LÄN</t>
        </is>
      </c>
      <c r="E7255" t="inlineStr">
        <is>
          <t>YDRE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40689-2023</t>
        </is>
      </c>
      <c r="B7256" s="1" t="n">
        <v>45170</v>
      </c>
      <c r="C7256" s="1" t="n">
        <v>45710</v>
      </c>
      <c r="D7256" t="inlineStr">
        <is>
          <t>ÖSTERGÖTLANDS LÄN</t>
        </is>
      </c>
      <c r="E7256" t="inlineStr">
        <is>
          <t>ÖDESHÖG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40728-2023</t>
        </is>
      </c>
      <c r="B7257" s="1" t="n">
        <v>45170</v>
      </c>
      <c r="C7257" s="1" t="n">
        <v>45710</v>
      </c>
      <c r="D7257" t="inlineStr">
        <is>
          <t>ÖSTERGÖTLANDS LÄN</t>
        </is>
      </c>
      <c r="E7257" t="inlineStr">
        <is>
          <t>VALDEMARSVIK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40748-2023</t>
        </is>
      </c>
      <c r="B7258" s="1" t="n">
        <v>45170</v>
      </c>
      <c r="C7258" s="1" t="n">
        <v>45710</v>
      </c>
      <c r="D7258" t="inlineStr">
        <is>
          <t>ÖSTERGÖTLANDS LÄN</t>
        </is>
      </c>
      <c r="E7258" t="inlineStr">
        <is>
          <t>FINSPÅNG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40698-2023</t>
        </is>
      </c>
      <c r="B7259" s="1" t="n">
        <v>45170</v>
      </c>
      <c r="C7259" s="1" t="n">
        <v>45710</v>
      </c>
      <c r="D7259" t="inlineStr">
        <is>
          <t>ÖSTERGÖTLANDS LÄN</t>
        </is>
      </c>
      <c r="E7259" t="inlineStr">
        <is>
          <t>YDRE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40747-2023</t>
        </is>
      </c>
      <c r="B7260" s="1" t="n">
        <v>45170</v>
      </c>
      <c r="C7260" s="1" t="n">
        <v>45710</v>
      </c>
      <c r="D7260" t="inlineStr">
        <is>
          <t>ÖSTERGÖTLANDS LÄN</t>
        </is>
      </c>
      <c r="E7260" t="inlineStr">
        <is>
          <t>ÅTVIDABERG</t>
        </is>
      </c>
      <c r="G7260" t="n">
        <v>2.5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40811-2023</t>
        </is>
      </c>
      <c r="B7261" s="1" t="n">
        <v>45171</v>
      </c>
      <c r="C7261" s="1" t="n">
        <v>45710</v>
      </c>
      <c r="D7261" t="inlineStr">
        <is>
          <t>ÖSTERGÖTLANDS LÄN</t>
        </is>
      </c>
      <c r="E7261" t="inlineStr">
        <is>
          <t>YDRE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40813-2023</t>
        </is>
      </c>
      <c r="B7262" s="1" t="n">
        <v>45171</v>
      </c>
      <c r="C7262" s="1" t="n">
        <v>45710</v>
      </c>
      <c r="D7262" t="inlineStr">
        <is>
          <t>ÖSTERGÖTLANDS LÄN</t>
        </is>
      </c>
      <c r="E7262" t="inlineStr">
        <is>
          <t>KINDA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40874-2023</t>
        </is>
      </c>
      <c r="B7263" s="1" t="n">
        <v>45173</v>
      </c>
      <c r="C7263" s="1" t="n">
        <v>45710</v>
      </c>
      <c r="D7263" t="inlineStr">
        <is>
          <t>ÖSTERGÖTLANDS LÄN</t>
        </is>
      </c>
      <c r="E7263" t="inlineStr">
        <is>
          <t>VALDEMARSVIK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41093-2023</t>
        </is>
      </c>
      <c r="B7264" s="1" t="n">
        <v>45173</v>
      </c>
      <c r="C7264" s="1" t="n">
        <v>45710</v>
      </c>
      <c r="D7264" t="inlineStr">
        <is>
          <t>ÖSTERGÖTLANDS LÄN</t>
        </is>
      </c>
      <c r="E7264" t="inlineStr">
        <is>
          <t>MOTALA</t>
        </is>
      </c>
      <c r="G7264" t="n">
        <v>4.5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41314-2023</t>
        </is>
      </c>
      <c r="B7265" s="1" t="n">
        <v>45173</v>
      </c>
      <c r="C7265" s="1" t="n">
        <v>45710</v>
      </c>
      <c r="D7265" t="inlineStr">
        <is>
          <t>ÖSTERGÖTLANDS LÄN</t>
        </is>
      </c>
      <c r="E7265" t="inlineStr">
        <is>
          <t>VALDEMARSVIK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41329-2023</t>
        </is>
      </c>
      <c r="B7266" s="1" t="n">
        <v>45174</v>
      </c>
      <c r="C7266" s="1" t="n">
        <v>45710</v>
      </c>
      <c r="D7266" t="inlineStr">
        <is>
          <t>ÖSTERGÖTLANDS LÄN</t>
        </is>
      </c>
      <c r="E7266" t="inlineStr">
        <is>
          <t>KINDA</t>
        </is>
      </c>
      <c r="G7266" t="n">
        <v>3.2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41337-2023</t>
        </is>
      </c>
      <c r="B7267" s="1" t="n">
        <v>45174</v>
      </c>
      <c r="C7267" s="1" t="n">
        <v>45710</v>
      </c>
      <c r="D7267" t="inlineStr">
        <is>
          <t>ÖSTERGÖTLANDS LÄN</t>
        </is>
      </c>
      <c r="E7267" t="inlineStr">
        <is>
          <t>MJÖLBY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41381-2023</t>
        </is>
      </c>
      <c r="B7268" s="1" t="n">
        <v>45174</v>
      </c>
      <c r="C7268" s="1" t="n">
        <v>45710</v>
      </c>
      <c r="D7268" t="inlineStr">
        <is>
          <t>ÖSTERGÖTLANDS LÄN</t>
        </is>
      </c>
      <c r="E7268" t="inlineStr">
        <is>
          <t>NORRKÖPING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41231-2023</t>
        </is>
      </c>
      <c r="B7269" s="1" t="n">
        <v>45174</v>
      </c>
      <c r="C7269" s="1" t="n">
        <v>45710</v>
      </c>
      <c r="D7269" t="inlineStr">
        <is>
          <t>ÖSTERGÖTLANDS LÄN</t>
        </is>
      </c>
      <c r="E7269" t="inlineStr">
        <is>
          <t>KINDA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41239-2023</t>
        </is>
      </c>
      <c r="B7270" s="1" t="n">
        <v>45174</v>
      </c>
      <c r="C7270" s="1" t="n">
        <v>45710</v>
      </c>
      <c r="D7270" t="inlineStr">
        <is>
          <t>ÖSTERGÖTLANDS LÄN</t>
        </is>
      </c>
      <c r="E7270" t="inlineStr">
        <is>
          <t>SÖDERKÖPING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41374-2023</t>
        </is>
      </c>
      <c r="B7271" s="1" t="n">
        <v>45174</v>
      </c>
      <c r="C7271" s="1" t="n">
        <v>45710</v>
      </c>
      <c r="D7271" t="inlineStr">
        <is>
          <t>ÖSTERGÖTLANDS LÄN</t>
        </is>
      </c>
      <c r="E7271" t="inlineStr">
        <is>
          <t>NORRKÖPING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41382-2023</t>
        </is>
      </c>
      <c r="B7272" s="1" t="n">
        <v>45174</v>
      </c>
      <c r="C7272" s="1" t="n">
        <v>45710</v>
      </c>
      <c r="D7272" t="inlineStr">
        <is>
          <t>ÖSTERGÖTLANDS LÄN</t>
        </is>
      </c>
      <c r="E7272" t="inlineStr">
        <is>
          <t>NORRKÖPING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41328-2023</t>
        </is>
      </c>
      <c r="B7273" s="1" t="n">
        <v>45174</v>
      </c>
      <c r="C7273" s="1" t="n">
        <v>45710</v>
      </c>
      <c r="D7273" t="inlineStr">
        <is>
          <t>ÖSTERGÖTLANDS LÄN</t>
        </is>
      </c>
      <c r="E7273" t="inlineStr">
        <is>
          <t>FINSPÅNG</t>
        </is>
      </c>
      <c r="F7273" t="inlineStr">
        <is>
          <t>Kyrkan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41380-2023</t>
        </is>
      </c>
      <c r="B7274" s="1" t="n">
        <v>45174</v>
      </c>
      <c r="C7274" s="1" t="n">
        <v>45710</v>
      </c>
      <c r="D7274" t="inlineStr">
        <is>
          <t>ÖSTERGÖTLANDS LÄN</t>
        </is>
      </c>
      <c r="E7274" t="inlineStr">
        <is>
          <t>NORRKÖPING</t>
        </is>
      </c>
      <c r="G7274" t="n">
        <v>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41958-2023</t>
        </is>
      </c>
      <c r="B7275" s="1" t="n">
        <v>45174</v>
      </c>
      <c r="C7275" s="1" t="n">
        <v>45710</v>
      </c>
      <c r="D7275" t="inlineStr">
        <is>
          <t>ÖSTERGÖTLANDS LÄN</t>
        </is>
      </c>
      <c r="E7275" t="inlineStr">
        <is>
          <t>SÖDERKÖPING</t>
        </is>
      </c>
      <c r="G7275" t="n">
        <v>15.3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41236-2023</t>
        </is>
      </c>
      <c r="B7276" s="1" t="n">
        <v>45174</v>
      </c>
      <c r="C7276" s="1" t="n">
        <v>45710</v>
      </c>
      <c r="D7276" t="inlineStr">
        <is>
          <t>ÖSTERGÖTLANDS LÄN</t>
        </is>
      </c>
      <c r="E7276" t="inlineStr">
        <is>
          <t>KINDA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41245-2023</t>
        </is>
      </c>
      <c r="B7277" s="1" t="n">
        <v>45174</v>
      </c>
      <c r="C7277" s="1" t="n">
        <v>45710</v>
      </c>
      <c r="D7277" t="inlineStr">
        <is>
          <t>ÖSTERGÖTLANDS LÄN</t>
        </is>
      </c>
      <c r="E7277" t="inlineStr">
        <is>
          <t>SÖDERKÖPING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41249-2023</t>
        </is>
      </c>
      <c r="B7278" s="1" t="n">
        <v>45174</v>
      </c>
      <c r="C7278" s="1" t="n">
        <v>45710</v>
      </c>
      <c r="D7278" t="inlineStr">
        <is>
          <t>ÖSTERGÖTLANDS LÄN</t>
        </is>
      </c>
      <c r="E7278" t="inlineStr">
        <is>
          <t>SÖDERKÖPING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41300-2023</t>
        </is>
      </c>
      <c r="B7279" s="1" t="n">
        <v>45174</v>
      </c>
      <c r="C7279" s="1" t="n">
        <v>45710</v>
      </c>
      <c r="D7279" t="inlineStr">
        <is>
          <t>ÖSTERGÖTLANDS LÄN</t>
        </is>
      </c>
      <c r="E7279" t="inlineStr">
        <is>
          <t>VADSTENA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41331-2023</t>
        </is>
      </c>
      <c r="B7280" s="1" t="n">
        <v>45174</v>
      </c>
      <c r="C7280" s="1" t="n">
        <v>45710</v>
      </c>
      <c r="D7280" t="inlineStr">
        <is>
          <t>ÖSTERGÖTLANDS LÄN</t>
        </is>
      </c>
      <c r="E7280" t="inlineStr">
        <is>
          <t>KINDA</t>
        </is>
      </c>
      <c r="G7280" t="n">
        <v>3.1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41363-2023</t>
        </is>
      </c>
      <c r="B7281" s="1" t="n">
        <v>45174</v>
      </c>
      <c r="C7281" s="1" t="n">
        <v>45710</v>
      </c>
      <c r="D7281" t="inlineStr">
        <is>
          <t>ÖSTERGÖTLANDS LÄN</t>
        </is>
      </c>
      <c r="E7281" t="inlineStr">
        <is>
          <t>SÖDERKÖPING</t>
        </is>
      </c>
      <c r="G7281" t="n">
        <v>0.4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41367-2023</t>
        </is>
      </c>
      <c r="B7282" s="1" t="n">
        <v>45174</v>
      </c>
      <c r="C7282" s="1" t="n">
        <v>45710</v>
      </c>
      <c r="D7282" t="inlineStr">
        <is>
          <t>ÖSTERGÖTLANDS LÄN</t>
        </is>
      </c>
      <c r="E7282" t="inlineStr">
        <is>
          <t>NORRKÖPING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41375-2023</t>
        </is>
      </c>
      <c r="B7283" s="1" t="n">
        <v>45174</v>
      </c>
      <c r="C7283" s="1" t="n">
        <v>45710</v>
      </c>
      <c r="D7283" t="inlineStr">
        <is>
          <t>ÖSTERGÖTLANDS LÄN</t>
        </is>
      </c>
      <c r="E7283" t="inlineStr">
        <is>
          <t>NORRKÖPING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41579-2023</t>
        </is>
      </c>
      <c r="B7284" s="1" t="n">
        <v>45175</v>
      </c>
      <c r="C7284" s="1" t="n">
        <v>45710</v>
      </c>
      <c r="D7284" t="inlineStr">
        <is>
          <t>ÖSTERGÖTLANDS LÄN</t>
        </is>
      </c>
      <c r="E7284" t="inlineStr">
        <is>
          <t>KINDA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41580-2023</t>
        </is>
      </c>
      <c r="B7285" s="1" t="n">
        <v>45175</v>
      </c>
      <c r="C7285" s="1" t="n">
        <v>45710</v>
      </c>
      <c r="D7285" t="inlineStr">
        <is>
          <t>ÖSTERGÖTLANDS LÄN</t>
        </is>
      </c>
      <c r="E7285" t="inlineStr">
        <is>
          <t>KINDA</t>
        </is>
      </c>
      <c r="G7285" t="n">
        <v>0.4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41765-2023</t>
        </is>
      </c>
      <c r="B7286" s="1" t="n">
        <v>45176</v>
      </c>
      <c r="C7286" s="1" t="n">
        <v>45710</v>
      </c>
      <c r="D7286" t="inlineStr">
        <is>
          <t>ÖSTERGÖTLANDS LÄN</t>
        </is>
      </c>
      <c r="E7286" t="inlineStr">
        <is>
          <t>ÅTVIDABERG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41805-2023</t>
        </is>
      </c>
      <c r="B7287" s="1" t="n">
        <v>45176</v>
      </c>
      <c r="C7287" s="1" t="n">
        <v>45710</v>
      </c>
      <c r="D7287" t="inlineStr">
        <is>
          <t>ÖSTERGÖTLANDS LÄN</t>
        </is>
      </c>
      <c r="E7287" t="inlineStr">
        <is>
          <t>ÅTVIDABERG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41881-2023</t>
        </is>
      </c>
      <c r="B7288" s="1" t="n">
        <v>45176</v>
      </c>
      <c r="C7288" s="1" t="n">
        <v>45710</v>
      </c>
      <c r="D7288" t="inlineStr">
        <is>
          <t>ÖSTERGÖTLANDS LÄN</t>
        </is>
      </c>
      <c r="E7288" t="inlineStr">
        <is>
          <t>VALDEMARSVIK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41814-2023</t>
        </is>
      </c>
      <c r="B7289" s="1" t="n">
        <v>45176</v>
      </c>
      <c r="C7289" s="1" t="n">
        <v>45710</v>
      </c>
      <c r="D7289" t="inlineStr">
        <is>
          <t>ÖSTERGÖTLANDS LÄN</t>
        </is>
      </c>
      <c r="E7289" t="inlineStr">
        <is>
          <t>MJÖLBY</t>
        </is>
      </c>
      <c r="G7289" t="n">
        <v>4.9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41780-2023</t>
        </is>
      </c>
      <c r="B7290" s="1" t="n">
        <v>45176</v>
      </c>
      <c r="C7290" s="1" t="n">
        <v>45710</v>
      </c>
      <c r="D7290" t="inlineStr">
        <is>
          <t>ÖSTERGÖTLANDS LÄN</t>
        </is>
      </c>
      <c r="E7290" t="inlineStr">
        <is>
          <t>KINDA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41889-2023</t>
        </is>
      </c>
      <c r="B7291" s="1" t="n">
        <v>45176</v>
      </c>
      <c r="C7291" s="1" t="n">
        <v>45710</v>
      </c>
      <c r="D7291" t="inlineStr">
        <is>
          <t>ÖSTERGÖTLANDS LÄN</t>
        </is>
      </c>
      <c r="E7291" t="inlineStr">
        <is>
          <t>VALDEMARSVIK</t>
        </is>
      </c>
      <c r="G7291" t="n">
        <v>3.2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41718-2023</t>
        </is>
      </c>
      <c r="B7292" s="1" t="n">
        <v>45176</v>
      </c>
      <c r="C7292" s="1" t="n">
        <v>45710</v>
      </c>
      <c r="D7292" t="inlineStr">
        <is>
          <t>ÖSTERGÖTLANDS LÄN</t>
        </is>
      </c>
      <c r="E7292" t="inlineStr">
        <is>
          <t>KINDA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41771-2023</t>
        </is>
      </c>
      <c r="B7293" s="1" t="n">
        <v>45176</v>
      </c>
      <c r="C7293" s="1" t="n">
        <v>45710</v>
      </c>
      <c r="D7293" t="inlineStr">
        <is>
          <t>ÖSTERGÖTLANDS LÄN</t>
        </is>
      </c>
      <c r="E7293" t="inlineStr">
        <is>
          <t>KINDA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41819-2023</t>
        </is>
      </c>
      <c r="B7294" s="1" t="n">
        <v>45176</v>
      </c>
      <c r="C7294" s="1" t="n">
        <v>45710</v>
      </c>
      <c r="D7294" t="inlineStr">
        <is>
          <t>ÖSTERGÖTLANDS LÄN</t>
        </is>
      </c>
      <c r="E7294" t="inlineStr">
        <is>
          <t>MJÖLBY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41849-2023</t>
        </is>
      </c>
      <c r="B7295" s="1" t="n">
        <v>45176</v>
      </c>
      <c r="C7295" s="1" t="n">
        <v>45710</v>
      </c>
      <c r="D7295" t="inlineStr">
        <is>
          <t>ÖSTERGÖTLANDS LÄN</t>
        </is>
      </c>
      <c r="E7295" t="inlineStr">
        <is>
          <t>ÅTVIDABERG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41887-2023</t>
        </is>
      </c>
      <c r="B7296" s="1" t="n">
        <v>45176</v>
      </c>
      <c r="C7296" s="1" t="n">
        <v>45710</v>
      </c>
      <c r="D7296" t="inlineStr">
        <is>
          <t>ÖSTERGÖTLANDS LÄN</t>
        </is>
      </c>
      <c r="E7296" t="inlineStr">
        <is>
          <t>VALDEMARSVIK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42044-2023</t>
        </is>
      </c>
      <c r="B7297" s="1" t="n">
        <v>45177</v>
      </c>
      <c r="C7297" s="1" t="n">
        <v>45710</v>
      </c>
      <c r="D7297" t="inlineStr">
        <is>
          <t>ÖSTERGÖTLANDS LÄN</t>
        </is>
      </c>
      <c r="E7297" t="inlineStr">
        <is>
          <t>LINKÖPING</t>
        </is>
      </c>
      <c r="G7297" t="n">
        <v>3.9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42045-2023</t>
        </is>
      </c>
      <c r="B7298" s="1" t="n">
        <v>45177</v>
      </c>
      <c r="C7298" s="1" t="n">
        <v>45710</v>
      </c>
      <c r="D7298" t="inlineStr">
        <is>
          <t>ÖSTERGÖTLANDS LÄN</t>
        </is>
      </c>
      <c r="E7298" t="inlineStr">
        <is>
          <t>LINKÖPING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42106-2023</t>
        </is>
      </c>
      <c r="B7299" s="1" t="n">
        <v>45177</v>
      </c>
      <c r="C7299" s="1" t="n">
        <v>45710</v>
      </c>
      <c r="D7299" t="inlineStr">
        <is>
          <t>ÖSTERGÖTLANDS LÄN</t>
        </is>
      </c>
      <c r="E7299" t="inlineStr">
        <is>
          <t>FINSPÅNG</t>
        </is>
      </c>
      <c r="G7299" t="n">
        <v>3.5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42111-2023</t>
        </is>
      </c>
      <c r="B7300" s="1" t="n">
        <v>45177</v>
      </c>
      <c r="C7300" s="1" t="n">
        <v>45710</v>
      </c>
      <c r="D7300" t="inlineStr">
        <is>
          <t>ÖSTERGÖTLANDS LÄN</t>
        </is>
      </c>
      <c r="E7300" t="inlineStr">
        <is>
          <t>FINSPÅNG</t>
        </is>
      </c>
      <c r="G7300" t="n">
        <v>2.7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42109-2023</t>
        </is>
      </c>
      <c r="B7301" s="1" t="n">
        <v>45177</v>
      </c>
      <c r="C7301" s="1" t="n">
        <v>45710</v>
      </c>
      <c r="D7301" t="inlineStr">
        <is>
          <t>ÖSTERGÖTLANDS LÄN</t>
        </is>
      </c>
      <c r="E7301" t="inlineStr">
        <is>
          <t>FINSPÅNG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42113-2023</t>
        </is>
      </c>
      <c r="B7302" s="1" t="n">
        <v>45177</v>
      </c>
      <c r="C7302" s="1" t="n">
        <v>45710</v>
      </c>
      <c r="D7302" t="inlineStr">
        <is>
          <t>ÖSTERGÖTLANDS LÄN</t>
        </is>
      </c>
      <c r="E7302" t="inlineStr">
        <is>
          <t>FINSPÅNG</t>
        </is>
      </c>
      <c r="G7302" t="n">
        <v>3.6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42119-2023</t>
        </is>
      </c>
      <c r="B7303" s="1" t="n">
        <v>45177</v>
      </c>
      <c r="C7303" s="1" t="n">
        <v>45710</v>
      </c>
      <c r="D7303" t="inlineStr">
        <is>
          <t>ÖSTERGÖTLANDS LÄN</t>
        </is>
      </c>
      <c r="E7303" t="inlineStr">
        <is>
          <t>FINSPÅNG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42132-2023</t>
        </is>
      </c>
      <c r="B7304" s="1" t="n">
        <v>45177</v>
      </c>
      <c r="C7304" s="1" t="n">
        <v>45710</v>
      </c>
      <c r="D7304" t="inlineStr">
        <is>
          <t>ÖSTERGÖTLANDS LÄN</t>
        </is>
      </c>
      <c r="E7304" t="inlineStr">
        <is>
          <t>FINSPÅNG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42000-2023</t>
        </is>
      </c>
      <c r="B7305" s="1" t="n">
        <v>45177</v>
      </c>
      <c r="C7305" s="1" t="n">
        <v>45710</v>
      </c>
      <c r="D7305" t="inlineStr">
        <is>
          <t>ÖSTERGÖTLANDS LÄN</t>
        </is>
      </c>
      <c r="E7305" t="inlineStr">
        <is>
          <t>LINKÖPING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42042-2023</t>
        </is>
      </c>
      <c r="B7306" s="1" t="n">
        <v>45177</v>
      </c>
      <c r="C7306" s="1" t="n">
        <v>45710</v>
      </c>
      <c r="D7306" t="inlineStr">
        <is>
          <t>ÖSTERGÖTLANDS LÄN</t>
        </is>
      </c>
      <c r="E7306" t="inlineStr">
        <is>
          <t>MJÖLBY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42107-2023</t>
        </is>
      </c>
      <c r="B7307" s="1" t="n">
        <v>45177</v>
      </c>
      <c r="C7307" s="1" t="n">
        <v>45710</v>
      </c>
      <c r="D7307" t="inlineStr">
        <is>
          <t>ÖSTERGÖTLANDS LÄN</t>
        </is>
      </c>
      <c r="E7307" t="inlineStr">
        <is>
          <t>FINSPÅNG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42117-2023</t>
        </is>
      </c>
      <c r="B7308" s="1" t="n">
        <v>45177</v>
      </c>
      <c r="C7308" s="1" t="n">
        <v>45710</v>
      </c>
      <c r="D7308" t="inlineStr">
        <is>
          <t>ÖSTERGÖTLANDS LÄN</t>
        </is>
      </c>
      <c r="E7308" t="inlineStr">
        <is>
          <t>FINSPÅNG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42853-2023</t>
        </is>
      </c>
      <c r="B7309" s="1" t="n">
        <v>45177</v>
      </c>
      <c r="C7309" s="1" t="n">
        <v>45710</v>
      </c>
      <c r="D7309" t="inlineStr">
        <is>
          <t>ÖSTERGÖTLANDS LÄN</t>
        </is>
      </c>
      <c r="E7309" t="inlineStr">
        <is>
          <t>LINKÖPING</t>
        </is>
      </c>
      <c r="G7309" t="n">
        <v>5.2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42176-2023</t>
        </is>
      </c>
      <c r="B7310" s="1" t="n">
        <v>45178</v>
      </c>
      <c r="C7310" s="1" t="n">
        <v>45710</v>
      </c>
      <c r="D7310" t="inlineStr">
        <is>
          <t>ÖSTERGÖTLANDS LÄN</t>
        </is>
      </c>
      <c r="E7310" t="inlineStr">
        <is>
          <t>FINSPÅNG</t>
        </is>
      </c>
      <c r="G7310" t="n">
        <v>4.3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42173-2023</t>
        </is>
      </c>
      <c r="B7311" s="1" t="n">
        <v>45178</v>
      </c>
      <c r="C7311" s="1" t="n">
        <v>45710</v>
      </c>
      <c r="D7311" t="inlineStr">
        <is>
          <t>ÖSTERGÖTLANDS LÄN</t>
        </is>
      </c>
      <c r="E7311" t="inlineStr">
        <is>
          <t>NORRKÖPING</t>
        </is>
      </c>
      <c r="F7311" t="inlineStr">
        <is>
          <t>Holmen skog AB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42175-2023</t>
        </is>
      </c>
      <c r="B7312" s="1" t="n">
        <v>45178</v>
      </c>
      <c r="C7312" s="1" t="n">
        <v>45710</v>
      </c>
      <c r="D7312" t="inlineStr">
        <is>
          <t>ÖSTERGÖTLANDS LÄN</t>
        </is>
      </c>
      <c r="E7312" t="inlineStr">
        <is>
          <t>NORRKÖPING</t>
        </is>
      </c>
      <c r="F7312" t="inlineStr">
        <is>
          <t>Holmen skog AB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42203-2023</t>
        </is>
      </c>
      <c r="B7313" s="1" t="n">
        <v>45179</v>
      </c>
      <c r="C7313" s="1" t="n">
        <v>45710</v>
      </c>
      <c r="D7313" t="inlineStr">
        <is>
          <t>ÖSTERGÖTLANDS LÄN</t>
        </is>
      </c>
      <c r="E7313" t="inlineStr">
        <is>
          <t>FINSPÅNG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42205-2023</t>
        </is>
      </c>
      <c r="B7314" s="1" t="n">
        <v>45179</v>
      </c>
      <c r="C7314" s="1" t="n">
        <v>45710</v>
      </c>
      <c r="D7314" t="inlineStr">
        <is>
          <t>ÖSTERGÖTLANDS LÄN</t>
        </is>
      </c>
      <c r="E7314" t="inlineStr">
        <is>
          <t>FINSPÅNG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42202-2023</t>
        </is>
      </c>
      <c r="B7315" s="1" t="n">
        <v>45179</v>
      </c>
      <c r="C7315" s="1" t="n">
        <v>45710</v>
      </c>
      <c r="D7315" t="inlineStr">
        <is>
          <t>ÖSTERGÖTLANDS LÄN</t>
        </is>
      </c>
      <c r="E7315" t="inlineStr">
        <is>
          <t>FINSPÅNG</t>
        </is>
      </c>
      <c r="G7315" t="n">
        <v>0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42204-2023</t>
        </is>
      </c>
      <c r="B7316" s="1" t="n">
        <v>45179</v>
      </c>
      <c r="C7316" s="1" t="n">
        <v>45710</v>
      </c>
      <c r="D7316" t="inlineStr">
        <is>
          <t>ÖSTERGÖTLANDS LÄN</t>
        </is>
      </c>
      <c r="E7316" t="inlineStr">
        <is>
          <t>FINSPÅNG</t>
        </is>
      </c>
      <c r="G7316" t="n">
        <v>4.4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42355-2023</t>
        </is>
      </c>
      <c r="B7317" s="1" t="n">
        <v>45180</v>
      </c>
      <c r="C7317" s="1" t="n">
        <v>45710</v>
      </c>
      <c r="D7317" t="inlineStr">
        <is>
          <t>ÖSTERGÖTLANDS LÄN</t>
        </is>
      </c>
      <c r="E7317" t="inlineStr">
        <is>
          <t>SÖDERKÖPING</t>
        </is>
      </c>
      <c r="F7317" t="inlineStr">
        <is>
          <t>Allmännings- och besparingsskogar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42368-2023</t>
        </is>
      </c>
      <c r="B7318" s="1" t="n">
        <v>45180</v>
      </c>
      <c r="C7318" s="1" t="n">
        <v>45710</v>
      </c>
      <c r="D7318" t="inlineStr">
        <is>
          <t>ÖSTERGÖTLANDS LÄN</t>
        </is>
      </c>
      <c r="E7318" t="inlineStr">
        <is>
          <t>ÅTVIDABERG</t>
        </is>
      </c>
      <c r="G7318" t="n">
        <v>5.2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42298-2023</t>
        </is>
      </c>
      <c r="B7319" s="1" t="n">
        <v>45180</v>
      </c>
      <c r="C7319" s="1" t="n">
        <v>45710</v>
      </c>
      <c r="D7319" t="inlineStr">
        <is>
          <t>ÖSTERGÖTLANDS LÄN</t>
        </is>
      </c>
      <c r="E7319" t="inlineStr">
        <is>
          <t>MOTALA</t>
        </is>
      </c>
      <c r="G7319" t="n">
        <v>6.3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42358-2023</t>
        </is>
      </c>
      <c r="B7320" s="1" t="n">
        <v>45180</v>
      </c>
      <c r="C7320" s="1" t="n">
        <v>45710</v>
      </c>
      <c r="D7320" t="inlineStr">
        <is>
          <t>ÖSTERGÖTLANDS LÄN</t>
        </is>
      </c>
      <c r="E7320" t="inlineStr">
        <is>
          <t>SÖDERKÖPING</t>
        </is>
      </c>
      <c r="F7320" t="inlineStr">
        <is>
          <t>Allmännings- och besparingsskogar</t>
        </is>
      </c>
      <c r="G7320" t="n">
        <v>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42378-2023</t>
        </is>
      </c>
      <c r="B7321" s="1" t="n">
        <v>45180</v>
      </c>
      <c r="C7321" s="1" t="n">
        <v>45710</v>
      </c>
      <c r="D7321" t="inlineStr">
        <is>
          <t>ÖSTERGÖTLANDS LÄN</t>
        </is>
      </c>
      <c r="E7321" t="inlineStr">
        <is>
          <t>ÅTVIDABERG</t>
        </is>
      </c>
      <c r="G7321" t="n">
        <v>15.9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42382-2023</t>
        </is>
      </c>
      <c r="B7322" s="1" t="n">
        <v>45180</v>
      </c>
      <c r="C7322" s="1" t="n">
        <v>45710</v>
      </c>
      <c r="D7322" t="inlineStr">
        <is>
          <t>ÖSTERGÖTLANDS LÄN</t>
        </is>
      </c>
      <c r="E7322" t="inlineStr">
        <is>
          <t>ÅTVIDABERG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42487-2023</t>
        </is>
      </c>
      <c r="B7323" s="1" t="n">
        <v>45180</v>
      </c>
      <c r="C7323" s="1" t="n">
        <v>45710</v>
      </c>
      <c r="D7323" t="inlineStr">
        <is>
          <t>ÖSTERGÖTLANDS LÄN</t>
        </is>
      </c>
      <c r="E7323" t="inlineStr">
        <is>
          <t>ÅTVIDABERG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42320-2023</t>
        </is>
      </c>
      <c r="B7324" s="1" t="n">
        <v>45180</v>
      </c>
      <c r="C7324" s="1" t="n">
        <v>45710</v>
      </c>
      <c r="D7324" t="inlineStr">
        <is>
          <t>ÖSTERGÖTLANDS LÄN</t>
        </is>
      </c>
      <c r="E7324" t="inlineStr">
        <is>
          <t>LINKÖPING</t>
        </is>
      </c>
      <c r="G7324" t="n">
        <v>5.6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42488-2023</t>
        </is>
      </c>
      <c r="B7325" s="1" t="n">
        <v>45180</v>
      </c>
      <c r="C7325" s="1" t="n">
        <v>45710</v>
      </c>
      <c r="D7325" t="inlineStr">
        <is>
          <t>ÖSTERGÖTLANDS LÄN</t>
        </is>
      </c>
      <c r="E7325" t="inlineStr">
        <is>
          <t>ÅTVIDABERG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42748-2023</t>
        </is>
      </c>
      <c r="B7326" s="1" t="n">
        <v>45181</v>
      </c>
      <c r="C7326" s="1" t="n">
        <v>45710</v>
      </c>
      <c r="D7326" t="inlineStr">
        <is>
          <t>ÖSTERGÖTLANDS LÄN</t>
        </is>
      </c>
      <c r="E7326" t="inlineStr">
        <is>
          <t>SÖDERKÖPING</t>
        </is>
      </c>
      <c r="G7326" t="n">
        <v>2.2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42769-2023</t>
        </is>
      </c>
      <c r="B7327" s="1" t="n">
        <v>45181</v>
      </c>
      <c r="C7327" s="1" t="n">
        <v>45710</v>
      </c>
      <c r="D7327" t="inlineStr">
        <is>
          <t>ÖSTERGÖTLANDS LÄN</t>
        </is>
      </c>
      <c r="E7327" t="inlineStr">
        <is>
          <t>BOXHOLM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42673-2023</t>
        </is>
      </c>
      <c r="B7328" s="1" t="n">
        <v>45181</v>
      </c>
      <c r="C7328" s="1" t="n">
        <v>45710</v>
      </c>
      <c r="D7328" t="inlineStr">
        <is>
          <t>ÖSTERGÖTLANDS LÄN</t>
        </is>
      </c>
      <c r="E7328" t="inlineStr">
        <is>
          <t>SÖDERKÖPING</t>
        </is>
      </c>
      <c r="G7328" t="n">
        <v>0.3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42733-2023</t>
        </is>
      </c>
      <c r="B7329" s="1" t="n">
        <v>45181</v>
      </c>
      <c r="C7329" s="1" t="n">
        <v>45710</v>
      </c>
      <c r="D7329" t="inlineStr">
        <is>
          <t>ÖSTERGÖTLANDS LÄN</t>
        </is>
      </c>
      <c r="E7329" t="inlineStr">
        <is>
          <t>SÖDERKÖPING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42753-2023</t>
        </is>
      </c>
      <c r="B7330" s="1" t="n">
        <v>45181</v>
      </c>
      <c r="C7330" s="1" t="n">
        <v>45710</v>
      </c>
      <c r="D7330" t="inlineStr">
        <is>
          <t>ÖSTERGÖTLANDS LÄN</t>
        </is>
      </c>
      <c r="E7330" t="inlineStr">
        <is>
          <t>SÖDERKÖPING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42768-2023</t>
        </is>
      </c>
      <c r="B7331" s="1" t="n">
        <v>45181</v>
      </c>
      <c r="C7331" s="1" t="n">
        <v>45710</v>
      </c>
      <c r="D7331" t="inlineStr">
        <is>
          <t>ÖSTERGÖTLANDS LÄN</t>
        </is>
      </c>
      <c r="E7331" t="inlineStr">
        <is>
          <t>KINDA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42767-2023</t>
        </is>
      </c>
      <c r="B7332" s="1" t="n">
        <v>45181</v>
      </c>
      <c r="C7332" s="1" t="n">
        <v>45710</v>
      </c>
      <c r="D7332" t="inlineStr">
        <is>
          <t>ÖSTERGÖTLANDS LÄN</t>
        </is>
      </c>
      <c r="E7332" t="inlineStr">
        <is>
          <t>BOXHOLM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42779-2023</t>
        </is>
      </c>
      <c r="B7333" s="1" t="n">
        <v>45181</v>
      </c>
      <c r="C7333" s="1" t="n">
        <v>45710</v>
      </c>
      <c r="D7333" t="inlineStr">
        <is>
          <t>ÖSTERGÖTLANDS LÄN</t>
        </is>
      </c>
      <c r="E7333" t="inlineStr">
        <is>
          <t>FINSPÅNG</t>
        </is>
      </c>
      <c r="G7333" t="n">
        <v>4.9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42832-2023</t>
        </is>
      </c>
      <c r="B7334" s="1" t="n">
        <v>45182</v>
      </c>
      <c r="C7334" s="1" t="n">
        <v>45710</v>
      </c>
      <c r="D7334" t="inlineStr">
        <is>
          <t>ÖSTERGÖTLANDS LÄN</t>
        </is>
      </c>
      <c r="E7334" t="inlineStr">
        <is>
          <t>LINKÖPING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42837-2023</t>
        </is>
      </c>
      <c r="B7335" s="1" t="n">
        <v>45182</v>
      </c>
      <c r="C7335" s="1" t="n">
        <v>45710</v>
      </c>
      <c r="D7335" t="inlineStr">
        <is>
          <t>ÖSTERGÖTLANDS LÄN</t>
        </is>
      </c>
      <c r="E7335" t="inlineStr">
        <is>
          <t>MJÖLBY</t>
        </is>
      </c>
      <c r="G7335" t="n">
        <v>2.2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42919-2023</t>
        </is>
      </c>
      <c r="B7336" s="1" t="n">
        <v>45182</v>
      </c>
      <c r="C7336" s="1" t="n">
        <v>45710</v>
      </c>
      <c r="D7336" t="inlineStr">
        <is>
          <t>ÖSTERGÖTLANDS LÄN</t>
        </is>
      </c>
      <c r="E7336" t="inlineStr">
        <is>
          <t>MOTALA</t>
        </is>
      </c>
      <c r="F7336" t="inlineStr">
        <is>
          <t>Kyrkan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42928-2023</t>
        </is>
      </c>
      <c r="B7337" s="1" t="n">
        <v>45182</v>
      </c>
      <c r="C7337" s="1" t="n">
        <v>45710</v>
      </c>
      <c r="D7337" t="inlineStr">
        <is>
          <t>ÖSTERGÖTLANDS LÄN</t>
        </is>
      </c>
      <c r="E7337" t="inlineStr">
        <is>
          <t>MOTALA</t>
        </is>
      </c>
      <c r="F7337" t="inlineStr">
        <is>
          <t>Kyrkan</t>
        </is>
      </c>
      <c r="G7337" t="n">
        <v>3.3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43082-2023</t>
        </is>
      </c>
      <c r="B7338" s="1" t="n">
        <v>45182</v>
      </c>
      <c r="C7338" s="1" t="n">
        <v>45710</v>
      </c>
      <c r="D7338" t="inlineStr">
        <is>
          <t>ÖSTERGÖTLANDS LÄN</t>
        </is>
      </c>
      <c r="E7338" t="inlineStr">
        <is>
          <t>ÅTVIDABERG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42903-2023</t>
        </is>
      </c>
      <c r="B7339" s="1" t="n">
        <v>45182</v>
      </c>
      <c r="C7339" s="1" t="n">
        <v>45710</v>
      </c>
      <c r="D7339" t="inlineStr">
        <is>
          <t>ÖSTERGÖTLANDS LÄN</t>
        </is>
      </c>
      <c r="E7339" t="inlineStr">
        <is>
          <t>LINKÖPING</t>
        </is>
      </c>
      <c r="G7339" t="n">
        <v>2.1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42907-2023</t>
        </is>
      </c>
      <c r="B7340" s="1" t="n">
        <v>45182</v>
      </c>
      <c r="C7340" s="1" t="n">
        <v>45710</v>
      </c>
      <c r="D7340" t="inlineStr">
        <is>
          <t>ÖSTERGÖTLANDS LÄN</t>
        </is>
      </c>
      <c r="E7340" t="inlineStr">
        <is>
          <t>LINKÖPING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42833-2023</t>
        </is>
      </c>
      <c r="B7341" s="1" t="n">
        <v>45182</v>
      </c>
      <c r="C7341" s="1" t="n">
        <v>45710</v>
      </c>
      <c r="D7341" t="inlineStr">
        <is>
          <t>ÖSTERGÖTLANDS LÄN</t>
        </is>
      </c>
      <c r="E7341" t="inlineStr">
        <is>
          <t>LINKÖPING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42851-2023</t>
        </is>
      </c>
      <c r="B7342" s="1" t="n">
        <v>45182</v>
      </c>
      <c r="C7342" s="1" t="n">
        <v>45710</v>
      </c>
      <c r="D7342" t="inlineStr">
        <is>
          <t>ÖSTERGÖTLANDS LÄN</t>
        </is>
      </c>
      <c r="E7342" t="inlineStr">
        <is>
          <t>MJÖLBY</t>
        </is>
      </c>
      <c r="G7342" t="n">
        <v>8.1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42887-2023</t>
        </is>
      </c>
      <c r="B7343" s="1" t="n">
        <v>45182</v>
      </c>
      <c r="C7343" s="1" t="n">
        <v>45710</v>
      </c>
      <c r="D7343" t="inlineStr">
        <is>
          <t>ÖSTERGÖTLANDS LÄN</t>
        </is>
      </c>
      <c r="E7343" t="inlineStr">
        <is>
          <t>LINKÖPING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43083-2023</t>
        </is>
      </c>
      <c r="B7344" s="1" t="n">
        <v>45182</v>
      </c>
      <c r="C7344" s="1" t="n">
        <v>45710</v>
      </c>
      <c r="D7344" t="inlineStr">
        <is>
          <t>ÖSTERGÖTLANDS LÄN</t>
        </is>
      </c>
      <c r="E7344" t="inlineStr">
        <is>
          <t>ÅTVIDABERG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42956-2023</t>
        </is>
      </c>
      <c r="B7345" s="1" t="n">
        <v>45182</v>
      </c>
      <c r="C7345" s="1" t="n">
        <v>45710</v>
      </c>
      <c r="D7345" t="inlineStr">
        <is>
          <t>ÖSTERGÖTLANDS LÄN</t>
        </is>
      </c>
      <c r="E7345" t="inlineStr">
        <is>
          <t>KINDA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43148-2023</t>
        </is>
      </c>
      <c r="B7346" s="1" t="n">
        <v>45183</v>
      </c>
      <c r="C7346" s="1" t="n">
        <v>45710</v>
      </c>
      <c r="D7346" t="inlineStr">
        <is>
          <t>ÖSTERGÖTLANDS LÄN</t>
        </is>
      </c>
      <c r="E7346" t="inlineStr">
        <is>
          <t>VALDEMARSVIK</t>
        </is>
      </c>
      <c r="G7346" t="n">
        <v>7.3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43257-2023</t>
        </is>
      </c>
      <c r="B7347" s="1" t="n">
        <v>45183</v>
      </c>
      <c r="C7347" s="1" t="n">
        <v>45710</v>
      </c>
      <c r="D7347" t="inlineStr">
        <is>
          <t>ÖSTERGÖTLANDS LÄN</t>
        </is>
      </c>
      <c r="E7347" t="inlineStr">
        <is>
          <t>MOTALA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43265-2023</t>
        </is>
      </c>
      <c r="B7348" s="1" t="n">
        <v>45183</v>
      </c>
      <c r="C7348" s="1" t="n">
        <v>45710</v>
      </c>
      <c r="D7348" t="inlineStr">
        <is>
          <t>ÖSTERGÖTLANDS LÄN</t>
        </is>
      </c>
      <c r="E7348" t="inlineStr">
        <is>
          <t>ÖDESHÖG</t>
        </is>
      </c>
      <c r="G7348" t="n">
        <v>2.8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43344-2023</t>
        </is>
      </c>
      <c r="B7349" s="1" t="n">
        <v>45183</v>
      </c>
      <c r="C7349" s="1" t="n">
        <v>45710</v>
      </c>
      <c r="D7349" t="inlineStr">
        <is>
          <t>ÖSTERGÖTLANDS LÄN</t>
        </is>
      </c>
      <c r="E7349" t="inlineStr">
        <is>
          <t>NORRKÖPING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43369-2023</t>
        </is>
      </c>
      <c r="B7350" s="1" t="n">
        <v>45183</v>
      </c>
      <c r="C7350" s="1" t="n">
        <v>45710</v>
      </c>
      <c r="D7350" t="inlineStr">
        <is>
          <t>ÖSTERGÖTLANDS LÄN</t>
        </is>
      </c>
      <c r="E7350" t="inlineStr">
        <is>
          <t>MOTALA</t>
        </is>
      </c>
      <c r="G7350" t="n">
        <v>3.1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43373-2023</t>
        </is>
      </c>
      <c r="B7351" s="1" t="n">
        <v>45183</v>
      </c>
      <c r="C7351" s="1" t="n">
        <v>45710</v>
      </c>
      <c r="D7351" t="inlineStr">
        <is>
          <t>ÖSTERGÖTLANDS LÄN</t>
        </is>
      </c>
      <c r="E7351" t="inlineStr">
        <is>
          <t>MOTALA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43385-2023</t>
        </is>
      </c>
      <c r="B7352" s="1" t="n">
        <v>45183</v>
      </c>
      <c r="C7352" s="1" t="n">
        <v>45710</v>
      </c>
      <c r="D7352" t="inlineStr">
        <is>
          <t>ÖSTERGÖTLANDS LÄN</t>
        </is>
      </c>
      <c r="E7352" t="inlineStr">
        <is>
          <t>ÅTVIDABERG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43151-2023</t>
        </is>
      </c>
      <c r="B7353" s="1" t="n">
        <v>45183</v>
      </c>
      <c r="C7353" s="1" t="n">
        <v>45710</v>
      </c>
      <c r="D7353" t="inlineStr">
        <is>
          <t>ÖSTERGÖTLANDS LÄN</t>
        </is>
      </c>
      <c r="E7353" t="inlineStr">
        <is>
          <t>VALDEMARSVIK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43263-2023</t>
        </is>
      </c>
      <c r="B7354" s="1" t="n">
        <v>45183</v>
      </c>
      <c r="C7354" s="1" t="n">
        <v>45710</v>
      </c>
      <c r="D7354" t="inlineStr">
        <is>
          <t>ÖSTERGÖTLANDS LÄN</t>
        </is>
      </c>
      <c r="E7354" t="inlineStr">
        <is>
          <t>ÖDESHÖG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43277-2023</t>
        </is>
      </c>
      <c r="B7355" s="1" t="n">
        <v>45183</v>
      </c>
      <c r="C7355" s="1" t="n">
        <v>45710</v>
      </c>
      <c r="D7355" t="inlineStr">
        <is>
          <t>ÖSTERGÖTLANDS LÄN</t>
        </is>
      </c>
      <c r="E7355" t="inlineStr">
        <is>
          <t>NORRKÖPING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43278-2023</t>
        </is>
      </c>
      <c r="B7356" s="1" t="n">
        <v>45183</v>
      </c>
      <c r="C7356" s="1" t="n">
        <v>45710</v>
      </c>
      <c r="D7356" t="inlineStr">
        <is>
          <t>ÖSTERGÖTLANDS LÄN</t>
        </is>
      </c>
      <c r="E7356" t="inlineStr">
        <is>
          <t>NORRKÖPING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43342-2023</t>
        </is>
      </c>
      <c r="B7357" s="1" t="n">
        <v>45183</v>
      </c>
      <c r="C7357" s="1" t="n">
        <v>45710</v>
      </c>
      <c r="D7357" t="inlineStr">
        <is>
          <t>ÖSTERGÖTLANDS LÄN</t>
        </is>
      </c>
      <c r="E7357" t="inlineStr">
        <is>
          <t>VALDEMARSVIK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43355-2023</t>
        </is>
      </c>
      <c r="B7358" s="1" t="n">
        <v>45183</v>
      </c>
      <c r="C7358" s="1" t="n">
        <v>45710</v>
      </c>
      <c r="D7358" t="inlineStr">
        <is>
          <t>ÖSTERGÖTLANDS LÄN</t>
        </is>
      </c>
      <c r="E7358" t="inlineStr">
        <is>
          <t>NORRKÖPING</t>
        </is>
      </c>
      <c r="G7358" t="n">
        <v>3.4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43379-2023</t>
        </is>
      </c>
      <c r="B7359" s="1" t="n">
        <v>45183</v>
      </c>
      <c r="C7359" s="1" t="n">
        <v>45710</v>
      </c>
      <c r="D7359" t="inlineStr">
        <is>
          <t>ÖSTERGÖTLANDS LÄN</t>
        </is>
      </c>
      <c r="E7359" t="inlineStr">
        <is>
          <t>FINSPÅNG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43383-2023</t>
        </is>
      </c>
      <c r="B7360" s="1" t="n">
        <v>45183</v>
      </c>
      <c r="C7360" s="1" t="n">
        <v>45710</v>
      </c>
      <c r="D7360" t="inlineStr">
        <is>
          <t>ÖSTERGÖTLANDS LÄN</t>
        </is>
      </c>
      <c r="E7360" t="inlineStr">
        <is>
          <t>SÖDERKÖPING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43387-2023</t>
        </is>
      </c>
      <c r="B7361" s="1" t="n">
        <v>45183</v>
      </c>
      <c r="C7361" s="1" t="n">
        <v>45710</v>
      </c>
      <c r="D7361" t="inlineStr">
        <is>
          <t>ÖSTERGÖTLANDS LÄN</t>
        </is>
      </c>
      <c r="E7361" t="inlineStr">
        <is>
          <t>ÅTVIDABERG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43391-2023</t>
        </is>
      </c>
      <c r="B7362" s="1" t="n">
        <v>45183</v>
      </c>
      <c r="C7362" s="1" t="n">
        <v>45710</v>
      </c>
      <c r="D7362" t="inlineStr">
        <is>
          <t>ÖSTERGÖTLANDS LÄN</t>
        </is>
      </c>
      <c r="E7362" t="inlineStr">
        <is>
          <t>ÅTVIDABERG</t>
        </is>
      </c>
      <c r="G7362" t="n">
        <v>3.9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43338-2023</t>
        </is>
      </c>
      <c r="B7363" s="1" t="n">
        <v>45183</v>
      </c>
      <c r="C7363" s="1" t="n">
        <v>45710</v>
      </c>
      <c r="D7363" t="inlineStr">
        <is>
          <t>ÖSTERGÖTLANDS LÄN</t>
        </is>
      </c>
      <c r="E7363" t="inlineStr">
        <is>
          <t>VALDEMARSVIK</t>
        </is>
      </c>
      <c r="G7363" t="n">
        <v>5.7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43368-2023</t>
        </is>
      </c>
      <c r="B7364" s="1" t="n">
        <v>45183</v>
      </c>
      <c r="C7364" s="1" t="n">
        <v>45710</v>
      </c>
      <c r="D7364" t="inlineStr">
        <is>
          <t>ÖSTERGÖTLANDS LÄN</t>
        </is>
      </c>
      <c r="E7364" t="inlineStr">
        <is>
          <t>MOTALA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43392-2023</t>
        </is>
      </c>
      <c r="B7365" s="1" t="n">
        <v>45183</v>
      </c>
      <c r="C7365" s="1" t="n">
        <v>45710</v>
      </c>
      <c r="D7365" t="inlineStr">
        <is>
          <t>ÖSTERGÖTLANDS LÄN</t>
        </is>
      </c>
      <c r="E7365" t="inlineStr">
        <is>
          <t>ÅTVIDABERG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43280-2023</t>
        </is>
      </c>
      <c r="B7366" s="1" t="n">
        <v>45183</v>
      </c>
      <c r="C7366" s="1" t="n">
        <v>45710</v>
      </c>
      <c r="D7366" t="inlineStr">
        <is>
          <t>ÖSTERGÖTLANDS LÄN</t>
        </is>
      </c>
      <c r="E7366" t="inlineStr">
        <is>
          <t>NORRKÖPING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43346-2023</t>
        </is>
      </c>
      <c r="B7367" s="1" t="n">
        <v>45183</v>
      </c>
      <c r="C7367" s="1" t="n">
        <v>45710</v>
      </c>
      <c r="D7367" t="inlineStr">
        <is>
          <t>ÖSTERGÖTLANDS LÄN</t>
        </is>
      </c>
      <c r="E7367" t="inlineStr">
        <is>
          <t>NORRKÖPING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43370-2023</t>
        </is>
      </c>
      <c r="B7368" s="1" t="n">
        <v>45183</v>
      </c>
      <c r="C7368" s="1" t="n">
        <v>45710</v>
      </c>
      <c r="D7368" t="inlineStr">
        <is>
          <t>ÖSTERGÖTLANDS LÄN</t>
        </is>
      </c>
      <c r="E7368" t="inlineStr">
        <is>
          <t>MOTALA</t>
        </is>
      </c>
      <c r="G7368" t="n">
        <v>10.9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43382-2023</t>
        </is>
      </c>
      <c r="B7369" s="1" t="n">
        <v>45183</v>
      </c>
      <c r="C7369" s="1" t="n">
        <v>45710</v>
      </c>
      <c r="D7369" t="inlineStr">
        <is>
          <t>ÖSTERGÖTLANDS LÄN</t>
        </is>
      </c>
      <c r="E7369" t="inlineStr">
        <is>
          <t>ÅTVIDABERG</t>
        </is>
      </c>
      <c r="G7369" t="n">
        <v>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43386-2023</t>
        </is>
      </c>
      <c r="B7370" s="1" t="n">
        <v>45183</v>
      </c>
      <c r="C7370" s="1" t="n">
        <v>45710</v>
      </c>
      <c r="D7370" t="inlineStr">
        <is>
          <t>ÖSTERGÖTLANDS LÄN</t>
        </is>
      </c>
      <c r="E7370" t="inlineStr">
        <is>
          <t>ÅTVIDABERG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43390-2023</t>
        </is>
      </c>
      <c r="B7371" s="1" t="n">
        <v>45183</v>
      </c>
      <c r="C7371" s="1" t="n">
        <v>45710</v>
      </c>
      <c r="D7371" t="inlineStr">
        <is>
          <t>ÖSTERGÖTLANDS LÄN</t>
        </is>
      </c>
      <c r="E7371" t="inlineStr">
        <is>
          <t>KINDA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44565-2023</t>
        </is>
      </c>
      <c r="B7372" s="1" t="n">
        <v>45183</v>
      </c>
      <c r="C7372" s="1" t="n">
        <v>45710</v>
      </c>
      <c r="D7372" t="inlineStr">
        <is>
          <t>ÖSTERGÖTLANDS LÄN</t>
        </is>
      </c>
      <c r="E7372" t="inlineStr">
        <is>
          <t>VALDEMARSVIK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44559-2023</t>
        </is>
      </c>
      <c r="B7373" s="1" t="n">
        <v>45183</v>
      </c>
      <c r="C7373" s="1" t="n">
        <v>45710</v>
      </c>
      <c r="D7373" t="inlineStr">
        <is>
          <t>ÖSTERGÖTLANDS LÄN</t>
        </is>
      </c>
      <c r="E7373" t="inlineStr">
        <is>
          <t>VALDEMARSVIK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43455-2023</t>
        </is>
      </c>
      <c r="B7374" s="1" t="n">
        <v>45184</v>
      </c>
      <c r="C7374" s="1" t="n">
        <v>45710</v>
      </c>
      <c r="D7374" t="inlineStr">
        <is>
          <t>ÖSTERGÖTLANDS LÄN</t>
        </is>
      </c>
      <c r="E7374" t="inlineStr">
        <is>
          <t>YDRE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43475-2023</t>
        </is>
      </c>
      <c r="B7375" s="1" t="n">
        <v>45184</v>
      </c>
      <c r="C7375" s="1" t="n">
        <v>45710</v>
      </c>
      <c r="D7375" t="inlineStr">
        <is>
          <t>ÖSTERGÖTLANDS LÄN</t>
        </is>
      </c>
      <c r="E7375" t="inlineStr">
        <is>
          <t>KINDA</t>
        </is>
      </c>
      <c r="G7375" t="n">
        <v>6.1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43495-2023</t>
        </is>
      </c>
      <c r="B7376" s="1" t="n">
        <v>45184</v>
      </c>
      <c r="C7376" s="1" t="n">
        <v>45710</v>
      </c>
      <c r="D7376" t="inlineStr">
        <is>
          <t>ÖSTERGÖTLANDS LÄN</t>
        </is>
      </c>
      <c r="E7376" t="inlineStr">
        <is>
          <t>SÖDERKÖPING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43432-2023</t>
        </is>
      </c>
      <c r="B7377" s="1" t="n">
        <v>45184</v>
      </c>
      <c r="C7377" s="1" t="n">
        <v>45710</v>
      </c>
      <c r="D7377" t="inlineStr">
        <is>
          <t>ÖSTERGÖTLANDS LÄN</t>
        </is>
      </c>
      <c r="E7377" t="inlineStr">
        <is>
          <t>KINDA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43460-2023</t>
        </is>
      </c>
      <c r="B7378" s="1" t="n">
        <v>45184</v>
      </c>
      <c r="C7378" s="1" t="n">
        <v>45710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43476-2023</t>
        </is>
      </c>
      <c r="B7379" s="1" t="n">
        <v>45184</v>
      </c>
      <c r="C7379" s="1" t="n">
        <v>45710</v>
      </c>
      <c r="D7379" t="inlineStr">
        <is>
          <t>ÖSTERGÖTLANDS LÄN</t>
        </is>
      </c>
      <c r="E7379" t="inlineStr">
        <is>
          <t>NORRKÖPING</t>
        </is>
      </c>
      <c r="F7379" t="inlineStr">
        <is>
          <t>Holmen skog AB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43546-2023</t>
        </is>
      </c>
      <c r="B7380" s="1" t="n">
        <v>45184</v>
      </c>
      <c r="C7380" s="1" t="n">
        <v>45710</v>
      </c>
      <c r="D7380" t="inlineStr">
        <is>
          <t>ÖSTERGÖTLANDS LÄN</t>
        </is>
      </c>
      <c r="E7380" t="inlineStr">
        <is>
          <t>SÖDERKÖPING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44502-2023</t>
        </is>
      </c>
      <c r="B7381" s="1" t="n">
        <v>45184</v>
      </c>
      <c r="C7381" s="1" t="n">
        <v>45710</v>
      </c>
      <c r="D7381" t="inlineStr">
        <is>
          <t>ÖSTERGÖTLANDS LÄN</t>
        </is>
      </c>
      <c r="E7381" t="inlineStr">
        <is>
          <t>ÅTVIDABERG</t>
        </is>
      </c>
      <c r="G7381" t="n">
        <v>2.9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43611-2023</t>
        </is>
      </c>
      <c r="B7382" s="1" t="n">
        <v>45184</v>
      </c>
      <c r="C7382" s="1" t="n">
        <v>45710</v>
      </c>
      <c r="D7382" t="inlineStr">
        <is>
          <t>ÖSTERGÖTLANDS LÄN</t>
        </is>
      </c>
      <c r="E7382" t="inlineStr">
        <is>
          <t>SÖDERKÖPING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43521-2023</t>
        </is>
      </c>
      <c r="B7383" s="1" t="n">
        <v>45184</v>
      </c>
      <c r="C7383" s="1" t="n">
        <v>45710</v>
      </c>
      <c r="D7383" t="inlineStr">
        <is>
          <t>ÖSTERGÖTLANDS LÄN</t>
        </is>
      </c>
      <c r="E7383" t="inlineStr">
        <is>
          <t>ÖDESHÖG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43534-2023</t>
        </is>
      </c>
      <c r="B7384" s="1" t="n">
        <v>45184</v>
      </c>
      <c r="C7384" s="1" t="n">
        <v>45710</v>
      </c>
      <c r="D7384" t="inlineStr">
        <is>
          <t>ÖSTERGÖTLANDS LÄN</t>
        </is>
      </c>
      <c r="E7384" t="inlineStr">
        <is>
          <t>FINSPÅNG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43590-2023</t>
        </is>
      </c>
      <c r="B7385" s="1" t="n">
        <v>45184</v>
      </c>
      <c r="C7385" s="1" t="n">
        <v>45710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5.5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43688-2023</t>
        </is>
      </c>
      <c r="B7386" s="1" t="n">
        <v>45187</v>
      </c>
      <c r="C7386" s="1" t="n">
        <v>45710</v>
      </c>
      <c r="D7386" t="inlineStr">
        <is>
          <t>ÖSTERGÖTLANDS LÄN</t>
        </is>
      </c>
      <c r="E7386" t="inlineStr">
        <is>
          <t>KINDA</t>
        </is>
      </c>
      <c r="F7386" t="inlineStr">
        <is>
          <t>Övriga Aktiebolag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43692-2023</t>
        </is>
      </c>
      <c r="B7387" s="1" t="n">
        <v>45187</v>
      </c>
      <c r="C7387" s="1" t="n">
        <v>45710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43685-2023</t>
        </is>
      </c>
      <c r="B7388" s="1" t="n">
        <v>45187</v>
      </c>
      <c r="C7388" s="1" t="n">
        <v>45710</v>
      </c>
      <c r="D7388" t="inlineStr">
        <is>
          <t>ÖSTERGÖTLANDS LÄN</t>
        </is>
      </c>
      <c r="E7388" t="inlineStr">
        <is>
          <t>KINDA</t>
        </is>
      </c>
      <c r="G7388" t="n">
        <v>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43737-2023</t>
        </is>
      </c>
      <c r="B7389" s="1" t="n">
        <v>45187</v>
      </c>
      <c r="C7389" s="1" t="n">
        <v>45710</v>
      </c>
      <c r="D7389" t="inlineStr">
        <is>
          <t>ÖSTERGÖTLANDS LÄN</t>
        </is>
      </c>
      <c r="E7389" t="inlineStr">
        <is>
          <t>KINDA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43743-2023</t>
        </is>
      </c>
      <c r="B7390" s="1" t="n">
        <v>45187</v>
      </c>
      <c r="C7390" s="1" t="n">
        <v>45710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43824-2023</t>
        </is>
      </c>
      <c r="B7391" s="1" t="n">
        <v>45187</v>
      </c>
      <c r="C7391" s="1" t="n">
        <v>45710</v>
      </c>
      <c r="D7391" t="inlineStr">
        <is>
          <t>ÖSTERGÖTLANDS LÄN</t>
        </is>
      </c>
      <c r="E7391" t="inlineStr">
        <is>
          <t>BOXHOLM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43703-2023</t>
        </is>
      </c>
      <c r="B7392" s="1" t="n">
        <v>45187</v>
      </c>
      <c r="C7392" s="1" t="n">
        <v>45710</v>
      </c>
      <c r="D7392" t="inlineStr">
        <is>
          <t>ÖSTERGÖTLANDS LÄN</t>
        </is>
      </c>
      <c r="E7392" t="inlineStr">
        <is>
          <t>LINKÖPING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43857-2023</t>
        </is>
      </c>
      <c r="B7393" s="1" t="n">
        <v>45187</v>
      </c>
      <c r="C7393" s="1" t="n">
        <v>45710</v>
      </c>
      <c r="D7393" t="inlineStr">
        <is>
          <t>ÖSTERGÖTLANDS LÄN</t>
        </is>
      </c>
      <c r="E7393" t="inlineStr">
        <is>
          <t>KINDA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43890-2023</t>
        </is>
      </c>
      <c r="B7394" s="1" t="n">
        <v>45187</v>
      </c>
      <c r="C7394" s="1" t="n">
        <v>45710</v>
      </c>
      <c r="D7394" t="inlineStr">
        <is>
          <t>ÖSTERGÖTLANDS LÄN</t>
        </is>
      </c>
      <c r="E7394" t="inlineStr">
        <is>
          <t>SÖDERKÖPING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43940-2023</t>
        </is>
      </c>
      <c r="B7395" s="1" t="n">
        <v>45187</v>
      </c>
      <c r="C7395" s="1" t="n">
        <v>45710</v>
      </c>
      <c r="D7395" t="inlineStr">
        <is>
          <t>ÖSTERGÖTLANDS LÄN</t>
        </is>
      </c>
      <c r="E7395" t="inlineStr">
        <is>
          <t>ÅTVIDABERG</t>
        </is>
      </c>
      <c r="F7395" t="inlineStr">
        <is>
          <t>Övriga Aktiebolag</t>
        </is>
      </c>
      <c r="G7395" t="n">
        <v>3.7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43872-2023</t>
        </is>
      </c>
      <c r="B7396" s="1" t="n">
        <v>45187</v>
      </c>
      <c r="C7396" s="1" t="n">
        <v>45710</v>
      </c>
      <c r="D7396" t="inlineStr">
        <is>
          <t>ÖSTERGÖTLANDS LÄN</t>
        </is>
      </c>
      <c r="E7396" t="inlineStr">
        <is>
          <t>ÅTVIDABERG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43889-2023</t>
        </is>
      </c>
      <c r="B7397" s="1" t="n">
        <v>45187</v>
      </c>
      <c r="C7397" s="1" t="n">
        <v>45710</v>
      </c>
      <c r="D7397" t="inlineStr">
        <is>
          <t>ÖSTERGÖTLANDS LÄN</t>
        </is>
      </c>
      <c r="E7397" t="inlineStr">
        <is>
          <t>SÖDERKÖPING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43884-2023</t>
        </is>
      </c>
      <c r="B7398" s="1" t="n">
        <v>45187</v>
      </c>
      <c r="C7398" s="1" t="n">
        <v>45710</v>
      </c>
      <c r="D7398" t="inlineStr">
        <is>
          <t>ÖSTERGÖTLANDS LÄN</t>
        </is>
      </c>
      <c r="E7398" t="inlineStr">
        <is>
          <t>SÖDERKÖPING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43904-2023</t>
        </is>
      </c>
      <c r="B7399" s="1" t="n">
        <v>45187</v>
      </c>
      <c r="C7399" s="1" t="n">
        <v>45710</v>
      </c>
      <c r="D7399" t="inlineStr">
        <is>
          <t>ÖSTERGÖTLANDS LÄN</t>
        </is>
      </c>
      <c r="E7399" t="inlineStr">
        <is>
          <t>YDRE</t>
        </is>
      </c>
      <c r="G7399" t="n">
        <v>4.5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43934-2023</t>
        </is>
      </c>
      <c r="B7400" s="1" t="n">
        <v>45187</v>
      </c>
      <c r="C7400" s="1" t="n">
        <v>45710</v>
      </c>
      <c r="D7400" t="inlineStr">
        <is>
          <t>ÖSTERGÖTLANDS LÄN</t>
        </is>
      </c>
      <c r="E7400" t="inlineStr">
        <is>
          <t>LINKÖPING</t>
        </is>
      </c>
      <c r="F7400" t="inlineStr">
        <is>
          <t>Övriga Aktiebolag</t>
        </is>
      </c>
      <c r="G7400" t="n">
        <v>3.8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43938-2023</t>
        </is>
      </c>
      <c r="B7401" s="1" t="n">
        <v>45187</v>
      </c>
      <c r="C7401" s="1" t="n">
        <v>45710</v>
      </c>
      <c r="D7401" t="inlineStr">
        <is>
          <t>ÖSTERGÖTLANDS LÄN</t>
        </is>
      </c>
      <c r="E7401" t="inlineStr">
        <is>
          <t>ÅTVIDABERG</t>
        </is>
      </c>
      <c r="F7401" t="inlineStr">
        <is>
          <t>Övriga Aktiebolag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43748-2023</t>
        </is>
      </c>
      <c r="B7402" s="1" t="n">
        <v>45187</v>
      </c>
      <c r="C7402" s="1" t="n">
        <v>45710</v>
      </c>
      <c r="D7402" t="inlineStr">
        <is>
          <t>ÖSTERGÖTLANDS LÄN</t>
        </is>
      </c>
      <c r="E7402" t="inlineStr">
        <is>
          <t>KINDA</t>
        </is>
      </c>
      <c r="G7402" t="n">
        <v>5.8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43807-2023</t>
        </is>
      </c>
      <c r="B7403" s="1" t="n">
        <v>45187</v>
      </c>
      <c r="C7403" s="1" t="n">
        <v>45710</v>
      </c>
      <c r="D7403" t="inlineStr">
        <is>
          <t>ÖSTERGÖTLANDS LÄN</t>
        </is>
      </c>
      <c r="E7403" t="inlineStr">
        <is>
          <t>BOXHOLM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43862-2023</t>
        </is>
      </c>
      <c r="B7404" s="1" t="n">
        <v>45187</v>
      </c>
      <c r="C7404" s="1" t="n">
        <v>45710</v>
      </c>
      <c r="D7404" t="inlineStr">
        <is>
          <t>ÖSTERGÖTLANDS LÄN</t>
        </is>
      </c>
      <c r="E7404" t="inlineStr">
        <is>
          <t>ÅTVIDABERG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43887-2023</t>
        </is>
      </c>
      <c r="B7405" s="1" t="n">
        <v>45187</v>
      </c>
      <c r="C7405" s="1" t="n">
        <v>45710</v>
      </c>
      <c r="D7405" t="inlineStr">
        <is>
          <t>ÖSTERGÖTLANDS LÄN</t>
        </is>
      </c>
      <c r="E7405" t="inlineStr">
        <is>
          <t>SÖDERKÖPING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43891-2023</t>
        </is>
      </c>
      <c r="B7406" s="1" t="n">
        <v>45187</v>
      </c>
      <c r="C7406" s="1" t="n">
        <v>45710</v>
      </c>
      <c r="D7406" t="inlineStr">
        <is>
          <t>ÖSTERGÖTLANDS LÄN</t>
        </is>
      </c>
      <c r="E7406" t="inlineStr">
        <is>
          <t>SÖDERKÖPING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43996-2023</t>
        </is>
      </c>
      <c r="B7407" s="1" t="n">
        <v>45188</v>
      </c>
      <c r="C7407" s="1" t="n">
        <v>45710</v>
      </c>
      <c r="D7407" t="inlineStr">
        <is>
          <t>ÖSTERGÖTLANDS LÄN</t>
        </is>
      </c>
      <c r="E7407" t="inlineStr">
        <is>
          <t>MOTALA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43997-2023</t>
        </is>
      </c>
      <c r="B7408" s="1" t="n">
        <v>45188</v>
      </c>
      <c r="C7408" s="1" t="n">
        <v>45710</v>
      </c>
      <c r="D7408" t="inlineStr">
        <is>
          <t>ÖSTERGÖTLANDS LÄN</t>
        </is>
      </c>
      <c r="E7408" t="inlineStr">
        <is>
          <t>MOTALA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45119-2023</t>
        </is>
      </c>
      <c r="B7409" s="1" t="n">
        <v>45187</v>
      </c>
      <c r="C7409" s="1" t="n">
        <v>45710</v>
      </c>
      <c r="D7409" t="inlineStr">
        <is>
          <t>ÖSTERGÖTLANDS LÄN</t>
        </is>
      </c>
      <c r="E7409" t="inlineStr">
        <is>
          <t>KINDA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45084-2023</t>
        </is>
      </c>
      <c r="B7410" s="1" t="n">
        <v>45187</v>
      </c>
      <c r="C7410" s="1" t="n">
        <v>45710</v>
      </c>
      <c r="D7410" t="inlineStr">
        <is>
          <t>ÖSTERGÖTLANDS LÄN</t>
        </is>
      </c>
      <c r="E7410" t="inlineStr">
        <is>
          <t>ÖDESHÖG</t>
        </is>
      </c>
      <c r="G7410" t="n">
        <v>5.7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43995-2023</t>
        </is>
      </c>
      <c r="B7411" s="1" t="n">
        <v>45188</v>
      </c>
      <c r="C7411" s="1" t="n">
        <v>45710</v>
      </c>
      <c r="D7411" t="inlineStr">
        <is>
          <t>ÖSTERGÖTLANDS LÄN</t>
        </is>
      </c>
      <c r="E7411" t="inlineStr">
        <is>
          <t>MOTALA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45108-2023</t>
        </is>
      </c>
      <c r="B7412" s="1" t="n">
        <v>45187</v>
      </c>
      <c r="C7412" s="1" t="n">
        <v>45710</v>
      </c>
      <c r="D7412" t="inlineStr">
        <is>
          <t>ÖSTERGÖTLANDS LÄN</t>
        </is>
      </c>
      <c r="E7412" t="inlineStr">
        <is>
          <t>KINDA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44298-2023</t>
        </is>
      </c>
      <c r="B7413" s="1" t="n">
        <v>45187</v>
      </c>
      <c r="C7413" s="1" t="n">
        <v>45710</v>
      </c>
      <c r="D7413" t="inlineStr">
        <is>
          <t>ÖSTERGÖTLANDS LÄN</t>
        </is>
      </c>
      <c r="E7413" t="inlineStr">
        <is>
          <t>MOTALA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45099-2023</t>
        </is>
      </c>
      <c r="B7414" s="1" t="n">
        <v>45187</v>
      </c>
      <c r="C7414" s="1" t="n">
        <v>45710</v>
      </c>
      <c r="D7414" t="inlineStr">
        <is>
          <t>ÖSTERGÖTLANDS LÄN</t>
        </is>
      </c>
      <c r="E7414" t="inlineStr">
        <is>
          <t>MOTALA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44252-2023</t>
        </is>
      </c>
      <c r="B7415" s="1" t="n">
        <v>45188</v>
      </c>
      <c r="C7415" s="1" t="n">
        <v>45710</v>
      </c>
      <c r="D7415" t="inlineStr">
        <is>
          <t>ÖSTERGÖTLANDS LÄN</t>
        </is>
      </c>
      <c r="E7415" t="inlineStr">
        <is>
          <t>NORRKÖPING</t>
        </is>
      </c>
      <c r="G7415" t="n">
        <v>13.1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44305-2023</t>
        </is>
      </c>
      <c r="B7416" s="1" t="n">
        <v>45188</v>
      </c>
      <c r="C7416" s="1" t="n">
        <v>45710</v>
      </c>
      <c r="D7416" t="inlineStr">
        <is>
          <t>ÖSTERGÖTLANDS LÄN</t>
        </is>
      </c>
      <c r="E7416" t="inlineStr">
        <is>
          <t>KINDA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44174-2023</t>
        </is>
      </c>
      <c r="B7417" s="1" t="n">
        <v>45188</v>
      </c>
      <c r="C7417" s="1" t="n">
        <v>45710</v>
      </c>
      <c r="D7417" t="inlineStr">
        <is>
          <t>ÖSTERGÖTLANDS LÄN</t>
        </is>
      </c>
      <c r="E7417" t="inlineStr">
        <is>
          <t>SÖDERKÖPING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44069-2023</t>
        </is>
      </c>
      <c r="B7418" s="1" t="n">
        <v>45188</v>
      </c>
      <c r="C7418" s="1" t="n">
        <v>45710</v>
      </c>
      <c r="D7418" t="inlineStr">
        <is>
          <t>ÖSTERGÖTLANDS LÄN</t>
        </is>
      </c>
      <c r="E7418" t="inlineStr">
        <is>
          <t>ÖDESHÖG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44197-2023</t>
        </is>
      </c>
      <c r="B7419" s="1" t="n">
        <v>45188</v>
      </c>
      <c r="C7419" s="1" t="n">
        <v>45710</v>
      </c>
      <c r="D7419" t="inlineStr">
        <is>
          <t>ÖSTERGÖTLANDS LÄN</t>
        </is>
      </c>
      <c r="E7419" t="inlineStr">
        <is>
          <t>NORRKÖPING</t>
        </is>
      </c>
      <c r="G7419" t="n">
        <v>5.7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44329-2023</t>
        </is>
      </c>
      <c r="B7420" s="1" t="n">
        <v>45188</v>
      </c>
      <c r="C7420" s="1" t="n">
        <v>45710</v>
      </c>
      <c r="D7420" t="inlineStr">
        <is>
          <t>ÖSTERGÖTLANDS LÄN</t>
        </is>
      </c>
      <c r="E7420" t="inlineStr">
        <is>
          <t>KINDA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44303-2023</t>
        </is>
      </c>
      <c r="B7421" s="1" t="n">
        <v>45188</v>
      </c>
      <c r="C7421" s="1" t="n">
        <v>45710</v>
      </c>
      <c r="D7421" t="inlineStr">
        <is>
          <t>ÖSTERGÖTLANDS LÄN</t>
        </is>
      </c>
      <c r="E7421" t="inlineStr">
        <is>
          <t>KINDA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44676-2023</t>
        </is>
      </c>
      <c r="B7422" s="1" t="n">
        <v>45189</v>
      </c>
      <c r="C7422" s="1" t="n">
        <v>45710</v>
      </c>
      <c r="D7422" t="inlineStr">
        <is>
          <t>ÖSTERGÖTLANDS LÄN</t>
        </is>
      </c>
      <c r="E7422" t="inlineStr">
        <is>
          <t>NORRKÖPING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45758-2023</t>
        </is>
      </c>
      <c r="B7423" s="1" t="n">
        <v>45189</v>
      </c>
      <c r="C7423" s="1" t="n">
        <v>45710</v>
      </c>
      <c r="D7423" t="inlineStr">
        <is>
          <t>ÖSTERGÖTLANDS LÄN</t>
        </is>
      </c>
      <c r="E7423" t="inlineStr">
        <is>
          <t>FINSPÅNG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44640-2023</t>
        </is>
      </c>
      <c r="B7424" s="1" t="n">
        <v>45189</v>
      </c>
      <c r="C7424" s="1" t="n">
        <v>45710</v>
      </c>
      <c r="D7424" t="inlineStr">
        <is>
          <t>ÖSTERGÖTLANDS LÄN</t>
        </is>
      </c>
      <c r="E7424" t="inlineStr">
        <is>
          <t>VALDEMARSVIK</t>
        </is>
      </c>
      <c r="G7424" t="n">
        <v>4.6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45982-2023</t>
        </is>
      </c>
      <c r="B7425" s="1" t="n">
        <v>45189</v>
      </c>
      <c r="C7425" s="1" t="n">
        <v>45710</v>
      </c>
      <c r="D7425" t="inlineStr">
        <is>
          <t>ÖSTERGÖTLANDS LÄN</t>
        </is>
      </c>
      <c r="E7425" t="inlineStr">
        <is>
          <t>VALDEMARSVIK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44819-2023</t>
        </is>
      </c>
      <c r="B7426" s="1" t="n">
        <v>45190</v>
      </c>
      <c r="C7426" s="1" t="n">
        <v>45710</v>
      </c>
      <c r="D7426" t="inlineStr">
        <is>
          <t>ÖSTERGÖTLANDS LÄN</t>
        </is>
      </c>
      <c r="E7426" t="inlineStr">
        <is>
          <t>SÖDERKÖPING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44823-2023</t>
        </is>
      </c>
      <c r="B7427" s="1" t="n">
        <v>45190</v>
      </c>
      <c r="C7427" s="1" t="n">
        <v>45710</v>
      </c>
      <c r="D7427" t="inlineStr">
        <is>
          <t>ÖSTERGÖTLANDS LÄN</t>
        </is>
      </c>
      <c r="E7427" t="inlineStr">
        <is>
          <t>BOXHOLM</t>
        </is>
      </c>
      <c r="F7427" t="inlineStr">
        <is>
          <t>Allmännings- och besparingsskogar</t>
        </is>
      </c>
      <c r="G7427" t="n">
        <v>8.4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44834-2023</t>
        </is>
      </c>
      <c r="B7428" s="1" t="n">
        <v>45190</v>
      </c>
      <c r="C7428" s="1" t="n">
        <v>45710</v>
      </c>
      <c r="D7428" t="inlineStr">
        <is>
          <t>ÖSTERGÖTLANDS LÄN</t>
        </is>
      </c>
      <c r="E7428" t="inlineStr">
        <is>
          <t>SÖDERKÖPING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44896-2023</t>
        </is>
      </c>
      <c r="B7429" s="1" t="n">
        <v>45190</v>
      </c>
      <c r="C7429" s="1" t="n">
        <v>45710</v>
      </c>
      <c r="D7429" t="inlineStr">
        <is>
          <t>ÖSTERGÖTLANDS LÄN</t>
        </is>
      </c>
      <c r="E7429" t="inlineStr">
        <is>
          <t>BOXHOLM</t>
        </is>
      </c>
      <c r="F7429" t="inlineStr">
        <is>
          <t>Allmännings- och besparingsskogar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44870-2023</t>
        </is>
      </c>
      <c r="B7430" s="1" t="n">
        <v>45190</v>
      </c>
      <c r="C7430" s="1" t="n">
        <v>45710</v>
      </c>
      <c r="D7430" t="inlineStr">
        <is>
          <t>ÖSTERGÖTLANDS LÄN</t>
        </is>
      </c>
      <c r="E7430" t="inlineStr">
        <is>
          <t>NORRKÖPING</t>
        </is>
      </c>
      <c r="F7430" t="inlineStr">
        <is>
          <t>Holmen skog AB</t>
        </is>
      </c>
      <c r="G7430" t="n">
        <v>11.2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44859-2023</t>
        </is>
      </c>
      <c r="B7431" s="1" t="n">
        <v>45190</v>
      </c>
      <c r="C7431" s="1" t="n">
        <v>45710</v>
      </c>
      <c r="D7431" t="inlineStr">
        <is>
          <t>ÖSTERGÖTLANDS LÄN</t>
        </is>
      </c>
      <c r="E7431" t="inlineStr">
        <is>
          <t>SÖDERKÖPING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45044-2023</t>
        </is>
      </c>
      <c r="B7432" s="1" t="n">
        <v>45191</v>
      </c>
      <c r="C7432" s="1" t="n">
        <v>45710</v>
      </c>
      <c r="D7432" t="inlineStr">
        <is>
          <t>ÖSTERGÖTLANDS LÄN</t>
        </is>
      </c>
      <c r="E7432" t="inlineStr">
        <is>
          <t>SÖDERKÖPING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45188-2023</t>
        </is>
      </c>
      <c r="B7433" s="1" t="n">
        <v>45191</v>
      </c>
      <c r="C7433" s="1" t="n">
        <v>45710</v>
      </c>
      <c r="D7433" t="inlineStr">
        <is>
          <t>ÖSTERGÖTLANDS LÄN</t>
        </is>
      </c>
      <c r="E7433" t="inlineStr">
        <is>
          <t>NORRKÖPING</t>
        </is>
      </c>
      <c r="G7433" t="n">
        <v>7.4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45033-2023</t>
        </is>
      </c>
      <c r="B7434" s="1" t="n">
        <v>45191</v>
      </c>
      <c r="C7434" s="1" t="n">
        <v>45710</v>
      </c>
      <c r="D7434" t="inlineStr">
        <is>
          <t>ÖSTERGÖTLANDS LÄN</t>
        </is>
      </c>
      <c r="E7434" t="inlineStr">
        <is>
          <t>KINDA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45148-2023</t>
        </is>
      </c>
      <c r="B7435" s="1" t="n">
        <v>45191</v>
      </c>
      <c r="C7435" s="1" t="n">
        <v>45710</v>
      </c>
      <c r="D7435" t="inlineStr">
        <is>
          <t>ÖSTERGÖTLANDS LÄN</t>
        </is>
      </c>
      <c r="E7435" t="inlineStr">
        <is>
          <t>FINSPÅNG</t>
        </is>
      </c>
      <c r="F7435" t="inlineStr">
        <is>
          <t>Kyrkan</t>
        </is>
      </c>
      <c r="G7435" t="n">
        <v>7.7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45164-2023</t>
        </is>
      </c>
      <c r="B7436" s="1" t="n">
        <v>45191</v>
      </c>
      <c r="C7436" s="1" t="n">
        <v>45710</v>
      </c>
      <c r="D7436" t="inlineStr">
        <is>
          <t>ÖSTERGÖTLANDS LÄN</t>
        </is>
      </c>
      <c r="E7436" t="inlineStr">
        <is>
          <t>MJÖLBY</t>
        </is>
      </c>
      <c r="G7436" t="n">
        <v>0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45194-2023</t>
        </is>
      </c>
      <c r="B7437" s="1" t="n">
        <v>45191</v>
      </c>
      <c r="C7437" s="1" t="n">
        <v>45710</v>
      </c>
      <c r="D7437" t="inlineStr">
        <is>
          <t>ÖSTERGÖTLANDS LÄN</t>
        </is>
      </c>
      <c r="E7437" t="inlineStr">
        <is>
          <t>NORRKÖPING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45199-2023</t>
        </is>
      </c>
      <c r="B7438" s="1" t="n">
        <v>45191</v>
      </c>
      <c r="C7438" s="1" t="n">
        <v>45710</v>
      </c>
      <c r="D7438" t="inlineStr">
        <is>
          <t>ÖSTERGÖTLANDS LÄN</t>
        </is>
      </c>
      <c r="E7438" t="inlineStr">
        <is>
          <t>NORRKÖPING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45309-2023</t>
        </is>
      </c>
      <c r="B7439" s="1" t="n">
        <v>45191</v>
      </c>
      <c r="C7439" s="1" t="n">
        <v>45710</v>
      </c>
      <c r="D7439" t="inlineStr">
        <is>
          <t>ÖSTERGÖTLANDS LÄN</t>
        </is>
      </c>
      <c r="E7439" t="inlineStr">
        <is>
          <t>NORRKÖPING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45239-2023</t>
        </is>
      </c>
      <c r="B7440" s="1" t="n">
        <v>45191</v>
      </c>
      <c r="C7440" s="1" t="n">
        <v>45710</v>
      </c>
      <c r="D7440" t="inlineStr">
        <is>
          <t>ÖSTERGÖTLANDS LÄN</t>
        </is>
      </c>
      <c r="E7440" t="inlineStr">
        <is>
          <t>ÅTVIDABERG</t>
        </is>
      </c>
      <c r="F7440" t="inlineStr">
        <is>
          <t>Holmen skog AB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45311-2023</t>
        </is>
      </c>
      <c r="B7441" s="1" t="n">
        <v>45191</v>
      </c>
      <c r="C7441" s="1" t="n">
        <v>45710</v>
      </c>
      <c r="D7441" t="inlineStr">
        <is>
          <t>ÖSTERGÖTLANDS LÄN</t>
        </is>
      </c>
      <c r="E7441" t="inlineStr">
        <is>
          <t>FINSPÅNG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45075-2023</t>
        </is>
      </c>
      <c r="B7442" s="1" t="n">
        <v>45191</v>
      </c>
      <c r="C7442" s="1" t="n">
        <v>45710</v>
      </c>
      <c r="D7442" t="inlineStr">
        <is>
          <t>ÖSTERGÖTLANDS LÄN</t>
        </is>
      </c>
      <c r="E7442" t="inlineStr">
        <is>
          <t>NORRKÖPING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45085-2023</t>
        </is>
      </c>
      <c r="B7443" s="1" t="n">
        <v>45191</v>
      </c>
      <c r="C7443" s="1" t="n">
        <v>45710</v>
      </c>
      <c r="D7443" t="inlineStr">
        <is>
          <t>ÖSTERGÖTLANDS LÄN</t>
        </is>
      </c>
      <c r="E7443" t="inlineStr">
        <is>
          <t>SÖDERKÖPING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45201-2023</t>
        </is>
      </c>
      <c r="B7444" s="1" t="n">
        <v>45191</v>
      </c>
      <c r="C7444" s="1" t="n">
        <v>45710</v>
      </c>
      <c r="D7444" t="inlineStr">
        <is>
          <t>ÖSTERGÖTLANDS LÄN</t>
        </is>
      </c>
      <c r="E7444" t="inlineStr">
        <is>
          <t>NORRKÖPING</t>
        </is>
      </c>
      <c r="G7444" t="n">
        <v>5.5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45314-2023</t>
        </is>
      </c>
      <c r="B7445" s="1" t="n">
        <v>45191</v>
      </c>
      <c r="C7445" s="1" t="n">
        <v>45710</v>
      </c>
      <c r="D7445" t="inlineStr">
        <is>
          <t>ÖSTERGÖTLANDS LÄN</t>
        </is>
      </c>
      <c r="E7445" t="inlineStr">
        <is>
          <t>FINSPÅNG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45477-2023</t>
        </is>
      </c>
      <c r="B7446" s="1" t="n">
        <v>45191</v>
      </c>
      <c r="C7446" s="1" t="n">
        <v>45710</v>
      </c>
      <c r="D7446" t="inlineStr">
        <is>
          <t>ÖSTERGÖTLANDS LÄN</t>
        </is>
      </c>
      <c r="E7446" t="inlineStr">
        <is>
          <t>NORRKÖPING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45354-2023</t>
        </is>
      </c>
      <c r="B7447" s="1" t="n">
        <v>45192</v>
      </c>
      <c r="C7447" s="1" t="n">
        <v>45710</v>
      </c>
      <c r="D7447" t="inlineStr">
        <is>
          <t>ÖSTERGÖTLANDS LÄN</t>
        </is>
      </c>
      <c r="E7447" t="inlineStr">
        <is>
          <t>YDRE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45377-2023</t>
        </is>
      </c>
      <c r="B7448" s="1" t="n">
        <v>45193</v>
      </c>
      <c r="C7448" s="1" t="n">
        <v>45710</v>
      </c>
      <c r="D7448" t="inlineStr">
        <is>
          <t>ÖSTERGÖTLANDS LÄN</t>
        </is>
      </c>
      <c r="E7448" t="inlineStr">
        <is>
          <t>VALDEMARSVIK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45449-2023</t>
        </is>
      </c>
      <c r="B7449" s="1" t="n">
        <v>45194</v>
      </c>
      <c r="C7449" s="1" t="n">
        <v>45710</v>
      </c>
      <c r="D7449" t="inlineStr">
        <is>
          <t>ÖSTERGÖTLANDS LÄN</t>
        </is>
      </c>
      <c r="E7449" t="inlineStr">
        <is>
          <t>YDRE</t>
        </is>
      </c>
      <c r="G7449" t="n">
        <v>0.1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45457-2023</t>
        </is>
      </c>
      <c r="B7450" s="1" t="n">
        <v>45194</v>
      </c>
      <c r="C7450" s="1" t="n">
        <v>45710</v>
      </c>
      <c r="D7450" t="inlineStr">
        <is>
          <t>ÖSTERGÖTLANDS LÄN</t>
        </is>
      </c>
      <c r="E7450" t="inlineStr">
        <is>
          <t>SÖDERKÖPING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45442-2023</t>
        </is>
      </c>
      <c r="B7451" s="1" t="n">
        <v>45194</v>
      </c>
      <c r="C7451" s="1" t="n">
        <v>45710</v>
      </c>
      <c r="D7451" t="inlineStr">
        <is>
          <t>ÖSTERGÖTLANDS LÄN</t>
        </is>
      </c>
      <c r="E7451" t="inlineStr">
        <is>
          <t>YDRE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45447-2023</t>
        </is>
      </c>
      <c r="B7452" s="1" t="n">
        <v>45194</v>
      </c>
      <c r="C7452" s="1" t="n">
        <v>45710</v>
      </c>
      <c r="D7452" t="inlineStr">
        <is>
          <t>ÖSTERGÖTLANDS LÄN</t>
        </is>
      </c>
      <c r="E7452" t="inlineStr">
        <is>
          <t>YDRE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45451-2023</t>
        </is>
      </c>
      <c r="B7453" s="1" t="n">
        <v>45194</v>
      </c>
      <c r="C7453" s="1" t="n">
        <v>45710</v>
      </c>
      <c r="D7453" t="inlineStr">
        <is>
          <t>ÖSTERGÖTLANDS LÄN</t>
        </is>
      </c>
      <c r="E7453" t="inlineStr">
        <is>
          <t>YDRE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45548-2023</t>
        </is>
      </c>
      <c r="B7454" s="1" t="n">
        <v>45194</v>
      </c>
      <c r="C7454" s="1" t="n">
        <v>45710</v>
      </c>
      <c r="D7454" t="inlineStr">
        <is>
          <t>ÖSTERGÖTLANDS LÄN</t>
        </is>
      </c>
      <c r="E7454" t="inlineStr">
        <is>
          <t>KINDA</t>
        </is>
      </c>
      <c r="G7454" t="n">
        <v>3.1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45594-2023</t>
        </is>
      </c>
      <c r="B7455" s="1" t="n">
        <v>45194</v>
      </c>
      <c r="C7455" s="1" t="n">
        <v>45710</v>
      </c>
      <c r="D7455" t="inlineStr">
        <is>
          <t>ÖSTERGÖTLANDS LÄN</t>
        </is>
      </c>
      <c r="E7455" t="inlineStr">
        <is>
          <t>ÖDESHÖG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45607-2023</t>
        </is>
      </c>
      <c r="B7456" s="1" t="n">
        <v>45194</v>
      </c>
      <c r="C7456" s="1" t="n">
        <v>45710</v>
      </c>
      <c r="D7456" t="inlineStr">
        <is>
          <t>ÖSTERGÖTLANDS LÄN</t>
        </is>
      </c>
      <c r="E7456" t="inlineStr">
        <is>
          <t>KINDA</t>
        </is>
      </c>
      <c r="G7456" t="n">
        <v>4.5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45393-2023</t>
        </is>
      </c>
      <c r="B7457" s="1" t="n">
        <v>45194</v>
      </c>
      <c r="C7457" s="1" t="n">
        <v>45710</v>
      </c>
      <c r="D7457" t="inlineStr">
        <is>
          <t>ÖSTERGÖTLANDS LÄN</t>
        </is>
      </c>
      <c r="E7457" t="inlineStr">
        <is>
          <t>FINSPÅNG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45441-2023</t>
        </is>
      </c>
      <c r="B7458" s="1" t="n">
        <v>45194</v>
      </c>
      <c r="C7458" s="1" t="n">
        <v>45710</v>
      </c>
      <c r="D7458" t="inlineStr">
        <is>
          <t>ÖSTERGÖTLANDS LÄN</t>
        </is>
      </c>
      <c r="E7458" t="inlineStr">
        <is>
          <t>YDRE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45483-2023</t>
        </is>
      </c>
      <c r="B7459" s="1" t="n">
        <v>45194</v>
      </c>
      <c r="C7459" s="1" t="n">
        <v>45710</v>
      </c>
      <c r="D7459" t="inlineStr">
        <is>
          <t>ÖSTERGÖTLANDS LÄN</t>
        </is>
      </c>
      <c r="E7459" t="inlineStr">
        <is>
          <t>SÖDERKÖPING</t>
        </is>
      </c>
      <c r="G7459" t="n">
        <v>4.1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45539-2023</t>
        </is>
      </c>
      <c r="B7460" s="1" t="n">
        <v>45194</v>
      </c>
      <c r="C7460" s="1" t="n">
        <v>45710</v>
      </c>
      <c r="D7460" t="inlineStr">
        <is>
          <t>ÖSTERGÖTLANDS LÄN</t>
        </is>
      </c>
      <c r="E7460" t="inlineStr">
        <is>
          <t>SÖDERKÖPING</t>
        </is>
      </c>
      <c r="G7460" t="n">
        <v>4.6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45547-2023</t>
        </is>
      </c>
      <c r="B7461" s="1" t="n">
        <v>45194</v>
      </c>
      <c r="C7461" s="1" t="n">
        <v>45710</v>
      </c>
      <c r="D7461" t="inlineStr">
        <is>
          <t>ÖSTERGÖTLANDS LÄN</t>
        </is>
      </c>
      <c r="E7461" t="inlineStr">
        <is>
          <t>SÖDERKÖPING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45565-2023</t>
        </is>
      </c>
      <c r="B7462" s="1" t="n">
        <v>45194</v>
      </c>
      <c r="C7462" s="1" t="n">
        <v>45710</v>
      </c>
      <c r="D7462" t="inlineStr">
        <is>
          <t>ÖSTERGÖTLANDS LÄN</t>
        </is>
      </c>
      <c r="E7462" t="inlineStr">
        <is>
          <t>YDRE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45623-2023</t>
        </is>
      </c>
      <c r="B7463" s="1" t="n">
        <v>45194</v>
      </c>
      <c r="C7463" s="1" t="n">
        <v>45710</v>
      </c>
      <c r="D7463" t="inlineStr">
        <is>
          <t>ÖSTERGÖTLANDS LÄN</t>
        </is>
      </c>
      <c r="E7463" t="inlineStr">
        <is>
          <t>KINDA</t>
        </is>
      </c>
      <c r="G7463" t="n">
        <v>10.7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45439-2023</t>
        </is>
      </c>
      <c r="B7464" s="1" t="n">
        <v>45194</v>
      </c>
      <c r="C7464" s="1" t="n">
        <v>45710</v>
      </c>
      <c r="D7464" t="inlineStr">
        <is>
          <t>ÖSTERGÖTLANDS LÄN</t>
        </is>
      </c>
      <c r="E7464" t="inlineStr">
        <is>
          <t>YDRE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45654-2023</t>
        </is>
      </c>
      <c r="B7465" s="1" t="n">
        <v>45194</v>
      </c>
      <c r="C7465" s="1" t="n">
        <v>45710</v>
      </c>
      <c r="D7465" t="inlineStr">
        <is>
          <t>ÖSTERGÖTLANDS LÄN</t>
        </is>
      </c>
      <c r="E7465" t="inlineStr">
        <is>
          <t>ÖDESHÖG</t>
        </is>
      </c>
      <c r="G7465" t="n">
        <v>3.1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45456-2023</t>
        </is>
      </c>
      <c r="B7466" s="1" t="n">
        <v>45194</v>
      </c>
      <c r="C7466" s="1" t="n">
        <v>45710</v>
      </c>
      <c r="D7466" t="inlineStr">
        <is>
          <t>ÖSTERGÖTLANDS LÄN</t>
        </is>
      </c>
      <c r="E7466" t="inlineStr">
        <is>
          <t>YDRE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45476-2023</t>
        </is>
      </c>
      <c r="B7467" s="1" t="n">
        <v>45194</v>
      </c>
      <c r="C7467" s="1" t="n">
        <v>45710</v>
      </c>
      <c r="D7467" t="inlineStr">
        <is>
          <t>ÖSTERGÖTLANDS LÄN</t>
        </is>
      </c>
      <c r="E7467" t="inlineStr">
        <is>
          <t>SÖDERKÖPING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45545-2023</t>
        </is>
      </c>
      <c r="B7468" s="1" t="n">
        <v>45194</v>
      </c>
      <c r="C7468" s="1" t="n">
        <v>45710</v>
      </c>
      <c r="D7468" t="inlineStr">
        <is>
          <t>ÖSTERGÖTLANDS LÄN</t>
        </is>
      </c>
      <c r="E7468" t="inlineStr">
        <is>
          <t>SÖDERKÖPING</t>
        </is>
      </c>
      <c r="G7468" t="n">
        <v>5.1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45549-2023</t>
        </is>
      </c>
      <c r="B7469" s="1" t="n">
        <v>45194</v>
      </c>
      <c r="C7469" s="1" t="n">
        <v>45710</v>
      </c>
      <c r="D7469" t="inlineStr">
        <is>
          <t>ÖSTERGÖTLANDS LÄN</t>
        </is>
      </c>
      <c r="E7469" t="inlineStr">
        <is>
          <t>SÖDERKÖPING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45612-2023</t>
        </is>
      </c>
      <c r="B7470" s="1" t="n">
        <v>45194</v>
      </c>
      <c r="C7470" s="1" t="n">
        <v>45710</v>
      </c>
      <c r="D7470" t="inlineStr">
        <is>
          <t>ÖSTERGÖTLANDS LÄN</t>
        </is>
      </c>
      <c r="E7470" t="inlineStr">
        <is>
          <t>ÖDESHÖG</t>
        </is>
      </c>
      <c r="G7470" t="n">
        <v>4.7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45651-2023</t>
        </is>
      </c>
      <c r="B7471" s="1" t="n">
        <v>45194</v>
      </c>
      <c r="C7471" s="1" t="n">
        <v>45710</v>
      </c>
      <c r="D7471" t="inlineStr">
        <is>
          <t>ÖSTERGÖTLANDS LÄN</t>
        </is>
      </c>
      <c r="E7471" t="inlineStr">
        <is>
          <t>ÖDESHÖG</t>
        </is>
      </c>
      <c r="G7471" t="n">
        <v>2.9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46589-2023</t>
        </is>
      </c>
      <c r="B7472" s="1" t="n">
        <v>45194</v>
      </c>
      <c r="C7472" s="1" t="n">
        <v>45710</v>
      </c>
      <c r="D7472" t="inlineStr">
        <is>
          <t>ÖSTERGÖTLANDS LÄN</t>
        </is>
      </c>
      <c r="E7472" t="inlineStr">
        <is>
          <t>MJÖLBY</t>
        </is>
      </c>
      <c r="G7472" t="n">
        <v>3.3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45700-2023</t>
        </is>
      </c>
      <c r="B7473" s="1" t="n">
        <v>45195</v>
      </c>
      <c r="C7473" s="1" t="n">
        <v>45710</v>
      </c>
      <c r="D7473" t="inlineStr">
        <is>
          <t>ÖSTERGÖTLANDS LÄN</t>
        </is>
      </c>
      <c r="E7473" t="inlineStr">
        <is>
          <t>ÅTVIDABERG</t>
        </is>
      </c>
      <c r="G7473" t="n">
        <v>2.6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45705-2023</t>
        </is>
      </c>
      <c r="B7474" s="1" t="n">
        <v>45195</v>
      </c>
      <c r="C7474" s="1" t="n">
        <v>45710</v>
      </c>
      <c r="D7474" t="inlineStr">
        <is>
          <t>ÖSTERGÖTLANDS LÄN</t>
        </is>
      </c>
      <c r="E7474" t="inlineStr">
        <is>
          <t>MJÖLBY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45693-2023</t>
        </is>
      </c>
      <c r="B7475" s="1" t="n">
        <v>45195</v>
      </c>
      <c r="C7475" s="1" t="n">
        <v>45710</v>
      </c>
      <c r="D7475" t="inlineStr">
        <is>
          <t>ÖSTERGÖTLANDS LÄN</t>
        </is>
      </c>
      <c r="E7475" t="inlineStr">
        <is>
          <t>KINDA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45756-2023</t>
        </is>
      </c>
      <c r="B7476" s="1" t="n">
        <v>45195</v>
      </c>
      <c r="C7476" s="1" t="n">
        <v>45710</v>
      </c>
      <c r="D7476" t="inlineStr">
        <is>
          <t>ÖSTERGÖTLANDS LÄN</t>
        </is>
      </c>
      <c r="E7476" t="inlineStr">
        <is>
          <t>LINKÖPING</t>
        </is>
      </c>
      <c r="G7476" t="n">
        <v>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45753-2023</t>
        </is>
      </c>
      <c r="B7477" s="1" t="n">
        <v>45195</v>
      </c>
      <c r="C7477" s="1" t="n">
        <v>45710</v>
      </c>
      <c r="D7477" t="inlineStr">
        <is>
          <t>ÖSTERGÖTLANDS LÄN</t>
        </is>
      </c>
      <c r="E7477" t="inlineStr">
        <is>
          <t>ÖDESHÖG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45759-2023</t>
        </is>
      </c>
      <c r="B7478" s="1" t="n">
        <v>45195</v>
      </c>
      <c r="C7478" s="1" t="n">
        <v>45710</v>
      </c>
      <c r="D7478" t="inlineStr">
        <is>
          <t>ÖSTERGÖTLANDS LÄN</t>
        </is>
      </c>
      <c r="E7478" t="inlineStr">
        <is>
          <t>LINKÖPING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45771-2023</t>
        </is>
      </c>
      <c r="B7479" s="1" t="n">
        <v>45195</v>
      </c>
      <c r="C7479" s="1" t="n">
        <v>45710</v>
      </c>
      <c r="D7479" t="inlineStr">
        <is>
          <t>ÖSTERGÖTLANDS LÄN</t>
        </is>
      </c>
      <c r="E7479" t="inlineStr">
        <is>
          <t>LINKÖPING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45826-2023</t>
        </is>
      </c>
      <c r="B7480" s="1" t="n">
        <v>45195</v>
      </c>
      <c r="C7480" s="1" t="n">
        <v>45710</v>
      </c>
      <c r="D7480" t="inlineStr">
        <is>
          <t>ÖSTERGÖTLANDS LÄN</t>
        </is>
      </c>
      <c r="E7480" t="inlineStr">
        <is>
          <t>LINKÖPING</t>
        </is>
      </c>
      <c r="F7480" t="inlineStr">
        <is>
          <t>Övriga Aktiebolag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45675-2023</t>
        </is>
      </c>
      <c r="B7481" s="1" t="n">
        <v>45195</v>
      </c>
      <c r="C7481" s="1" t="n">
        <v>45710</v>
      </c>
      <c r="D7481" t="inlineStr">
        <is>
          <t>ÖSTERGÖTLANDS LÄN</t>
        </is>
      </c>
      <c r="E7481" t="inlineStr">
        <is>
          <t>KINDA</t>
        </is>
      </c>
      <c r="G7481" t="n">
        <v>4.3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45873-2023</t>
        </is>
      </c>
      <c r="B7482" s="1" t="n">
        <v>45195</v>
      </c>
      <c r="C7482" s="1" t="n">
        <v>45710</v>
      </c>
      <c r="D7482" t="inlineStr">
        <is>
          <t>ÖSTERGÖTLANDS LÄN</t>
        </is>
      </c>
      <c r="E7482" t="inlineStr">
        <is>
          <t>VALDEMARSVIK</t>
        </is>
      </c>
      <c r="G7482" t="n">
        <v>15.8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45866-2023</t>
        </is>
      </c>
      <c r="B7483" s="1" t="n">
        <v>45195</v>
      </c>
      <c r="C7483" s="1" t="n">
        <v>45710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Naturvårdsverket</t>
        </is>
      </c>
      <c r="G7483" t="n">
        <v>2.5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45755-2023</t>
        </is>
      </c>
      <c r="B7484" s="1" t="n">
        <v>45195</v>
      </c>
      <c r="C7484" s="1" t="n">
        <v>45710</v>
      </c>
      <c r="D7484" t="inlineStr">
        <is>
          <t>ÖSTERGÖTLANDS LÄN</t>
        </is>
      </c>
      <c r="E7484" t="inlineStr">
        <is>
          <t>LINKÖPING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45783-2023</t>
        </is>
      </c>
      <c r="B7485" s="1" t="n">
        <v>45195</v>
      </c>
      <c r="C7485" s="1" t="n">
        <v>45710</v>
      </c>
      <c r="D7485" t="inlineStr">
        <is>
          <t>ÖSTERGÖTLANDS LÄN</t>
        </is>
      </c>
      <c r="E7485" t="inlineStr">
        <is>
          <t>VALDEMARSVIK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45708-2023</t>
        </is>
      </c>
      <c r="B7486" s="1" t="n">
        <v>45195</v>
      </c>
      <c r="C7486" s="1" t="n">
        <v>45710</v>
      </c>
      <c r="D7486" t="inlineStr">
        <is>
          <t>ÖSTERGÖTLANDS LÄN</t>
        </is>
      </c>
      <c r="E7486" t="inlineStr">
        <is>
          <t>MJÖLBY</t>
        </is>
      </c>
      <c r="G7486" t="n">
        <v>2.4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45879-2023</t>
        </is>
      </c>
      <c r="B7487" s="1" t="n">
        <v>45195</v>
      </c>
      <c r="C7487" s="1" t="n">
        <v>45710</v>
      </c>
      <c r="D7487" t="inlineStr">
        <is>
          <t>ÖSTERGÖTLANDS LÄN</t>
        </is>
      </c>
      <c r="E7487" t="inlineStr">
        <is>
          <t>VALDEMARSVIK</t>
        </is>
      </c>
      <c r="G7487" t="n">
        <v>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46014-2023</t>
        </is>
      </c>
      <c r="B7488" s="1" t="n">
        <v>45196</v>
      </c>
      <c r="C7488" s="1" t="n">
        <v>45710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Holmen skog AB</t>
        </is>
      </c>
      <c r="G7488" t="n">
        <v>6.2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46223-2023</t>
        </is>
      </c>
      <c r="B7489" s="1" t="n">
        <v>45196</v>
      </c>
      <c r="C7489" s="1" t="n">
        <v>45710</v>
      </c>
      <c r="D7489" t="inlineStr">
        <is>
          <t>ÖSTERGÖTLANDS LÄN</t>
        </is>
      </c>
      <c r="E7489" t="inlineStr">
        <is>
          <t>KINDA</t>
        </is>
      </c>
      <c r="F7489" t="inlineStr">
        <is>
          <t>Allmännings- och besparingsskogar</t>
        </is>
      </c>
      <c r="G7489" t="n">
        <v>9.5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46222-2023</t>
        </is>
      </c>
      <c r="B7490" s="1" t="n">
        <v>45196</v>
      </c>
      <c r="C7490" s="1" t="n">
        <v>45710</v>
      </c>
      <c r="D7490" t="inlineStr">
        <is>
          <t>ÖSTERGÖTLANDS LÄN</t>
        </is>
      </c>
      <c r="E7490" t="inlineStr">
        <is>
          <t>LINKÖPING</t>
        </is>
      </c>
      <c r="F7490" t="inlineStr">
        <is>
          <t>Övriga Aktiebolag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46239-2023</t>
        </is>
      </c>
      <c r="B7491" s="1" t="n">
        <v>45196</v>
      </c>
      <c r="C7491" s="1" t="n">
        <v>45710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Övriga Aktiebolag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46311-2023</t>
        </is>
      </c>
      <c r="B7492" s="1" t="n">
        <v>45197</v>
      </c>
      <c r="C7492" s="1" t="n">
        <v>45710</v>
      </c>
      <c r="D7492" t="inlineStr">
        <is>
          <t>ÖSTERGÖTLANDS LÄN</t>
        </is>
      </c>
      <c r="E7492" t="inlineStr">
        <is>
          <t>KINDA</t>
        </is>
      </c>
      <c r="G7492" t="n">
        <v>7.5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46317-2023</t>
        </is>
      </c>
      <c r="B7493" s="1" t="n">
        <v>45197</v>
      </c>
      <c r="C7493" s="1" t="n">
        <v>45710</v>
      </c>
      <c r="D7493" t="inlineStr">
        <is>
          <t>ÖSTERGÖTLANDS LÄN</t>
        </is>
      </c>
      <c r="E7493" t="inlineStr">
        <is>
          <t>FINSPÅNG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46316-2023</t>
        </is>
      </c>
      <c r="B7494" s="1" t="n">
        <v>45197</v>
      </c>
      <c r="C7494" s="1" t="n">
        <v>45710</v>
      </c>
      <c r="D7494" t="inlineStr">
        <is>
          <t>ÖSTERGÖTLANDS LÄN</t>
        </is>
      </c>
      <c r="E7494" t="inlineStr">
        <is>
          <t>BOXHOLM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46437-2023</t>
        </is>
      </c>
      <c r="B7495" s="1" t="n">
        <v>45197</v>
      </c>
      <c r="C7495" s="1" t="n">
        <v>45710</v>
      </c>
      <c r="D7495" t="inlineStr">
        <is>
          <t>ÖSTERGÖTLANDS LÄN</t>
        </is>
      </c>
      <c r="E7495" t="inlineStr">
        <is>
          <t>MOTALA</t>
        </is>
      </c>
      <c r="F7495" t="inlineStr">
        <is>
          <t>Holmen skog AB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46417-2023</t>
        </is>
      </c>
      <c r="B7496" s="1" t="n">
        <v>45197</v>
      </c>
      <c r="C7496" s="1" t="n">
        <v>45710</v>
      </c>
      <c r="D7496" t="inlineStr">
        <is>
          <t>ÖSTERGÖTLANDS LÄN</t>
        </is>
      </c>
      <c r="E7496" t="inlineStr">
        <is>
          <t>SÖDERKÖPING</t>
        </is>
      </c>
      <c r="G7496" t="n">
        <v>4.1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46422-2023</t>
        </is>
      </c>
      <c r="B7497" s="1" t="n">
        <v>45197</v>
      </c>
      <c r="C7497" s="1" t="n">
        <v>45710</v>
      </c>
      <c r="D7497" t="inlineStr">
        <is>
          <t>ÖSTERGÖTLANDS LÄN</t>
        </is>
      </c>
      <c r="E7497" t="inlineStr">
        <is>
          <t>SÖDERKÖPING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46529-2023</t>
        </is>
      </c>
      <c r="B7498" s="1" t="n">
        <v>45197</v>
      </c>
      <c r="C7498" s="1" t="n">
        <v>45710</v>
      </c>
      <c r="D7498" t="inlineStr">
        <is>
          <t>ÖSTERGÖTLANDS LÄN</t>
        </is>
      </c>
      <c r="E7498" t="inlineStr">
        <is>
          <t>FINSPÅNG</t>
        </is>
      </c>
      <c r="G7498" t="n">
        <v>12.1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46314-2023</t>
        </is>
      </c>
      <c r="B7499" s="1" t="n">
        <v>45197</v>
      </c>
      <c r="C7499" s="1" t="n">
        <v>45710</v>
      </c>
      <c r="D7499" t="inlineStr">
        <is>
          <t>ÖSTERGÖTLANDS LÄN</t>
        </is>
      </c>
      <c r="E7499" t="inlineStr">
        <is>
          <t>KINDA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46597-2023</t>
        </is>
      </c>
      <c r="B7500" s="1" t="n">
        <v>45198</v>
      </c>
      <c r="C7500" s="1" t="n">
        <v>45710</v>
      </c>
      <c r="D7500" t="inlineStr">
        <is>
          <t>ÖSTERGÖTLANDS LÄN</t>
        </is>
      </c>
      <c r="E7500" t="inlineStr">
        <is>
          <t>KINDA</t>
        </is>
      </c>
      <c r="G7500" t="n">
        <v>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46578-2023</t>
        </is>
      </c>
      <c r="B7501" s="1" t="n">
        <v>45198</v>
      </c>
      <c r="C7501" s="1" t="n">
        <v>45710</v>
      </c>
      <c r="D7501" t="inlineStr">
        <is>
          <t>ÖSTERGÖTLANDS LÄN</t>
        </is>
      </c>
      <c r="E7501" t="inlineStr">
        <is>
          <t>YDRE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46583-2023</t>
        </is>
      </c>
      <c r="B7502" s="1" t="n">
        <v>45198</v>
      </c>
      <c r="C7502" s="1" t="n">
        <v>45710</v>
      </c>
      <c r="D7502" t="inlineStr">
        <is>
          <t>ÖSTERGÖTLANDS LÄN</t>
        </is>
      </c>
      <c r="E7502" t="inlineStr">
        <is>
          <t>YDRE</t>
        </is>
      </c>
      <c r="G7502" t="n">
        <v>10.9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46639-2023</t>
        </is>
      </c>
      <c r="B7503" s="1" t="n">
        <v>45198</v>
      </c>
      <c r="C7503" s="1" t="n">
        <v>45710</v>
      </c>
      <c r="D7503" t="inlineStr">
        <is>
          <t>ÖSTERGÖTLANDS LÄN</t>
        </is>
      </c>
      <c r="E7503" t="inlineStr">
        <is>
          <t>KINDA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46852-2023</t>
        </is>
      </c>
      <c r="B7504" s="1" t="n">
        <v>45200</v>
      </c>
      <c r="C7504" s="1" t="n">
        <v>45710</v>
      </c>
      <c r="D7504" t="inlineStr">
        <is>
          <t>ÖSTERGÖTLANDS LÄN</t>
        </is>
      </c>
      <c r="E7504" t="inlineStr">
        <is>
          <t>KINDA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46851-2023</t>
        </is>
      </c>
      <c r="B7505" s="1" t="n">
        <v>45199</v>
      </c>
      <c r="C7505" s="1" t="n">
        <v>45710</v>
      </c>
      <c r="D7505" t="inlineStr">
        <is>
          <t>ÖSTERGÖTLANDS LÄN</t>
        </is>
      </c>
      <c r="E7505" t="inlineStr">
        <is>
          <t>KINDA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46861-2023</t>
        </is>
      </c>
      <c r="B7506" s="1" t="n">
        <v>45200</v>
      </c>
      <c r="C7506" s="1" t="n">
        <v>45710</v>
      </c>
      <c r="D7506" t="inlineStr">
        <is>
          <t>ÖSTERGÖTLANDS LÄN</t>
        </is>
      </c>
      <c r="E7506" t="inlineStr">
        <is>
          <t>FINSPÅNG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47108-2023</t>
        </is>
      </c>
      <c r="B7507" s="1" t="n">
        <v>45201</v>
      </c>
      <c r="C7507" s="1" t="n">
        <v>45710</v>
      </c>
      <c r="D7507" t="inlineStr">
        <is>
          <t>ÖSTERGÖTLANDS LÄN</t>
        </is>
      </c>
      <c r="E7507" t="inlineStr">
        <is>
          <t>LINKÖPING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47104-2023</t>
        </is>
      </c>
      <c r="B7508" s="1" t="n">
        <v>45201</v>
      </c>
      <c r="C7508" s="1" t="n">
        <v>45710</v>
      </c>
      <c r="D7508" t="inlineStr">
        <is>
          <t>ÖSTERGÖTLANDS LÄN</t>
        </is>
      </c>
      <c r="E7508" t="inlineStr">
        <is>
          <t>SÖDERKÖPING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46925-2023</t>
        </is>
      </c>
      <c r="B7509" s="1" t="n">
        <v>45201</v>
      </c>
      <c r="C7509" s="1" t="n">
        <v>45710</v>
      </c>
      <c r="D7509" t="inlineStr">
        <is>
          <t>ÖSTERGÖTLANDS LÄN</t>
        </is>
      </c>
      <c r="E7509" t="inlineStr">
        <is>
          <t>KINDA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46934-2023</t>
        </is>
      </c>
      <c r="B7510" s="1" t="n">
        <v>45201</v>
      </c>
      <c r="C7510" s="1" t="n">
        <v>45710</v>
      </c>
      <c r="D7510" t="inlineStr">
        <is>
          <t>ÖSTERGÖTLANDS LÄN</t>
        </is>
      </c>
      <c r="E7510" t="inlineStr">
        <is>
          <t>KINDA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47047-2023</t>
        </is>
      </c>
      <c r="B7511" s="1" t="n">
        <v>45201</v>
      </c>
      <c r="C7511" s="1" t="n">
        <v>45710</v>
      </c>
      <c r="D7511" t="inlineStr">
        <is>
          <t>ÖSTERGÖTLANDS LÄN</t>
        </is>
      </c>
      <c r="E7511" t="inlineStr">
        <is>
          <t>NORRKÖPING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47051-2023</t>
        </is>
      </c>
      <c r="B7512" s="1" t="n">
        <v>45201</v>
      </c>
      <c r="C7512" s="1" t="n">
        <v>45710</v>
      </c>
      <c r="D7512" t="inlineStr">
        <is>
          <t>ÖSTERGÖTLANDS LÄN</t>
        </is>
      </c>
      <c r="E7512" t="inlineStr">
        <is>
          <t>NORRKÖPING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46930-2023</t>
        </is>
      </c>
      <c r="B7513" s="1" t="n">
        <v>45201</v>
      </c>
      <c r="C7513" s="1" t="n">
        <v>45710</v>
      </c>
      <c r="D7513" t="inlineStr">
        <is>
          <t>ÖSTERGÖTLANDS LÄN</t>
        </is>
      </c>
      <c r="E7513" t="inlineStr">
        <is>
          <t>KINDA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46936-2023</t>
        </is>
      </c>
      <c r="B7514" s="1" t="n">
        <v>45201</v>
      </c>
      <c r="C7514" s="1" t="n">
        <v>45710</v>
      </c>
      <c r="D7514" t="inlineStr">
        <is>
          <t>ÖSTERGÖTLANDS LÄN</t>
        </is>
      </c>
      <c r="E7514" t="inlineStr">
        <is>
          <t>ÖDESHÖG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46927-2023</t>
        </is>
      </c>
      <c r="B7515" s="1" t="n">
        <v>45201</v>
      </c>
      <c r="C7515" s="1" t="n">
        <v>45710</v>
      </c>
      <c r="D7515" t="inlineStr">
        <is>
          <t>ÖSTERGÖTLANDS LÄN</t>
        </is>
      </c>
      <c r="E7515" t="inlineStr">
        <is>
          <t>KINDA</t>
        </is>
      </c>
      <c r="G7515" t="n">
        <v>4.8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47090-2023</t>
        </is>
      </c>
      <c r="B7516" s="1" t="n">
        <v>45201</v>
      </c>
      <c r="C7516" s="1" t="n">
        <v>45710</v>
      </c>
      <c r="D7516" t="inlineStr">
        <is>
          <t>ÖSTERGÖTLANDS LÄN</t>
        </is>
      </c>
      <c r="E7516" t="inlineStr">
        <is>
          <t>NORRKÖPING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48382-2023</t>
        </is>
      </c>
      <c r="B7517" s="1" t="n">
        <v>45201</v>
      </c>
      <c r="C7517" s="1" t="n">
        <v>45710</v>
      </c>
      <c r="D7517" t="inlineStr">
        <is>
          <t>ÖSTERGÖTLANDS LÄN</t>
        </is>
      </c>
      <c r="E7517" t="inlineStr">
        <is>
          <t>KINDA</t>
        </is>
      </c>
      <c r="G7517" t="n">
        <v>5.1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47202-2023</t>
        </is>
      </c>
      <c r="B7518" s="1" t="n">
        <v>45202</v>
      </c>
      <c r="C7518" s="1" t="n">
        <v>45710</v>
      </c>
      <c r="D7518" t="inlineStr">
        <is>
          <t>ÖSTERGÖTLANDS LÄN</t>
        </is>
      </c>
      <c r="E7518" t="inlineStr">
        <is>
          <t>VALDEMARSVIK</t>
        </is>
      </c>
      <c r="G7518" t="n">
        <v>4.3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47208-2023</t>
        </is>
      </c>
      <c r="B7519" s="1" t="n">
        <v>45202</v>
      </c>
      <c r="C7519" s="1" t="n">
        <v>45710</v>
      </c>
      <c r="D7519" t="inlineStr">
        <is>
          <t>ÖSTERGÖTLANDS LÄN</t>
        </is>
      </c>
      <c r="E7519" t="inlineStr">
        <is>
          <t>VALDEMARSVIK</t>
        </is>
      </c>
      <c r="G7519" t="n">
        <v>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47215-2023</t>
        </is>
      </c>
      <c r="B7520" s="1" t="n">
        <v>45202</v>
      </c>
      <c r="C7520" s="1" t="n">
        <v>45710</v>
      </c>
      <c r="D7520" t="inlineStr">
        <is>
          <t>ÖSTERGÖTLANDS LÄN</t>
        </is>
      </c>
      <c r="E7520" t="inlineStr">
        <is>
          <t>MOTALA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47265-2023</t>
        </is>
      </c>
      <c r="B7521" s="1" t="n">
        <v>45202</v>
      </c>
      <c r="C7521" s="1" t="n">
        <v>45710</v>
      </c>
      <c r="D7521" t="inlineStr">
        <is>
          <t>ÖSTERGÖTLANDS LÄN</t>
        </is>
      </c>
      <c r="E7521" t="inlineStr">
        <is>
          <t>VALDEMARSVIK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47224-2023</t>
        </is>
      </c>
      <c r="B7522" s="1" t="n">
        <v>45202</v>
      </c>
      <c r="C7522" s="1" t="n">
        <v>45710</v>
      </c>
      <c r="D7522" t="inlineStr">
        <is>
          <t>ÖSTERGÖTLANDS LÄN</t>
        </is>
      </c>
      <c r="E7522" t="inlineStr">
        <is>
          <t>FINSPÅNG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47251-2023</t>
        </is>
      </c>
      <c r="B7523" s="1" t="n">
        <v>45202</v>
      </c>
      <c r="C7523" s="1" t="n">
        <v>45710</v>
      </c>
      <c r="D7523" t="inlineStr">
        <is>
          <t>ÖSTERGÖTLANDS LÄN</t>
        </is>
      </c>
      <c r="E7523" t="inlineStr">
        <is>
          <t>VALDEMARSVIK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47259-2023</t>
        </is>
      </c>
      <c r="B7524" s="1" t="n">
        <v>45202</v>
      </c>
      <c r="C7524" s="1" t="n">
        <v>45710</v>
      </c>
      <c r="D7524" t="inlineStr">
        <is>
          <t>ÖSTERGÖTLANDS LÄN</t>
        </is>
      </c>
      <c r="E7524" t="inlineStr">
        <is>
          <t>VALDEMARSVIK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47187-2023</t>
        </is>
      </c>
      <c r="B7525" s="1" t="n">
        <v>45202</v>
      </c>
      <c r="C7525" s="1" t="n">
        <v>45710</v>
      </c>
      <c r="D7525" t="inlineStr">
        <is>
          <t>ÖSTERGÖTLANDS LÄN</t>
        </is>
      </c>
      <c r="E7525" t="inlineStr">
        <is>
          <t>KINDA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47205-2023</t>
        </is>
      </c>
      <c r="B7526" s="1" t="n">
        <v>45202</v>
      </c>
      <c r="C7526" s="1" t="n">
        <v>45710</v>
      </c>
      <c r="D7526" t="inlineStr">
        <is>
          <t>ÖSTERGÖTLANDS LÄN</t>
        </is>
      </c>
      <c r="E7526" t="inlineStr">
        <is>
          <t>VALDEMARSVIK</t>
        </is>
      </c>
      <c r="G7526" t="n">
        <v>4.4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47210-2023</t>
        </is>
      </c>
      <c r="B7527" s="1" t="n">
        <v>45202</v>
      </c>
      <c r="C7527" s="1" t="n">
        <v>45710</v>
      </c>
      <c r="D7527" t="inlineStr">
        <is>
          <t>ÖSTERGÖTLANDS LÄN</t>
        </is>
      </c>
      <c r="E7527" t="inlineStr">
        <is>
          <t>VALDEMARSVIK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47214-2023</t>
        </is>
      </c>
      <c r="B7528" s="1" t="n">
        <v>45202</v>
      </c>
      <c r="C7528" s="1" t="n">
        <v>45710</v>
      </c>
      <c r="D7528" t="inlineStr">
        <is>
          <t>ÖSTERGÖTLANDS LÄN</t>
        </is>
      </c>
      <c r="E7528" t="inlineStr">
        <is>
          <t>MOTALA</t>
        </is>
      </c>
      <c r="G7528" t="n">
        <v>2.8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47218-2023</t>
        </is>
      </c>
      <c r="B7529" s="1" t="n">
        <v>45202</v>
      </c>
      <c r="C7529" s="1" t="n">
        <v>45710</v>
      </c>
      <c r="D7529" t="inlineStr">
        <is>
          <t>ÖSTERGÖTLANDS LÄN</t>
        </is>
      </c>
      <c r="E7529" t="inlineStr">
        <is>
          <t>MOTALA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47308-2023</t>
        </is>
      </c>
      <c r="B7530" s="1" t="n">
        <v>45202</v>
      </c>
      <c r="C7530" s="1" t="n">
        <v>45710</v>
      </c>
      <c r="D7530" t="inlineStr">
        <is>
          <t>ÖSTERGÖTLANDS LÄN</t>
        </is>
      </c>
      <c r="E7530" t="inlineStr">
        <is>
          <t>MOTALA</t>
        </is>
      </c>
      <c r="G7530" t="n">
        <v>17.6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47317-2023</t>
        </is>
      </c>
      <c r="B7531" s="1" t="n">
        <v>45202</v>
      </c>
      <c r="C7531" s="1" t="n">
        <v>45710</v>
      </c>
      <c r="D7531" t="inlineStr">
        <is>
          <t>ÖSTERGÖTLANDS LÄN</t>
        </is>
      </c>
      <c r="E7531" t="inlineStr">
        <is>
          <t>FINSPÅNG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47357-2023</t>
        </is>
      </c>
      <c r="B7532" s="1" t="n">
        <v>45202</v>
      </c>
      <c r="C7532" s="1" t="n">
        <v>45710</v>
      </c>
      <c r="D7532" t="inlineStr">
        <is>
          <t>ÖSTERGÖTLANDS LÄN</t>
        </is>
      </c>
      <c r="E7532" t="inlineStr">
        <is>
          <t>YDRE</t>
        </is>
      </c>
      <c r="F7532" t="inlineStr">
        <is>
          <t>Sveaskog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47360-2023</t>
        </is>
      </c>
      <c r="B7533" s="1" t="n">
        <v>45202</v>
      </c>
      <c r="C7533" s="1" t="n">
        <v>45710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Holmen skog AB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47364-2023</t>
        </is>
      </c>
      <c r="B7534" s="1" t="n">
        <v>45202</v>
      </c>
      <c r="C7534" s="1" t="n">
        <v>45710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47199-2023</t>
        </is>
      </c>
      <c r="B7535" s="1" t="n">
        <v>45202</v>
      </c>
      <c r="C7535" s="1" t="n">
        <v>45710</v>
      </c>
      <c r="D7535" t="inlineStr">
        <is>
          <t>ÖSTERGÖTLANDS LÄN</t>
        </is>
      </c>
      <c r="E7535" t="inlineStr">
        <is>
          <t>VALDEMARSVIK</t>
        </is>
      </c>
      <c r="G7535" t="n">
        <v>3.7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47209-2023</t>
        </is>
      </c>
      <c r="B7536" s="1" t="n">
        <v>45202</v>
      </c>
      <c r="C7536" s="1" t="n">
        <v>45710</v>
      </c>
      <c r="D7536" t="inlineStr">
        <is>
          <t>ÖSTERGÖTLANDS LÄN</t>
        </is>
      </c>
      <c r="E7536" t="inlineStr">
        <is>
          <t>VALDEMARSVIK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47407-2023</t>
        </is>
      </c>
      <c r="B7537" s="1" t="n">
        <v>45202</v>
      </c>
      <c r="C7537" s="1" t="n">
        <v>45710</v>
      </c>
      <c r="D7537" t="inlineStr">
        <is>
          <t>ÖSTERGÖTLANDS LÄN</t>
        </is>
      </c>
      <c r="E7537" t="inlineStr">
        <is>
          <t>LINKÖPING</t>
        </is>
      </c>
      <c r="G7537" t="n">
        <v>5.1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47253-2023</t>
        </is>
      </c>
      <c r="B7538" s="1" t="n">
        <v>45202</v>
      </c>
      <c r="C7538" s="1" t="n">
        <v>45710</v>
      </c>
      <c r="D7538" t="inlineStr">
        <is>
          <t>ÖSTERGÖTLANDS LÄN</t>
        </is>
      </c>
      <c r="E7538" t="inlineStr">
        <is>
          <t>VALDEMARSVIK</t>
        </is>
      </c>
      <c r="G7538" t="n">
        <v>4.2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47345-2023</t>
        </is>
      </c>
      <c r="B7539" s="1" t="n">
        <v>45202</v>
      </c>
      <c r="C7539" s="1" t="n">
        <v>45710</v>
      </c>
      <c r="D7539" t="inlineStr">
        <is>
          <t>ÖSTERGÖTLANDS LÄN</t>
        </is>
      </c>
      <c r="E7539" t="inlineStr">
        <is>
          <t>NORRKÖPING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47354-2023</t>
        </is>
      </c>
      <c r="B7540" s="1" t="n">
        <v>45202</v>
      </c>
      <c r="C7540" s="1" t="n">
        <v>45710</v>
      </c>
      <c r="D7540" t="inlineStr">
        <is>
          <t>ÖSTERGÖTLANDS LÄN</t>
        </is>
      </c>
      <c r="E7540" t="inlineStr">
        <is>
          <t>VALDEMARSVIK</t>
        </is>
      </c>
      <c r="G7540" t="n">
        <v>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47435-2023</t>
        </is>
      </c>
      <c r="B7541" s="1" t="n">
        <v>45202</v>
      </c>
      <c r="C7541" s="1" t="n">
        <v>45710</v>
      </c>
      <c r="D7541" t="inlineStr">
        <is>
          <t>ÖSTERGÖTLANDS LÄN</t>
        </is>
      </c>
      <c r="E7541" t="inlineStr">
        <is>
          <t>NORRKÖPING</t>
        </is>
      </c>
      <c r="F7541" t="inlineStr">
        <is>
          <t>Holmen skog AB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47449-2023</t>
        </is>
      </c>
      <c r="B7542" s="1" t="n">
        <v>45202</v>
      </c>
      <c r="C7542" s="1" t="n">
        <v>45710</v>
      </c>
      <c r="D7542" t="inlineStr">
        <is>
          <t>ÖSTERGÖTLANDS LÄN</t>
        </is>
      </c>
      <c r="E7542" t="inlineStr">
        <is>
          <t>KINDA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47359-2023</t>
        </is>
      </c>
      <c r="B7543" s="1" t="n">
        <v>45202</v>
      </c>
      <c r="C7543" s="1" t="n">
        <v>45710</v>
      </c>
      <c r="D7543" t="inlineStr">
        <is>
          <t>ÖSTERGÖTLANDS LÄN</t>
        </is>
      </c>
      <c r="E7543" t="inlineStr">
        <is>
          <t>YDRE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47375-2023</t>
        </is>
      </c>
      <c r="B7544" s="1" t="n">
        <v>45202</v>
      </c>
      <c r="C7544" s="1" t="n">
        <v>45710</v>
      </c>
      <c r="D7544" t="inlineStr">
        <is>
          <t>ÖSTERGÖTLANDS LÄN</t>
        </is>
      </c>
      <c r="E7544" t="inlineStr">
        <is>
          <t>LINKÖPING</t>
        </is>
      </c>
      <c r="G7544" t="n">
        <v>8.199999999999999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47392-2023</t>
        </is>
      </c>
      <c r="B7545" s="1" t="n">
        <v>45202</v>
      </c>
      <c r="C7545" s="1" t="n">
        <v>45710</v>
      </c>
      <c r="D7545" t="inlineStr">
        <is>
          <t>ÖSTERGÖTLANDS LÄN</t>
        </is>
      </c>
      <c r="E7545" t="inlineStr">
        <is>
          <t>MJÖLBY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47405-2023</t>
        </is>
      </c>
      <c r="B7546" s="1" t="n">
        <v>45202</v>
      </c>
      <c r="C7546" s="1" t="n">
        <v>45710</v>
      </c>
      <c r="D7546" t="inlineStr">
        <is>
          <t>ÖSTERGÖTLANDS LÄN</t>
        </is>
      </c>
      <c r="E7546" t="inlineStr">
        <is>
          <t>KINDA</t>
        </is>
      </c>
      <c r="G7546" t="n">
        <v>8.4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47445-2023</t>
        </is>
      </c>
      <c r="B7547" s="1" t="n">
        <v>45202</v>
      </c>
      <c r="C7547" s="1" t="n">
        <v>45710</v>
      </c>
      <c r="D7547" t="inlineStr">
        <is>
          <t>ÖSTERGÖTLANDS LÄN</t>
        </is>
      </c>
      <c r="E7547" t="inlineStr">
        <is>
          <t>SÖDERKÖPING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47451-2023</t>
        </is>
      </c>
      <c r="B7548" s="1" t="n">
        <v>45202</v>
      </c>
      <c r="C7548" s="1" t="n">
        <v>45710</v>
      </c>
      <c r="D7548" t="inlineStr">
        <is>
          <t>ÖSTERGÖTLANDS LÄN</t>
        </is>
      </c>
      <c r="E7548" t="inlineStr">
        <is>
          <t>SÖDERKÖPING</t>
        </is>
      </c>
      <c r="G7548" t="n">
        <v>5.2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48707-2023</t>
        </is>
      </c>
      <c r="B7549" s="1" t="n">
        <v>45202</v>
      </c>
      <c r="C7549" s="1" t="n">
        <v>45710</v>
      </c>
      <c r="D7549" t="inlineStr">
        <is>
          <t>ÖSTERGÖTLANDS LÄN</t>
        </is>
      </c>
      <c r="E7549" t="inlineStr">
        <is>
          <t>LINKÖPING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48694-2023</t>
        </is>
      </c>
      <c r="B7550" s="1" t="n">
        <v>45202</v>
      </c>
      <c r="C7550" s="1" t="n">
        <v>45710</v>
      </c>
      <c r="D7550" t="inlineStr">
        <is>
          <t>ÖSTERGÖTLANDS LÄN</t>
        </is>
      </c>
      <c r="E7550" t="inlineStr">
        <is>
          <t>LINKÖPING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47556-2023</t>
        </is>
      </c>
      <c r="B7551" s="1" t="n">
        <v>45203</v>
      </c>
      <c r="C7551" s="1" t="n">
        <v>45710</v>
      </c>
      <c r="D7551" t="inlineStr">
        <is>
          <t>ÖSTERGÖTLANDS LÄN</t>
        </is>
      </c>
      <c r="E7551" t="inlineStr">
        <is>
          <t>LINKÖPING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47600-2023</t>
        </is>
      </c>
      <c r="B7552" s="1" t="n">
        <v>45203</v>
      </c>
      <c r="C7552" s="1" t="n">
        <v>45710</v>
      </c>
      <c r="D7552" t="inlineStr">
        <is>
          <t>ÖSTERGÖTLANDS LÄN</t>
        </is>
      </c>
      <c r="E7552" t="inlineStr">
        <is>
          <t>ÖDESHÖG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47597-2023</t>
        </is>
      </c>
      <c r="B7553" s="1" t="n">
        <v>45203</v>
      </c>
      <c r="C7553" s="1" t="n">
        <v>45710</v>
      </c>
      <c r="D7553" t="inlineStr">
        <is>
          <t>ÖSTERGÖTLANDS LÄN</t>
        </is>
      </c>
      <c r="E7553" t="inlineStr">
        <is>
          <t>ÖDESHÖG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47661-2023</t>
        </is>
      </c>
      <c r="B7554" s="1" t="n">
        <v>45203</v>
      </c>
      <c r="C7554" s="1" t="n">
        <v>45710</v>
      </c>
      <c r="D7554" t="inlineStr">
        <is>
          <t>ÖSTERGÖTLANDS LÄN</t>
        </is>
      </c>
      <c r="E7554" t="inlineStr">
        <is>
          <t>MJÖLBY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47663-2023</t>
        </is>
      </c>
      <c r="B7555" s="1" t="n">
        <v>45203</v>
      </c>
      <c r="C7555" s="1" t="n">
        <v>45710</v>
      </c>
      <c r="D7555" t="inlineStr">
        <is>
          <t>ÖSTERGÖTLANDS LÄN</t>
        </is>
      </c>
      <c r="E7555" t="inlineStr">
        <is>
          <t>MJÖLBY</t>
        </is>
      </c>
      <c r="G7555" t="n">
        <v>7.8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47679-2023</t>
        </is>
      </c>
      <c r="B7556" s="1" t="n">
        <v>45203</v>
      </c>
      <c r="C7556" s="1" t="n">
        <v>45710</v>
      </c>
      <c r="D7556" t="inlineStr">
        <is>
          <t>ÖSTERGÖTLANDS LÄN</t>
        </is>
      </c>
      <c r="E7556" t="inlineStr">
        <is>
          <t>VALDEMARSVIK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47703-2023</t>
        </is>
      </c>
      <c r="B7557" s="1" t="n">
        <v>45203</v>
      </c>
      <c r="C7557" s="1" t="n">
        <v>45710</v>
      </c>
      <c r="D7557" t="inlineStr">
        <is>
          <t>ÖSTERGÖTLANDS LÄN</t>
        </is>
      </c>
      <c r="E7557" t="inlineStr">
        <is>
          <t>LINKÖPING</t>
        </is>
      </c>
      <c r="G7557" t="n">
        <v>4.1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47713-2023</t>
        </is>
      </c>
      <c r="B7558" s="1" t="n">
        <v>45203</v>
      </c>
      <c r="C7558" s="1" t="n">
        <v>45710</v>
      </c>
      <c r="D7558" t="inlineStr">
        <is>
          <t>ÖSTERGÖTLANDS LÄN</t>
        </is>
      </c>
      <c r="E7558" t="inlineStr">
        <is>
          <t>BOXHOLM</t>
        </is>
      </c>
      <c r="F7558" t="inlineStr">
        <is>
          <t>Allmännings- och besparingsskogar</t>
        </is>
      </c>
      <c r="G7558" t="n">
        <v>5.4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47768-2023</t>
        </is>
      </c>
      <c r="B7559" s="1" t="n">
        <v>45203</v>
      </c>
      <c r="C7559" s="1" t="n">
        <v>45710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47769-2023</t>
        </is>
      </c>
      <c r="B7560" s="1" t="n">
        <v>45203</v>
      </c>
      <c r="C7560" s="1" t="n">
        <v>45710</v>
      </c>
      <c r="D7560" t="inlineStr">
        <is>
          <t>ÖSTERGÖTLANDS LÄN</t>
        </is>
      </c>
      <c r="E7560" t="inlineStr">
        <is>
          <t>NORRKÖPING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47856-2023</t>
        </is>
      </c>
      <c r="B7561" s="1" t="n">
        <v>45204</v>
      </c>
      <c r="C7561" s="1" t="n">
        <v>45710</v>
      </c>
      <c r="D7561" t="inlineStr">
        <is>
          <t>ÖSTERGÖTLANDS LÄN</t>
        </is>
      </c>
      <c r="E7561" t="inlineStr">
        <is>
          <t>LINKÖPING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47802-2023</t>
        </is>
      </c>
      <c r="B7562" s="1" t="n">
        <v>45204</v>
      </c>
      <c r="C7562" s="1" t="n">
        <v>45710</v>
      </c>
      <c r="D7562" t="inlineStr">
        <is>
          <t>ÖSTERGÖTLANDS LÄN</t>
        </is>
      </c>
      <c r="E7562" t="inlineStr">
        <is>
          <t>KINDA</t>
        </is>
      </c>
      <c r="G7562" t="n">
        <v>3.6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47846-2023</t>
        </is>
      </c>
      <c r="B7563" s="1" t="n">
        <v>45204</v>
      </c>
      <c r="C7563" s="1" t="n">
        <v>45710</v>
      </c>
      <c r="D7563" t="inlineStr">
        <is>
          <t>ÖSTERGÖTLANDS LÄN</t>
        </is>
      </c>
      <c r="E7563" t="inlineStr">
        <is>
          <t>NORRKÖPING</t>
        </is>
      </c>
      <c r="F7563" t="inlineStr">
        <is>
          <t>Naturvårdsverket</t>
        </is>
      </c>
      <c r="G7563" t="n">
        <v>0.2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47867-2023</t>
        </is>
      </c>
      <c r="B7564" s="1" t="n">
        <v>45204</v>
      </c>
      <c r="C7564" s="1" t="n">
        <v>45710</v>
      </c>
      <c r="D7564" t="inlineStr">
        <is>
          <t>ÖSTERGÖTLANDS LÄN</t>
        </is>
      </c>
      <c r="E7564" t="inlineStr">
        <is>
          <t>FINSPÅNG</t>
        </is>
      </c>
      <c r="F7564" t="inlineStr">
        <is>
          <t>Holmen skog AB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47866-2023</t>
        </is>
      </c>
      <c r="B7565" s="1" t="n">
        <v>45204</v>
      </c>
      <c r="C7565" s="1" t="n">
        <v>45710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Naturvårdsverket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47949-2023</t>
        </is>
      </c>
      <c r="B7566" s="1" t="n">
        <v>45204</v>
      </c>
      <c r="C7566" s="1" t="n">
        <v>45710</v>
      </c>
      <c r="D7566" t="inlineStr">
        <is>
          <t>ÖSTERGÖTLANDS LÄN</t>
        </is>
      </c>
      <c r="E7566" t="inlineStr">
        <is>
          <t>VALDEMARSVIK</t>
        </is>
      </c>
      <c r="G7566" t="n">
        <v>3.7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47990-2023</t>
        </is>
      </c>
      <c r="B7567" s="1" t="n">
        <v>45204</v>
      </c>
      <c r="C7567" s="1" t="n">
        <v>45710</v>
      </c>
      <c r="D7567" t="inlineStr">
        <is>
          <t>ÖSTERGÖTLANDS LÄN</t>
        </is>
      </c>
      <c r="E7567" t="inlineStr">
        <is>
          <t>SÖDERKÖPING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47999-2023</t>
        </is>
      </c>
      <c r="B7568" s="1" t="n">
        <v>45204</v>
      </c>
      <c r="C7568" s="1" t="n">
        <v>45710</v>
      </c>
      <c r="D7568" t="inlineStr">
        <is>
          <t>ÖSTERGÖTLANDS LÄN</t>
        </is>
      </c>
      <c r="E7568" t="inlineStr">
        <is>
          <t>MOTALA</t>
        </is>
      </c>
      <c r="F7568" t="inlineStr">
        <is>
          <t>Allmännings- och besparingsskogar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47978-2023</t>
        </is>
      </c>
      <c r="B7569" s="1" t="n">
        <v>45204</v>
      </c>
      <c r="C7569" s="1" t="n">
        <v>45710</v>
      </c>
      <c r="D7569" t="inlineStr">
        <is>
          <t>ÖSTERGÖTLANDS LÄN</t>
        </is>
      </c>
      <c r="E7569" t="inlineStr">
        <is>
          <t>BOXHOLM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47951-2023</t>
        </is>
      </c>
      <c r="B7570" s="1" t="n">
        <v>45204</v>
      </c>
      <c r="C7570" s="1" t="n">
        <v>45710</v>
      </c>
      <c r="D7570" t="inlineStr">
        <is>
          <t>ÖSTERGÖTLANDS LÄN</t>
        </is>
      </c>
      <c r="E7570" t="inlineStr">
        <is>
          <t>VALDEMARSVIK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47959-2023</t>
        </is>
      </c>
      <c r="B7571" s="1" t="n">
        <v>45204</v>
      </c>
      <c r="C7571" s="1" t="n">
        <v>45710</v>
      </c>
      <c r="D7571" t="inlineStr">
        <is>
          <t>ÖSTERGÖTLANDS LÄN</t>
        </is>
      </c>
      <c r="E7571" t="inlineStr">
        <is>
          <t>VALDEMARSVIK</t>
        </is>
      </c>
      <c r="G7571" t="n">
        <v>0.4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47991-2023</t>
        </is>
      </c>
      <c r="B7572" s="1" t="n">
        <v>45204</v>
      </c>
      <c r="C7572" s="1" t="n">
        <v>45710</v>
      </c>
      <c r="D7572" t="inlineStr">
        <is>
          <t>ÖSTERGÖTLANDS LÄN</t>
        </is>
      </c>
      <c r="E7572" t="inlineStr">
        <is>
          <t>LINKÖPING</t>
        </is>
      </c>
      <c r="F7572" t="inlineStr">
        <is>
          <t>Allmännings- och besparingsskogar</t>
        </is>
      </c>
      <c r="G7572" t="n">
        <v>7.3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47985-2023</t>
        </is>
      </c>
      <c r="B7573" s="1" t="n">
        <v>45204</v>
      </c>
      <c r="C7573" s="1" t="n">
        <v>45710</v>
      </c>
      <c r="D7573" t="inlineStr">
        <is>
          <t>ÖSTERGÖTLANDS LÄN</t>
        </is>
      </c>
      <c r="E7573" t="inlineStr">
        <is>
          <t>SÖDERKÖPING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47899-2023</t>
        </is>
      </c>
      <c r="B7574" s="1" t="n">
        <v>45204</v>
      </c>
      <c r="C7574" s="1" t="n">
        <v>45710</v>
      </c>
      <c r="D7574" t="inlineStr">
        <is>
          <t>ÖSTERGÖTLANDS LÄN</t>
        </is>
      </c>
      <c r="E7574" t="inlineStr">
        <is>
          <t>YDRE</t>
        </is>
      </c>
      <c r="F7574" t="inlineStr">
        <is>
          <t>Sveaskog</t>
        </is>
      </c>
      <c r="G7574" t="n">
        <v>4.2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47942-2023</t>
        </is>
      </c>
      <c r="B7575" s="1" t="n">
        <v>45204</v>
      </c>
      <c r="C7575" s="1" t="n">
        <v>45710</v>
      </c>
      <c r="D7575" t="inlineStr">
        <is>
          <t>ÖSTERGÖTLANDS LÄN</t>
        </is>
      </c>
      <c r="E7575" t="inlineStr">
        <is>
          <t>VALDEMARSVIK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47962-2023</t>
        </is>
      </c>
      <c r="B7576" s="1" t="n">
        <v>45204</v>
      </c>
      <c r="C7576" s="1" t="n">
        <v>45710</v>
      </c>
      <c r="D7576" t="inlineStr">
        <is>
          <t>ÖSTERGÖTLANDS LÄN</t>
        </is>
      </c>
      <c r="E7576" t="inlineStr">
        <is>
          <t>VALDEMARSVIK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47984-2023</t>
        </is>
      </c>
      <c r="B7577" s="1" t="n">
        <v>45204</v>
      </c>
      <c r="C7577" s="1" t="n">
        <v>45710</v>
      </c>
      <c r="D7577" t="inlineStr">
        <is>
          <t>ÖSTERGÖTLANDS LÄN</t>
        </is>
      </c>
      <c r="E7577" t="inlineStr">
        <is>
          <t>SÖDERKÖPING</t>
        </is>
      </c>
      <c r="G7577" t="n">
        <v>2.5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49128-2023</t>
        </is>
      </c>
      <c r="B7578" s="1" t="n">
        <v>45204</v>
      </c>
      <c r="C7578" s="1" t="n">
        <v>45710</v>
      </c>
      <c r="D7578" t="inlineStr">
        <is>
          <t>ÖSTERGÖTLANDS LÄN</t>
        </is>
      </c>
      <c r="E7578" t="inlineStr">
        <is>
          <t>YDRE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49146-2023</t>
        </is>
      </c>
      <c r="B7579" s="1" t="n">
        <v>45204</v>
      </c>
      <c r="C7579" s="1" t="n">
        <v>45710</v>
      </c>
      <c r="D7579" t="inlineStr">
        <is>
          <t>ÖSTERGÖTLANDS LÄN</t>
        </is>
      </c>
      <c r="E7579" t="inlineStr">
        <is>
          <t>ÅTVIDABERG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49140-2023</t>
        </is>
      </c>
      <c r="B7580" s="1" t="n">
        <v>45204</v>
      </c>
      <c r="C7580" s="1" t="n">
        <v>45710</v>
      </c>
      <c r="D7580" t="inlineStr">
        <is>
          <t>ÖSTERGÖTLANDS LÄN</t>
        </is>
      </c>
      <c r="E7580" t="inlineStr">
        <is>
          <t>YDRE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48092-2023</t>
        </is>
      </c>
      <c r="B7581" s="1" t="n">
        <v>45205</v>
      </c>
      <c r="C7581" s="1" t="n">
        <v>45710</v>
      </c>
      <c r="D7581" t="inlineStr">
        <is>
          <t>ÖSTERGÖTLANDS LÄN</t>
        </is>
      </c>
      <c r="E7581" t="inlineStr">
        <is>
          <t>NORRKÖPING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48096-2023</t>
        </is>
      </c>
      <c r="B7582" s="1" t="n">
        <v>45205</v>
      </c>
      <c r="C7582" s="1" t="n">
        <v>45710</v>
      </c>
      <c r="D7582" t="inlineStr">
        <is>
          <t>ÖSTERGÖTLANDS LÄN</t>
        </is>
      </c>
      <c r="E7582" t="inlineStr">
        <is>
          <t>NORRKÖPING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48122-2023</t>
        </is>
      </c>
      <c r="B7583" s="1" t="n">
        <v>45205</v>
      </c>
      <c r="C7583" s="1" t="n">
        <v>45710</v>
      </c>
      <c r="D7583" t="inlineStr">
        <is>
          <t>ÖSTERGÖTLANDS LÄN</t>
        </is>
      </c>
      <c r="E7583" t="inlineStr">
        <is>
          <t>NORRKÖPING</t>
        </is>
      </c>
      <c r="G7583" t="n">
        <v>0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48093-2023</t>
        </is>
      </c>
      <c r="B7584" s="1" t="n">
        <v>45205</v>
      </c>
      <c r="C7584" s="1" t="n">
        <v>45710</v>
      </c>
      <c r="D7584" t="inlineStr">
        <is>
          <t>ÖSTERGÖTLANDS LÄN</t>
        </is>
      </c>
      <c r="E7584" t="inlineStr">
        <is>
          <t>NORRKÖPING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48101-2023</t>
        </is>
      </c>
      <c r="B7585" s="1" t="n">
        <v>45205</v>
      </c>
      <c r="C7585" s="1" t="n">
        <v>45710</v>
      </c>
      <c r="D7585" t="inlineStr">
        <is>
          <t>ÖSTERGÖTLANDS LÄN</t>
        </is>
      </c>
      <c r="E7585" t="inlineStr">
        <is>
          <t>ÖDESHÖG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48105-2023</t>
        </is>
      </c>
      <c r="B7586" s="1" t="n">
        <v>45205</v>
      </c>
      <c r="C7586" s="1" t="n">
        <v>45710</v>
      </c>
      <c r="D7586" t="inlineStr">
        <is>
          <t>ÖSTERGÖTLANDS LÄN</t>
        </is>
      </c>
      <c r="E7586" t="inlineStr">
        <is>
          <t>ÖDESHÖG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48119-2023</t>
        </is>
      </c>
      <c r="B7587" s="1" t="n">
        <v>45205</v>
      </c>
      <c r="C7587" s="1" t="n">
        <v>45710</v>
      </c>
      <c r="D7587" t="inlineStr">
        <is>
          <t>ÖSTERGÖTLANDS LÄN</t>
        </is>
      </c>
      <c r="E7587" t="inlineStr">
        <is>
          <t>NORRKÖPING</t>
        </is>
      </c>
      <c r="G7587" t="n">
        <v>4.1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48271-2023</t>
        </is>
      </c>
      <c r="B7588" s="1" t="n">
        <v>45205</v>
      </c>
      <c r="C7588" s="1" t="n">
        <v>45710</v>
      </c>
      <c r="D7588" t="inlineStr">
        <is>
          <t>ÖSTERGÖTLANDS LÄN</t>
        </is>
      </c>
      <c r="E7588" t="inlineStr">
        <is>
          <t>LINKÖPING</t>
        </is>
      </c>
      <c r="G7588" t="n">
        <v>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48275-2023</t>
        </is>
      </c>
      <c r="B7589" s="1" t="n">
        <v>45205</v>
      </c>
      <c r="C7589" s="1" t="n">
        <v>45710</v>
      </c>
      <c r="D7589" t="inlineStr">
        <is>
          <t>ÖSTERGÖTLANDS LÄN</t>
        </is>
      </c>
      <c r="E7589" t="inlineStr">
        <is>
          <t>LINKÖPING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48091-2023</t>
        </is>
      </c>
      <c r="B7590" s="1" t="n">
        <v>45205</v>
      </c>
      <c r="C7590" s="1" t="n">
        <v>45710</v>
      </c>
      <c r="D7590" t="inlineStr">
        <is>
          <t>ÖSTERGÖTLANDS LÄN</t>
        </is>
      </c>
      <c r="E7590" t="inlineStr">
        <is>
          <t>NORRKÖPING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48095-2023</t>
        </is>
      </c>
      <c r="B7591" s="1" t="n">
        <v>45205</v>
      </c>
      <c r="C7591" s="1" t="n">
        <v>45710</v>
      </c>
      <c r="D7591" t="inlineStr">
        <is>
          <t>ÖSTERGÖTLANDS LÄN</t>
        </is>
      </c>
      <c r="E7591" t="inlineStr">
        <is>
          <t>NORRKÖPING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48099-2023</t>
        </is>
      </c>
      <c r="B7592" s="1" t="n">
        <v>45205</v>
      </c>
      <c r="C7592" s="1" t="n">
        <v>45710</v>
      </c>
      <c r="D7592" t="inlineStr">
        <is>
          <t>ÖSTERGÖTLANDS LÄN</t>
        </is>
      </c>
      <c r="E7592" t="inlineStr">
        <is>
          <t>NORRKÖPING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48107-2023</t>
        </is>
      </c>
      <c r="B7593" s="1" t="n">
        <v>45205</v>
      </c>
      <c r="C7593" s="1" t="n">
        <v>45710</v>
      </c>
      <c r="D7593" t="inlineStr">
        <is>
          <t>ÖSTERGÖTLANDS LÄN</t>
        </is>
      </c>
      <c r="E7593" t="inlineStr">
        <is>
          <t>ÖDESHÖG</t>
        </is>
      </c>
      <c r="G7593" t="n">
        <v>2.4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48273-2023</t>
        </is>
      </c>
      <c r="B7594" s="1" t="n">
        <v>45205</v>
      </c>
      <c r="C7594" s="1" t="n">
        <v>45710</v>
      </c>
      <c r="D7594" t="inlineStr">
        <is>
          <t>ÖSTERGÖTLANDS LÄN</t>
        </is>
      </c>
      <c r="E7594" t="inlineStr">
        <is>
          <t>LINKÖPING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48121-2023</t>
        </is>
      </c>
      <c r="B7595" s="1" t="n">
        <v>45205</v>
      </c>
      <c r="C7595" s="1" t="n">
        <v>45710</v>
      </c>
      <c r="D7595" t="inlineStr">
        <is>
          <t>ÖSTERGÖTLANDS LÄN</t>
        </is>
      </c>
      <c r="E7595" t="inlineStr">
        <is>
          <t>NORRKÖPING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48125-2023</t>
        </is>
      </c>
      <c r="B7596" s="1" t="n">
        <v>45205</v>
      </c>
      <c r="C7596" s="1" t="n">
        <v>45710</v>
      </c>
      <c r="D7596" t="inlineStr">
        <is>
          <t>ÖSTERGÖTLANDS LÄN</t>
        </is>
      </c>
      <c r="E7596" t="inlineStr">
        <is>
          <t>NORRKÖPING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48144-2023</t>
        </is>
      </c>
      <c r="B7597" s="1" t="n">
        <v>45205</v>
      </c>
      <c r="C7597" s="1" t="n">
        <v>45710</v>
      </c>
      <c r="D7597" t="inlineStr">
        <is>
          <t>ÖSTERGÖTLANDS LÄN</t>
        </is>
      </c>
      <c r="E7597" t="inlineStr">
        <is>
          <t>LINKÖPING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48269-2023</t>
        </is>
      </c>
      <c r="B7598" s="1" t="n">
        <v>45205</v>
      </c>
      <c r="C7598" s="1" t="n">
        <v>45710</v>
      </c>
      <c r="D7598" t="inlineStr">
        <is>
          <t>ÖSTERGÖTLANDS LÄN</t>
        </is>
      </c>
      <c r="E7598" t="inlineStr">
        <is>
          <t>LINKÖPING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48317-2023</t>
        </is>
      </c>
      <c r="B7599" s="1" t="n">
        <v>45205</v>
      </c>
      <c r="C7599" s="1" t="n">
        <v>45710</v>
      </c>
      <c r="D7599" t="inlineStr">
        <is>
          <t>ÖSTERGÖTLANDS LÄN</t>
        </is>
      </c>
      <c r="E7599" t="inlineStr">
        <is>
          <t>BOXHOLM</t>
        </is>
      </c>
      <c r="F7599" t="inlineStr">
        <is>
          <t>Allmännings- och besparingsskogar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48158-2023</t>
        </is>
      </c>
      <c r="B7600" s="1" t="n">
        <v>45205</v>
      </c>
      <c r="C7600" s="1" t="n">
        <v>45710</v>
      </c>
      <c r="D7600" t="inlineStr">
        <is>
          <t>ÖSTERGÖTLANDS LÄN</t>
        </is>
      </c>
      <c r="E7600" t="inlineStr">
        <is>
          <t>VALDEMARSVIK</t>
        </is>
      </c>
      <c r="F7600" t="inlineStr">
        <is>
          <t>Kommuner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48492-2023</t>
        </is>
      </c>
      <c r="B7601" s="1" t="n">
        <v>45205</v>
      </c>
      <c r="C7601" s="1" t="n">
        <v>45710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Övriga statliga verk och myndigheter</t>
        </is>
      </c>
      <c r="G7601" t="n">
        <v>6.5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49249-2023</t>
        </is>
      </c>
      <c r="B7602" s="1" t="n">
        <v>45205</v>
      </c>
      <c r="C7602" s="1" t="n">
        <v>45710</v>
      </c>
      <c r="D7602" t="inlineStr">
        <is>
          <t>ÖSTERGÖTLANDS LÄN</t>
        </is>
      </c>
      <c r="E7602" t="inlineStr">
        <is>
          <t>MOTALA</t>
        </is>
      </c>
      <c r="F7602" t="inlineStr">
        <is>
          <t>Övriga statliga verk och myndigheter</t>
        </is>
      </c>
      <c r="G7602" t="n">
        <v>5.7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48465-2023</t>
        </is>
      </c>
      <c r="B7603" s="1" t="n">
        <v>45206</v>
      </c>
      <c r="C7603" s="1" t="n">
        <v>45710</v>
      </c>
      <c r="D7603" t="inlineStr">
        <is>
          <t>ÖSTERGÖTLANDS LÄN</t>
        </is>
      </c>
      <c r="E7603" t="inlineStr">
        <is>
          <t>FINSPÅNG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48443-2023</t>
        </is>
      </c>
      <c r="B7604" s="1" t="n">
        <v>45206</v>
      </c>
      <c r="C7604" s="1" t="n">
        <v>45710</v>
      </c>
      <c r="D7604" t="inlineStr">
        <is>
          <t>ÖSTERGÖTLANDS LÄN</t>
        </is>
      </c>
      <c r="E7604" t="inlineStr">
        <is>
          <t>FINSPÅNG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48466-2023</t>
        </is>
      </c>
      <c r="B7605" s="1" t="n">
        <v>45206</v>
      </c>
      <c r="C7605" s="1" t="n">
        <v>45710</v>
      </c>
      <c r="D7605" t="inlineStr">
        <is>
          <t>ÖSTERGÖTLANDS LÄN</t>
        </is>
      </c>
      <c r="E7605" t="inlineStr">
        <is>
          <t>FINSPÅNG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48580-2023</t>
        </is>
      </c>
      <c r="B7606" s="1" t="n">
        <v>45208</v>
      </c>
      <c r="C7606" s="1" t="n">
        <v>45710</v>
      </c>
      <c r="D7606" t="inlineStr">
        <is>
          <t>ÖSTERGÖTLANDS LÄN</t>
        </is>
      </c>
      <c r="E7606" t="inlineStr">
        <is>
          <t>ÅTVIDABERG</t>
        </is>
      </c>
      <c r="F7606" t="inlineStr">
        <is>
          <t>Kyrkan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48602-2023</t>
        </is>
      </c>
      <c r="B7607" s="1" t="n">
        <v>45208</v>
      </c>
      <c r="C7607" s="1" t="n">
        <v>45710</v>
      </c>
      <c r="D7607" t="inlineStr">
        <is>
          <t>ÖSTERGÖTLANDS LÄN</t>
        </is>
      </c>
      <c r="E7607" t="inlineStr">
        <is>
          <t>SÖDERKÖPING</t>
        </is>
      </c>
      <c r="F7607" t="inlineStr">
        <is>
          <t>Holmen skog AB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48555-2023</t>
        </is>
      </c>
      <c r="B7608" s="1" t="n">
        <v>45208</v>
      </c>
      <c r="C7608" s="1" t="n">
        <v>45710</v>
      </c>
      <c r="D7608" t="inlineStr">
        <is>
          <t>ÖSTERGÖTLANDS LÄN</t>
        </is>
      </c>
      <c r="E7608" t="inlineStr">
        <is>
          <t>SÖDERKÖPING</t>
        </is>
      </c>
      <c r="F7608" t="inlineStr">
        <is>
          <t>Holmen skog AB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48636-2023</t>
        </is>
      </c>
      <c r="B7609" s="1" t="n">
        <v>45208</v>
      </c>
      <c r="C7609" s="1" t="n">
        <v>45710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Holmen skog AB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48742-2023</t>
        </is>
      </c>
      <c r="B7610" s="1" t="n">
        <v>45208</v>
      </c>
      <c r="C7610" s="1" t="n">
        <v>45710</v>
      </c>
      <c r="D7610" t="inlineStr">
        <is>
          <t>ÖSTERGÖTLANDS LÄN</t>
        </is>
      </c>
      <c r="E7610" t="inlineStr">
        <is>
          <t>YDRE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48647-2023</t>
        </is>
      </c>
      <c r="B7611" s="1" t="n">
        <v>45208</v>
      </c>
      <c r="C7611" s="1" t="n">
        <v>45710</v>
      </c>
      <c r="D7611" t="inlineStr">
        <is>
          <t>ÖSTERGÖTLANDS LÄN</t>
        </is>
      </c>
      <c r="E7611" t="inlineStr">
        <is>
          <t>FINSPÅNG</t>
        </is>
      </c>
      <c r="F7611" t="inlineStr">
        <is>
          <t>Holmen skog AB</t>
        </is>
      </c>
      <c r="G7611" t="n">
        <v>4.8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48789-2023</t>
        </is>
      </c>
      <c r="B7612" s="1" t="n">
        <v>45208</v>
      </c>
      <c r="C7612" s="1" t="n">
        <v>45710</v>
      </c>
      <c r="D7612" t="inlineStr">
        <is>
          <t>ÖSTERGÖTLANDS LÄN</t>
        </is>
      </c>
      <c r="E7612" t="inlineStr">
        <is>
          <t>FINSPÅNG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50179-2023</t>
        </is>
      </c>
      <c r="B7613" s="1" t="n">
        <v>45208</v>
      </c>
      <c r="C7613" s="1" t="n">
        <v>45710</v>
      </c>
      <c r="D7613" t="inlineStr">
        <is>
          <t>ÖSTERGÖTLANDS LÄN</t>
        </is>
      </c>
      <c r="E7613" t="inlineStr">
        <is>
          <t>MJÖLBY</t>
        </is>
      </c>
      <c r="G7613" t="n">
        <v>5.6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50181-2023</t>
        </is>
      </c>
      <c r="B7614" s="1" t="n">
        <v>45208</v>
      </c>
      <c r="C7614" s="1" t="n">
        <v>45710</v>
      </c>
      <c r="D7614" t="inlineStr">
        <is>
          <t>ÖSTERGÖTLANDS LÄN</t>
        </is>
      </c>
      <c r="E7614" t="inlineStr">
        <is>
          <t>MJÖLBY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50182-2023</t>
        </is>
      </c>
      <c r="B7615" s="1" t="n">
        <v>45208</v>
      </c>
      <c r="C7615" s="1" t="n">
        <v>45710</v>
      </c>
      <c r="D7615" t="inlineStr">
        <is>
          <t>ÖSTERGÖTLANDS LÄN</t>
        </is>
      </c>
      <c r="E7615" t="inlineStr">
        <is>
          <t>LINKÖPING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48791-2023</t>
        </is>
      </c>
      <c r="B7616" s="1" t="n">
        <v>45209</v>
      </c>
      <c r="C7616" s="1" t="n">
        <v>45710</v>
      </c>
      <c r="D7616" t="inlineStr">
        <is>
          <t>ÖSTERGÖTLANDS LÄN</t>
        </is>
      </c>
      <c r="E7616" t="inlineStr">
        <is>
          <t>FINSPÅNG</t>
        </is>
      </c>
      <c r="G7616" t="n">
        <v>7.5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48795-2023</t>
        </is>
      </c>
      <c r="B7617" s="1" t="n">
        <v>45209</v>
      </c>
      <c r="C7617" s="1" t="n">
        <v>45710</v>
      </c>
      <c r="D7617" t="inlineStr">
        <is>
          <t>ÖSTERGÖTLANDS LÄN</t>
        </is>
      </c>
      <c r="E7617" t="inlineStr">
        <is>
          <t>FINSPÅNG</t>
        </is>
      </c>
      <c r="G7617" t="n">
        <v>3.4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48829-2023</t>
        </is>
      </c>
      <c r="B7618" s="1" t="n">
        <v>45209</v>
      </c>
      <c r="C7618" s="1" t="n">
        <v>45710</v>
      </c>
      <c r="D7618" t="inlineStr">
        <is>
          <t>ÖSTERGÖTLANDS LÄN</t>
        </is>
      </c>
      <c r="E7618" t="inlineStr">
        <is>
          <t>LINKÖPING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48793-2023</t>
        </is>
      </c>
      <c r="B7619" s="1" t="n">
        <v>45209</v>
      </c>
      <c r="C7619" s="1" t="n">
        <v>45710</v>
      </c>
      <c r="D7619" t="inlineStr">
        <is>
          <t>ÖSTERGÖTLANDS LÄN</t>
        </is>
      </c>
      <c r="E7619" t="inlineStr">
        <is>
          <t>FINSPÅNG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48796-2023</t>
        </is>
      </c>
      <c r="B7620" s="1" t="n">
        <v>45209</v>
      </c>
      <c r="C7620" s="1" t="n">
        <v>45710</v>
      </c>
      <c r="D7620" t="inlineStr">
        <is>
          <t>ÖSTERGÖTLANDS LÄN</t>
        </is>
      </c>
      <c r="E7620" t="inlineStr">
        <is>
          <t>FINSPÅNG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48874-2023</t>
        </is>
      </c>
      <c r="B7621" s="1" t="n">
        <v>45209</v>
      </c>
      <c r="C7621" s="1" t="n">
        <v>45710</v>
      </c>
      <c r="D7621" t="inlineStr">
        <is>
          <t>ÖSTERGÖTLANDS LÄN</t>
        </is>
      </c>
      <c r="E7621" t="inlineStr">
        <is>
          <t>LINKÖPING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48790-2023</t>
        </is>
      </c>
      <c r="B7622" s="1" t="n">
        <v>45209</v>
      </c>
      <c r="C7622" s="1" t="n">
        <v>45710</v>
      </c>
      <c r="D7622" t="inlineStr">
        <is>
          <t>ÖSTERGÖTLANDS LÄN</t>
        </is>
      </c>
      <c r="E7622" t="inlineStr">
        <is>
          <t>FINSPÅNG</t>
        </is>
      </c>
      <c r="G7622" t="n">
        <v>14.6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48794-2023</t>
        </is>
      </c>
      <c r="B7623" s="1" t="n">
        <v>45209</v>
      </c>
      <c r="C7623" s="1" t="n">
        <v>45710</v>
      </c>
      <c r="D7623" t="inlineStr">
        <is>
          <t>ÖSTERGÖTLANDS LÄN</t>
        </is>
      </c>
      <c r="E7623" t="inlineStr">
        <is>
          <t>FINSPÅNG</t>
        </is>
      </c>
      <c r="G7623" t="n">
        <v>2.6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48846-2023</t>
        </is>
      </c>
      <c r="B7624" s="1" t="n">
        <v>45209</v>
      </c>
      <c r="C7624" s="1" t="n">
        <v>45710</v>
      </c>
      <c r="D7624" t="inlineStr">
        <is>
          <t>ÖSTERGÖTLANDS LÄN</t>
        </is>
      </c>
      <c r="E7624" t="inlineStr">
        <is>
          <t>YDRE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48892-2023</t>
        </is>
      </c>
      <c r="B7625" s="1" t="n">
        <v>45209</v>
      </c>
      <c r="C7625" s="1" t="n">
        <v>45710</v>
      </c>
      <c r="D7625" t="inlineStr">
        <is>
          <t>ÖSTERGÖTLANDS LÄN</t>
        </is>
      </c>
      <c r="E7625" t="inlineStr">
        <is>
          <t>KINDA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48902-2023</t>
        </is>
      </c>
      <c r="B7626" s="1" t="n">
        <v>45209</v>
      </c>
      <c r="C7626" s="1" t="n">
        <v>45710</v>
      </c>
      <c r="D7626" t="inlineStr">
        <is>
          <t>ÖSTERGÖTLANDS LÄN</t>
        </is>
      </c>
      <c r="E7626" t="inlineStr">
        <is>
          <t>LINKÖPING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49065-2023</t>
        </is>
      </c>
      <c r="B7627" s="1" t="n">
        <v>45210</v>
      </c>
      <c r="C7627" s="1" t="n">
        <v>45710</v>
      </c>
      <c r="D7627" t="inlineStr">
        <is>
          <t>ÖSTERGÖTLANDS LÄN</t>
        </is>
      </c>
      <c r="E7627" t="inlineStr">
        <is>
          <t>BOXHOLM</t>
        </is>
      </c>
      <c r="G7627" t="n">
        <v>4.4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49069-2023</t>
        </is>
      </c>
      <c r="B7628" s="1" t="n">
        <v>45210</v>
      </c>
      <c r="C7628" s="1" t="n">
        <v>45710</v>
      </c>
      <c r="D7628" t="inlineStr">
        <is>
          <t>ÖSTERGÖTLANDS LÄN</t>
        </is>
      </c>
      <c r="E7628" t="inlineStr">
        <is>
          <t>BOXHOLM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49050-2023</t>
        </is>
      </c>
      <c r="B7629" s="1" t="n">
        <v>45210</v>
      </c>
      <c r="C7629" s="1" t="n">
        <v>45710</v>
      </c>
      <c r="D7629" t="inlineStr">
        <is>
          <t>ÖSTERGÖTLANDS LÄN</t>
        </is>
      </c>
      <c r="E7629" t="inlineStr">
        <is>
          <t>BOXHOLM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49123-2023</t>
        </is>
      </c>
      <c r="B7630" s="1" t="n">
        <v>45210</v>
      </c>
      <c r="C7630" s="1" t="n">
        <v>45710</v>
      </c>
      <c r="D7630" t="inlineStr">
        <is>
          <t>ÖSTERGÖTLANDS LÄN</t>
        </is>
      </c>
      <c r="E7630" t="inlineStr">
        <is>
          <t>ÅTVIDABERG</t>
        </is>
      </c>
      <c r="F7630" t="inlineStr">
        <is>
          <t>Sveaskog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49132-2023</t>
        </is>
      </c>
      <c r="B7631" s="1" t="n">
        <v>45210</v>
      </c>
      <c r="C7631" s="1" t="n">
        <v>45710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Sveaskog</t>
        </is>
      </c>
      <c r="G7631" t="n">
        <v>6.5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49089-2023</t>
        </is>
      </c>
      <c r="B7632" s="1" t="n">
        <v>45210</v>
      </c>
      <c r="C7632" s="1" t="n">
        <v>45710</v>
      </c>
      <c r="D7632" t="inlineStr">
        <is>
          <t>ÖSTERGÖTLANDS LÄN</t>
        </is>
      </c>
      <c r="E7632" t="inlineStr">
        <is>
          <t>BOXHOLM</t>
        </is>
      </c>
      <c r="G7632" t="n">
        <v>11.2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49143-2023</t>
        </is>
      </c>
      <c r="B7633" s="1" t="n">
        <v>45210</v>
      </c>
      <c r="C7633" s="1" t="n">
        <v>45710</v>
      </c>
      <c r="D7633" t="inlineStr">
        <is>
          <t>ÖSTERGÖTLANDS LÄN</t>
        </is>
      </c>
      <c r="E7633" t="inlineStr">
        <is>
          <t>KINDA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49173-2023</t>
        </is>
      </c>
      <c r="B7634" s="1" t="n">
        <v>45210</v>
      </c>
      <c r="C7634" s="1" t="n">
        <v>45710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Övriga Aktiebolag</t>
        </is>
      </c>
      <c r="G7634" t="n">
        <v>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49191-2023</t>
        </is>
      </c>
      <c r="B7635" s="1" t="n">
        <v>45210</v>
      </c>
      <c r="C7635" s="1" t="n">
        <v>45710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Allmännings- och besparingsskogar</t>
        </is>
      </c>
      <c r="G7635" t="n">
        <v>3.1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49230-2023</t>
        </is>
      </c>
      <c r="B7636" s="1" t="n">
        <v>45210</v>
      </c>
      <c r="C7636" s="1" t="n">
        <v>45710</v>
      </c>
      <c r="D7636" t="inlineStr">
        <is>
          <t>ÖSTERGÖTLANDS LÄN</t>
        </is>
      </c>
      <c r="E7636" t="inlineStr">
        <is>
          <t>LINKÖPING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49301-2023</t>
        </is>
      </c>
      <c r="B7637" s="1" t="n">
        <v>45210</v>
      </c>
      <c r="C7637" s="1" t="n">
        <v>45710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Holmen skog AB</t>
        </is>
      </c>
      <c r="G7637" t="n">
        <v>5.9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49080-2023</t>
        </is>
      </c>
      <c r="B7638" s="1" t="n">
        <v>45210</v>
      </c>
      <c r="C7638" s="1" t="n">
        <v>45710</v>
      </c>
      <c r="D7638" t="inlineStr">
        <is>
          <t>ÖSTERGÖTLANDS LÄN</t>
        </is>
      </c>
      <c r="E7638" t="inlineStr">
        <is>
          <t>BOXHOLM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49126-2023</t>
        </is>
      </c>
      <c r="B7639" s="1" t="n">
        <v>45210</v>
      </c>
      <c r="C7639" s="1" t="n">
        <v>45710</v>
      </c>
      <c r="D7639" t="inlineStr">
        <is>
          <t>ÖSTERGÖTLANDS LÄN</t>
        </is>
      </c>
      <c r="E7639" t="inlineStr">
        <is>
          <t>ÅTVIDABERG</t>
        </is>
      </c>
      <c r="F7639" t="inlineStr">
        <is>
          <t>Sveaskog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49131-2023</t>
        </is>
      </c>
      <c r="B7640" s="1" t="n">
        <v>45210</v>
      </c>
      <c r="C7640" s="1" t="n">
        <v>45710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Sveaskog</t>
        </is>
      </c>
      <c r="G7640" t="n">
        <v>10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49142-2023</t>
        </is>
      </c>
      <c r="B7641" s="1" t="n">
        <v>45210</v>
      </c>
      <c r="C7641" s="1" t="n">
        <v>45710</v>
      </c>
      <c r="D7641" t="inlineStr">
        <is>
          <t>ÖSTERGÖTLANDS LÄN</t>
        </is>
      </c>
      <c r="E7641" t="inlineStr">
        <is>
          <t>FINSPÅNG</t>
        </is>
      </c>
      <c r="F7641" t="inlineStr">
        <is>
          <t>Övriga Aktiebolag</t>
        </is>
      </c>
      <c r="G7641" t="n">
        <v>12.3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49077-2023</t>
        </is>
      </c>
      <c r="B7642" s="1" t="n">
        <v>45210</v>
      </c>
      <c r="C7642" s="1" t="n">
        <v>45710</v>
      </c>
      <c r="D7642" t="inlineStr">
        <is>
          <t>ÖSTERGÖTLANDS LÄN</t>
        </is>
      </c>
      <c r="E7642" t="inlineStr">
        <is>
          <t>BOXHOLM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49099-2023</t>
        </is>
      </c>
      <c r="B7643" s="1" t="n">
        <v>45210</v>
      </c>
      <c r="C7643" s="1" t="n">
        <v>45710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Övriga Aktiebolag</t>
        </is>
      </c>
      <c r="G7643" t="n">
        <v>7.2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49255-2023</t>
        </is>
      </c>
      <c r="B7644" s="1" t="n">
        <v>45210</v>
      </c>
      <c r="C7644" s="1" t="n">
        <v>45710</v>
      </c>
      <c r="D7644" t="inlineStr">
        <is>
          <t>ÖSTERGÖTLANDS LÄN</t>
        </is>
      </c>
      <c r="E7644" t="inlineStr">
        <is>
          <t>YDRE</t>
        </is>
      </c>
      <c r="F7644" t="inlineStr">
        <is>
          <t>Sveaskog</t>
        </is>
      </c>
      <c r="G7644" t="n">
        <v>3.1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49271-2023</t>
        </is>
      </c>
      <c r="B7645" s="1" t="n">
        <v>45210</v>
      </c>
      <c r="C7645" s="1" t="n">
        <v>45710</v>
      </c>
      <c r="D7645" t="inlineStr">
        <is>
          <t>ÖSTERGÖTLANDS LÄN</t>
        </is>
      </c>
      <c r="E7645" t="inlineStr">
        <is>
          <t>MOTALA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49234-2023</t>
        </is>
      </c>
      <c r="B7646" s="1" t="n">
        <v>45210</v>
      </c>
      <c r="C7646" s="1" t="n">
        <v>45710</v>
      </c>
      <c r="D7646" t="inlineStr">
        <is>
          <t>ÖSTERGÖTLANDS LÄN</t>
        </is>
      </c>
      <c r="E7646" t="inlineStr">
        <is>
          <t>ÅTVIDABERG</t>
        </is>
      </c>
      <c r="G7646" t="n">
        <v>2.7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49311-2023</t>
        </is>
      </c>
      <c r="B7647" s="1" t="n">
        <v>45210</v>
      </c>
      <c r="C7647" s="1" t="n">
        <v>45710</v>
      </c>
      <c r="D7647" t="inlineStr">
        <is>
          <t>ÖSTERGÖTLANDS LÄN</t>
        </is>
      </c>
      <c r="E7647" t="inlineStr">
        <is>
          <t>FINSPÅNG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49339-2023</t>
        </is>
      </c>
      <c r="B7648" s="1" t="n">
        <v>45211</v>
      </c>
      <c r="C7648" s="1" t="n">
        <v>45710</v>
      </c>
      <c r="D7648" t="inlineStr">
        <is>
          <t>ÖSTERGÖTLANDS LÄN</t>
        </is>
      </c>
      <c r="E7648" t="inlineStr">
        <is>
          <t>FINSPÅNG</t>
        </is>
      </c>
      <c r="G7648" t="n">
        <v>5.6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50774-2023</t>
        </is>
      </c>
      <c r="B7649" s="1" t="n">
        <v>45210</v>
      </c>
      <c r="C7649" s="1" t="n">
        <v>45710</v>
      </c>
      <c r="D7649" t="inlineStr">
        <is>
          <t>ÖSTERGÖTLANDS LÄN</t>
        </is>
      </c>
      <c r="E7649" t="inlineStr">
        <is>
          <t>ÖDESHÖG</t>
        </is>
      </c>
      <c r="G7649" t="n">
        <v>9.5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50771-2023</t>
        </is>
      </c>
      <c r="B7650" s="1" t="n">
        <v>45210</v>
      </c>
      <c r="C7650" s="1" t="n">
        <v>45710</v>
      </c>
      <c r="D7650" t="inlineStr">
        <is>
          <t>ÖSTERGÖTLANDS LÄN</t>
        </is>
      </c>
      <c r="E7650" t="inlineStr">
        <is>
          <t>ÖDESHÖG</t>
        </is>
      </c>
      <c r="G7650" t="n">
        <v>1.1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49366-2023</t>
        </is>
      </c>
      <c r="B7651" s="1" t="n">
        <v>45211</v>
      </c>
      <c r="C7651" s="1" t="n">
        <v>45710</v>
      </c>
      <c r="D7651" t="inlineStr">
        <is>
          <t>ÖSTERGÖTLANDS LÄN</t>
        </is>
      </c>
      <c r="E7651" t="inlineStr">
        <is>
          <t>SÖDERKÖPING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49345-2023</t>
        </is>
      </c>
      <c r="B7652" s="1" t="n">
        <v>45211</v>
      </c>
      <c r="C7652" s="1" t="n">
        <v>45710</v>
      </c>
      <c r="D7652" t="inlineStr">
        <is>
          <t>ÖSTERGÖTLANDS LÄN</t>
        </is>
      </c>
      <c r="E7652" t="inlineStr">
        <is>
          <t>VALDEMARSVIK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49409-2023</t>
        </is>
      </c>
      <c r="B7653" s="1" t="n">
        <v>45211</v>
      </c>
      <c r="C7653" s="1" t="n">
        <v>45710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Övriga Aktiebolag</t>
        </is>
      </c>
      <c r="G7653" t="n">
        <v>25.2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49367-2023</t>
        </is>
      </c>
      <c r="B7654" s="1" t="n">
        <v>45211</v>
      </c>
      <c r="C7654" s="1" t="n">
        <v>45710</v>
      </c>
      <c r="D7654" t="inlineStr">
        <is>
          <t>ÖSTERGÖTLANDS LÄN</t>
        </is>
      </c>
      <c r="E7654" t="inlineStr">
        <is>
          <t>SÖDERKÖPING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49462-2023</t>
        </is>
      </c>
      <c r="B7655" s="1" t="n">
        <v>45211</v>
      </c>
      <c r="C7655" s="1" t="n">
        <v>45710</v>
      </c>
      <c r="D7655" t="inlineStr">
        <is>
          <t>ÖSTERGÖTLANDS LÄN</t>
        </is>
      </c>
      <c r="E7655" t="inlineStr">
        <is>
          <t>NORRKÖPING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49460-2023</t>
        </is>
      </c>
      <c r="B7656" s="1" t="n">
        <v>45211</v>
      </c>
      <c r="C7656" s="1" t="n">
        <v>45710</v>
      </c>
      <c r="D7656" t="inlineStr">
        <is>
          <t>ÖSTERGÖTLANDS LÄN</t>
        </is>
      </c>
      <c r="E7656" t="inlineStr">
        <is>
          <t>NORRKÖPING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49464-2023</t>
        </is>
      </c>
      <c r="B7657" s="1" t="n">
        <v>45211</v>
      </c>
      <c r="C7657" s="1" t="n">
        <v>45710</v>
      </c>
      <c r="D7657" t="inlineStr">
        <is>
          <t>ÖSTERGÖTLANDS LÄN</t>
        </is>
      </c>
      <c r="E7657" t="inlineStr">
        <is>
          <t>NORRKÖPING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49465-2023</t>
        </is>
      </c>
      <c r="B7658" s="1" t="n">
        <v>45211</v>
      </c>
      <c r="C7658" s="1" t="n">
        <v>45710</v>
      </c>
      <c r="D7658" t="inlineStr">
        <is>
          <t>ÖSTERGÖTLANDS LÄN</t>
        </is>
      </c>
      <c r="E7658" t="inlineStr">
        <is>
          <t>NORRKÖPING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49529-2023</t>
        </is>
      </c>
      <c r="B7659" s="1" t="n">
        <v>45211</v>
      </c>
      <c r="C7659" s="1" t="n">
        <v>45710</v>
      </c>
      <c r="D7659" t="inlineStr">
        <is>
          <t>ÖSTERGÖTLANDS LÄN</t>
        </is>
      </c>
      <c r="E7659" t="inlineStr">
        <is>
          <t>KINDA</t>
        </is>
      </c>
      <c r="F7659" t="inlineStr">
        <is>
          <t>Övriga Aktiebolag</t>
        </is>
      </c>
      <c r="G7659" t="n">
        <v>20.8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49596-2023</t>
        </is>
      </c>
      <c r="B7660" s="1" t="n">
        <v>45211</v>
      </c>
      <c r="C7660" s="1" t="n">
        <v>45710</v>
      </c>
      <c r="D7660" t="inlineStr">
        <is>
          <t>ÖSTERGÖTLANDS LÄN</t>
        </is>
      </c>
      <c r="E7660" t="inlineStr">
        <is>
          <t>SÖDERKÖPING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49344-2023</t>
        </is>
      </c>
      <c r="B7661" s="1" t="n">
        <v>45211</v>
      </c>
      <c r="C7661" s="1" t="n">
        <v>45710</v>
      </c>
      <c r="D7661" t="inlineStr">
        <is>
          <t>ÖSTERGÖTLANDS LÄN</t>
        </is>
      </c>
      <c r="E7661" t="inlineStr">
        <is>
          <t>VALDEMARSVIK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49348-2023</t>
        </is>
      </c>
      <c r="B7662" s="1" t="n">
        <v>45211</v>
      </c>
      <c r="C7662" s="1" t="n">
        <v>45710</v>
      </c>
      <c r="D7662" t="inlineStr">
        <is>
          <t>ÖSTERGÖTLANDS LÄN</t>
        </is>
      </c>
      <c r="E7662" t="inlineStr">
        <is>
          <t>VALDEMARSVIK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49463-2023</t>
        </is>
      </c>
      <c r="B7663" s="1" t="n">
        <v>45211</v>
      </c>
      <c r="C7663" s="1" t="n">
        <v>45710</v>
      </c>
      <c r="D7663" t="inlineStr">
        <is>
          <t>ÖSTERGÖTLANDS LÄN</t>
        </is>
      </c>
      <c r="E7663" t="inlineStr">
        <is>
          <t>NORRKÖPING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49629-2023</t>
        </is>
      </c>
      <c r="B7664" s="1" t="n">
        <v>45211</v>
      </c>
      <c r="C7664" s="1" t="n">
        <v>45710</v>
      </c>
      <c r="D7664" t="inlineStr">
        <is>
          <t>ÖSTERGÖTLANDS LÄN</t>
        </is>
      </c>
      <c r="E7664" t="inlineStr">
        <is>
          <t>FINSPÅNG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49669-2023</t>
        </is>
      </c>
      <c r="B7665" s="1" t="n">
        <v>45212</v>
      </c>
      <c r="C7665" s="1" t="n">
        <v>45710</v>
      </c>
      <c r="D7665" t="inlineStr">
        <is>
          <t>ÖSTERGÖTLANDS LÄN</t>
        </is>
      </c>
      <c r="E7665" t="inlineStr">
        <is>
          <t>BOXHOLM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49685-2023</t>
        </is>
      </c>
      <c r="B7666" s="1" t="n">
        <v>45212</v>
      </c>
      <c r="C7666" s="1" t="n">
        <v>45710</v>
      </c>
      <c r="D7666" t="inlineStr">
        <is>
          <t>ÖSTERGÖTLANDS LÄN</t>
        </is>
      </c>
      <c r="E7666" t="inlineStr">
        <is>
          <t>NORRKÖPING</t>
        </is>
      </c>
      <c r="G7666" t="n">
        <v>6.8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49668-2023</t>
        </is>
      </c>
      <c r="B7667" s="1" t="n">
        <v>45212</v>
      </c>
      <c r="C7667" s="1" t="n">
        <v>45710</v>
      </c>
      <c r="D7667" t="inlineStr">
        <is>
          <t>ÖSTERGÖTLANDS LÄN</t>
        </is>
      </c>
      <c r="E7667" t="inlineStr">
        <is>
          <t>LINKÖPING</t>
        </is>
      </c>
      <c r="G7667" t="n">
        <v>5.5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49671-2023</t>
        </is>
      </c>
      <c r="B7668" s="1" t="n">
        <v>45212</v>
      </c>
      <c r="C7668" s="1" t="n">
        <v>45710</v>
      </c>
      <c r="D7668" t="inlineStr">
        <is>
          <t>ÖSTERGÖTLANDS LÄN</t>
        </is>
      </c>
      <c r="E7668" t="inlineStr">
        <is>
          <t>BOXHOLM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49670-2023</t>
        </is>
      </c>
      <c r="B7669" s="1" t="n">
        <v>45212</v>
      </c>
      <c r="C7669" s="1" t="n">
        <v>45710</v>
      </c>
      <c r="D7669" t="inlineStr">
        <is>
          <t>ÖSTERGÖTLANDS LÄN</t>
        </is>
      </c>
      <c r="E7669" t="inlineStr">
        <is>
          <t>BOXHOLM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49907-2023</t>
        </is>
      </c>
      <c r="B7670" s="1" t="n">
        <v>45214</v>
      </c>
      <c r="C7670" s="1" t="n">
        <v>45710</v>
      </c>
      <c r="D7670" t="inlineStr">
        <is>
          <t>ÖSTERGÖTLANDS LÄN</t>
        </is>
      </c>
      <c r="E7670" t="inlineStr">
        <is>
          <t>FINSPÅNG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49904-2023</t>
        </is>
      </c>
      <c r="B7671" s="1" t="n">
        <v>45214</v>
      </c>
      <c r="C7671" s="1" t="n">
        <v>45710</v>
      </c>
      <c r="D7671" t="inlineStr">
        <is>
          <t>ÖSTERGÖTLANDS LÄN</t>
        </is>
      </c>
      <c r="E7671" t="inlineStr">
        <is>
          <t>FINSPÅNG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49908-2023</t>
        </is>
      </c>
      <c r="B7672" s="1" t="n">
        <v>45214</v>
      </c>
      <c r="C7672" s="1" t="n">
        <v>45710</v>
      </c>
      <c r="D7672" t="inlineStr">
        <is>
          <t>ÖSTERGÖTLANDS LÄN</t>
        </is>
      </c>
      <c r="E7672" t="inlineStr">
        <is>
          <t>SÖDERKÖPING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49905-2023</t>
        </is>
      </c>
      <c r="B7673" s="1" t="n">
        <v>45214</v>
      </c>
      <c r="C7673" s="1" t="n">
        <v>45710</v>
      </c>
      <c r="D7673" t="inlineStr">
        <is>
          <t>ÖSTERGÖTLANDS LÄN</t>
        </is>
      </c>
      <c r="E7673" t="inlineStr">
        <is>
          <t>FINSPÅNG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49906-2023</t>
        </is>
      </c>
      <c r="B7674" s="1" t="n">
        <v>45214</v>
      </c>
      <c r="C7674" s="1" t="n">
        <v>45710</v>
      </c>
      <c r="D7674" t="inlineStr">
        <is>
          <t>ÖSTERGÖTLANDS LÄN</t>
        </is>
      </c>
      <c r="E7674" t="inlineStr">
        <is>
          <t>SÖDERKÖPING</t>
        </is>
      </c>
      <c r="G7674" t="n">
        <v>3.2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51392-2023</t>
        </is>
      </c>
      <c r="B7675" s="1" t="n">
        <v>45214</v>
      </c>
      <c r="C7675" s="1" t="n">
        <v>45710</v>
      </c>
      <c r="D7675" t="inlineStr">
        <is>
          <t>ÖSTERGÖTLANDS LÄN</t>
        </is>
      </c>
      <c r="E7675" t="inlineStr">
        <is>
          <t>FINSPÅNG</t>
        </is>
      </c>
      <c r="G7675" t="n">
        <v>4.2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49971-2023</t>
        </is>
      </c>
      <c r="B7676" s="1" t="n">
        <v>45215</v>
      </c>
      <c r="C7676" s="1" t="n">
        <v>45710</v>
      </c>
      <c r="D7676" t="inlineStr">
        <is>
          <t>ÖSTERGÖTLANDS LÄN</t>
        </is>
      </c>
      <c r="E7676" t="inlineStr">
        <is>
          <t>MJÖLBY</t>
        </is>
      </c>
      <c r="G7676" t="n">
        <v>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50040-2023</t>
        </is>
      </c>
      <c r="B7677" s="1" t="n">
        <v>45215</v>
      </c>
      <c r="C7677" s="1" t="n">
        <v>45710</v>
      </c>
      <c r="D7677" t="inlineStr">
        <is>
          <t>ÖSTERGÖTLANDS LÄN</t>
        </is>
      </c>
      <c r="E7677" t="inlineStr">
        <is>
          <t>SÖDERKÖPING</t>
        </is>
      </c>
      <c r="F7677" t="inlineStr">
        <is>
          <t>Kyrkan</t>
        </is>
      </c>
      <c r="G7677" t="n">
        <v>6.1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49998-2023</t>
        </is>
      </c>
      <c r="B7678" s="1" t="n">
        <v>45215</v>
      </c>
      <c r="C7678" s="1" t="n">
        <v>45710</v>
      </c>
      <c r="D7678" t="inlineStr">
        <is>
          <t>ÖSTERGÖTLANDS LÄN</t>
        </is>
      </c>
      <c r="E7678" t="inlineStr">
        <is>
          <t>LINKÖPING</t>
        </is>
      </c>
      <c r="G7678" t="n">
        <v>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50050-2023</t>
        </is>
      </c>
      <c r="B7679" s="1" t="n">
        <v>45215</v>
      </c>
      <c r="C7679" s="1" t="n">
        <v>45710</v>
      </c>
      <c r="D7679" t="inlineStr">
        <is>
          <t>ÖSTERGÖTLANDS LÄN</t>
        </is>
      </c>
      <c r="E7679" t="inlineStr">
        <is>
          <t>SÖDERKÖPING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50092-2023</t>
        </is>
      </c>
      <c r="B7680" s="1" t="n">
        <v>45215</v>
      </c>
      <c r="C7680" s="1" t="n">
        <v>45710</v>
      </c>
      <c r="D7680" t="inlineStr">
        <is>
          <t>ÖSTERGÖTLANDS LÄN</t>
        </is>
      </c>
      <c r="E7680" t="inlineStr">
        <is>
          <t>NORRKÖPING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50114-2023</t>
        </is>
      </c>
      <c r="B7681" s="1" t="n">
        <v>45215</v>
      </c>
      <c r="C7681" s="1" t="n">
        <v>45710</v>
      </c>
      <c r="D7681" t="inlineStr">
        <is>
          <t>ÖSTERGÖTLANDS LÄN</t>
        </is>
      </c>
      <c r="E7681" t="inlineStr">
        <is>
          <t>NORRKÖPING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50123-2023</t>
        </is>
      </c>
      <c r="B7682" s="1" t="n">
        <v>45215</v>
      </c>
      <c r="C7682" s="1" t="n">
        <v>45710</v>
      </c>
      <c r="D7682" t="inlineStr">
        <is>
          <t>ÖSTERGÖTLANDS LÄN</t>
        </is>
      </c>
      <c r="E7682" t="inlineStr">
        <is>
          <t>VALDEMARSVIK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50137-2023</t>
        </is>
      </c>
      <c r="B7683" s="1" t="n">
        <v>45215</v>
      </c>
      <c r="C7683" s="1" t="n">
        <v>45710</v>
      </c>
      <c r="D7683" t="inlineStr">
        <is>
          <t>ÖSTERGÖTLANDS LÄN</t>
        </is>
      </c>
      <c r="E7683" t="inlineStr">
        <is>
          <t>MOTALA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50051-2023</t>
        </is>
      </c>
      <c r="B7684" s="1" t="n">
        <v>45215</v>
      </c>
      <c r="C7684" s="1" t="n">
        <v>45710</v>
      </c>
      <c r="D7684" t="inlineStr">
        <is>
          <t>ÖSTERGÖTLANDS LÄN</t>
        </is>
      </c>
      <c r="E7684" t="inlineStr">
        <is>
          <t>SÖDERKÖPING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50098-2023</t>
        </is>
      </c>
      <c r="B7685" s="1" t="n">
        <v>45215</v>
      </c>
      <c r="C7685" s="1" t="n">
        <v>45710</v>
      </c>
      <c r="D7685" t="inlineStr">
        <is>
          <t>ÖSTERGÖTLANDS LÄN</t>
        </is>
      </c>
      <c r="E7685" t="inlineStr">
        <is>
          <t>NORRKÖPING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50115-2023</t>
        </is>
      </c>
      <c r="B7686" s="1" t="n">
        <v>45215</v>
      </c>
      <c r="C7686" s="1" t="n">
        <v>45710</v>
      </c>
      <c r="D7686" t="inlineStr">
        <is>
          <t>ÖSTERGÖTLANDS LÄN</t>
        </is>
      </c>
      <c r="E7686" t="inlineStr">
        <is>
          <t>NORRKÖPING</t>
        </is>
      </c>
      <c r="G7686" t="n">
        <v>4.2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50119-2023</t>
        </is>
      </c>
      <c r="B7687" s="1" t="n">
        <v>45215</v>
      </c>
      <c r="C7687" s="1" t="n">
        <v>45710</v>
      </c>
      <c r="D7687" t="inlineStr">
        <is>
          <t>ÖSTERGÖTLANDS LÄN</t>
        </is>
      </c>
      <c r="E7687" t="inlineStr">
        <is>
          <t>NORRKÖPING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50124-2023</t>
        </is>
      </c>
      <c r="B7688" s="1" t="n">
        <v>45215</v>
      </c>
      <c r="C7688" s="1" t="n">
        <v>45710</v>
      </c>
      <c r="D7688" t="inlineStr">
        <is>
          <t>ÖSTERGÖTLANDS LÄN</t>
        </is>
      </c>
      <c r="E7688" t="inlineStr">
        <is>
          <t>NORRKÖPING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50148-2023</t>
        </is>
      </c>
      <c r="B7689" s="1" t="n">
        <v>45215</v>
      </c>
      <c r="C7689" s="1" t="n">
        <v>45710</v>
      </c>
      <c r="D7689" t="inlineStr">
        <is>
          <t>ÖSTERGÖTLANDS LÄN</t>
        </is>
      </c>
      <c r="E7689" t="inlineStr">
        <is>
          <t>VALDEMARSVIK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50163-2023</t>
        </is>
      </c>
      <c r="B7690" s="1" t="n">
        <v>45215</v>
      </c>
      <c r="C7690" s="1" t="n">
        <v>45710</v>
      </c>
      <c r="D7690" t="inlineStr">
        <is>
          <t>ÖSTERGÖTLANDS LÄN</t>
        </is>
      </c>
      <c r="E7690" t="inlineStr">
        <is>
          <t>MOTALA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50041-2023</t>
        </is>
      </c>
      <c r="B7691" s="1" t="n">
        <v>45215</v>
      </c>
      <c r="C7691" s="1" t="n">
        <v>45710</v>
      </c>
      <c r="D7691" t="inlineStr">
        <is>
          <t>ÖSTERGÖTLANDS LÄN</t>
        </is>
      </c>
      <c r="E7691" t="inlineStr">
        <is>
          <t>VALDEMARSVIK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50117-2023</t>
        </is>
      </c>
      <c r="B7692" s="1" t="n">
        <v>45215</v>
      </c>
      <c r="C7692" s="1" t="n">
        <v>45710</v>
      </c>
      <c r="D7692" t="inlineStr">
        <is>
          <t>ÖSTERGÖTLANDS LÄN</t>
        </is>
      </c>
      <c r="E7692" t="inlineStr">
        <is>
          <t>NORRKÖPING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50126-2023</t>
        </is>
      </c>
      <c r="B7693" s="1" t="n">
        <v>45215</v>
      </c>
      <c r="C7693" s="1" t="n">
        <v>45710</v>
      </c>
      <c r="D7693" t="inlineStr">
        <is>
          <t>ÖSTERGÖTLANDS LÄN</t>
        </is>
      </c>
      <c r="E7693" t="inlineStr">
        <is>
          <t>MOTALA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50174-2023</t>
        </is>
      </c>
      <c r="B7694" s="1" t="n">
        <v>45215</v>
      </c>
      <c r="C7694" s="1" t="n">
        <v>45710</v>
      </c>
      <c r="D7694" t="inlineStr">
        <is>
          <t>ÖSTERGÖTLANDS LÄN</t>
        </is>
      </c>
      <c r="E7694" t="inlineStr">
        <is>
          <t>MOTALA</t>
        </is>
      </c>
      <c r="G7694" t="n">
        <v>1.7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50180-2023</t>
        </is>
      </c>
      <c r="B7695" s="1" t="n">
        <v>45215</v>
      </c>
      <c r="C7695" s="1" t="n">
        <v>45710</v>
      </c>
      <c r="D7695" t="inlineStr">
        <is>
          <t>ÖSTERGÖTLANDS LÄN</t>
        </is>
      </c>
      <c r="E7695" t="inlineStr">
        <is>
          <t>MOTALA</t>
        </is>
      </c>
      <c r="F7695" t="inlineStr">
        <is>
          <t>Sveaskog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50104-2023</t>
        </is>
      </c>
      <c r="B7696" s="1" t="n">
        <v>45215</v>
      </c>
      <c r="C7696" s="1" t="n">
        <v>45710</v>
      </c>
      <c r="D7696" t="inlineStr">
        <is>
          <t>ÖSTERGÖTLANDS LÄN</t>
        </is>
      </c>
      <c r="E7696" t="inlineStr">
        <is>
          <t>KINDA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50112-2023</t>
        </is>
      </c>
      <c r="B7697" s="1" t="n">
        <v>45215</v>
      </c>
      <c r="C7697" s="1" t="n">
        <v>45710</v>
      </c>
      <c r="D7697" t="inlineStr">
        <is>
          <t>ÖSTERGÖTLANDS LÄN</t>
        </is>
      </c>
      <c r="E7697" t="inlineStr">
        <is>
          <t>NORRKÖPING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50135-2023</t>
        </is>
      </c>
      <c r="B7698" s="1" t="n">
        <v>45215</v>
      </c>
      <c r="C7698" s="1" t="n">
        <v>45710</v>
      </c>
      <c r="D7698" t="inlineStr">
        <is>
          <t>ÖSTERGÖTLANDS LÄN</t>
        </is>
      </c>
      <c r="E7698" t="inlineStr">
        <is>
          <t>MOTALA</t>
        </is>
      </c>
      <c r="G7698" t="n">
        <v>9.5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50177-2023</t>
        </is>
      </c>
      <c r="B7699" s="1" t="n">
        <v>45215</v>
      </c>
      <c r="C7699" s="1" t="n">
        <v>45710</v>
      </c>
      <c r="D7699" t="inlineStr">
        <is>
          <t>ÖSTERGÖTLANDS LÄN</t>
        </is>
      </c>
      <c r="E7699" t="inlineStr">
        <is>
          <t>MOTALA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50192-2023</t>
        </is>
      </c>
      <c r="B7700" s="1" t="n">
        <v>45215</v>
      </c>
      <c r="C7700" s="1" t="n">
        <v>45710</v>
      </c>
      <c r="D7700" t="inlineStr">
        <is>
          <t>ÖSTERGÖTLANDS LÄN</t>
        </is>
      </c>
      <c r="E7700" t="inlineStr">
        <is>
          <t>SÖDERKÖPING</t>
        </is>
      </c>
      <c r="F7700" t="inlineStr">
        <is>
          <t>Holmen skog AB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50277-2023</t>
        </is>
      </c>
      <c r="B7701" s="1" t="n">
        <v>45216</v>
      </c>
      <c r="C7701" s="1" t="n">
        <v>45710</v>
      </c>
      <c r="D7701" t="inlineStr">
        <is>
          <t>ÖSTERGÖTLANDS LÄN</t>
        </is>
      </c>
      <c r="E7701" t="inlineStr">
        <is>
          <t>NORRKÖPING</t>
        </is>
      </c>
      <c r="G7701" t="n">
        <v>7.9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50458-2023</t>
        </is>
      </c>
      <c r="B7702" s="1" t="n">
        <v>45216</v>
      </c>
      <c r="C7702" s="1" t="n">
        <v>45710</v>
      </c>
      <c r="D7702" t="inlineStr">
        <is>
          <t>ÖSTERGÖTLANDS LÄN</t>
        </is>
      </c>
      <c r="E7702" t="inlineStr">
        <is>
          <t>MOTALA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50339-2023</t>
        </is>
      </c>
      <c r="B7703" s="1" t="n">
        <v>45216</v>
      </c>
      <c r="C7703" s="1" t="n">
        <v>45710</v>
      </c>
      <c r="D7703" t="inlineStr">
        <is>
          <t>ÖSTERGÖTLANDS LÄN</t>
        </is>
      </c>
      <c r="E7703" t="inlineStr">
        <is>
          <t>MJÖLBY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50245-2023</t>
        </is>
      </c>
      <c r="B7704" s="1" t="n">
        <v>45216</v>
      </c>
      <c r="C7704" s="1" t="n">
        <v>45710</v>
      </c>
      <c r="D7704" t="inlineStr">
        <is>
          <t>ÖSTERGÖTLANDS LÄN</t>
        </is>
      </c>
      <c r="E7704" t="inlineStr">
        <is>
          <t>LINKÖPING</t>
        </is>
      </c>
      <c r="G7704" t="n">
        <v>3.3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50461-2023</t>
        </is>
      </c>
      <c r="B7705" s="1" t="n">
        <v>45216</v>
      </c>
      <c r="C7705" s="1" t="n">
        <v>45710</v>
      </c>
      <c r="D7705" t="inlineStr">
        <is>
          <t>ÖSTERGÖTLANDS LÄN</t>
        </is>
      </c>
      <c r="E7705" t="inlineStr">
        <is>
          <t>FINSPÅNG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50453-2023</t>
        </is>
      </c>
      <c r="B7706" s="1" t="n">
        <v>45216</v>
      </c>
      <c r="C7706" s="1" t="n">
        <v>45710</v>
      </c>
      <c r="D7706" t="inlineStr">
        <is>
          <t>ÖSTERGÖTLANDS LÄN</t>
        </is>
      </c>
      <c r="E7706" t="inlineStr">
        <is>
          <t>MOTALA</t>
        </is>
      </c>
      <c r="G7706" t="n">
        <v>5.2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51979-2023</t>
        </is>
      </c>
      <c r="B7707" s="1" t="n">
        <v>45216</v>
      </c>
      <c r="C7707" s="1" t="n">
        <v>45710</v>
      </c>
      <c r="D7707" t="inlineStr">
        <is>
          <t>ÖSTERGÖTLANDS LÄN</t>
        </is>
      </c>
      <c r="E7707" t="inlineStr">
        <is>
          <t>KINDA</t>
        </is>
      </c>
      <c r="G7707" t="n">
        <v>21.8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51513-2023</t>
        </is>
      </c>
      <c r="B7708" s="1" t="n">
        <v>45216</v>
      </c>
      <c r="C7708" s="1" t="n">
        <v>45710</v>
      </c>
      <c r="D7708" t="inlineStr">
        <is>
          <t>ÖSTERGÖTLANDS LÄN</t>
        </is>
      </c>
      <c r="E7708" t="inlineStr">
        <is>
          <t>KINDA</t>
        </is>
      </c>
      <c r="G7708" t="n">
        <v>10.6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50459-2023</t>
        </is>
      </c>
      <c r="B7709" s="1" t="n">
        <v>45216</v>
      </c>
      <c r="C7709" s="1" t="n">
        <v>45710</v>
      </c>
      <c r="D7709" t="inlineStr">
        <is>
          <t>ÖSTERGÖTLANDS LÄN</t>
        </is>
      </c>
      <c r="E7709" t="inlineStr">
        <is>
          <t>MOTALA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50423-2023</t>
        </is>
      </c>
      <c r="B7710" s="1" t="n">
        <v>45216</v>
      </c>
      <c r="C7710" s="1" t="n">
        <v>45710</v>
      </c>
      <c r="D7710" t="inlineStr">
        <is>
          <t>ÖSTERGÖTLANDS LÄN</t>
        </is>
      </c>
      <c r="E7710" t="inlineStr">
        <is>
          <t>FINSPÅNG</t>
        </is>
      </c>
      <c r="F7710" t="inlineStr">
        <is>
          <t>Övriga Aktiebolag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52074-2023</t>
        </is>
      </c>
      <c r="B7711" s="1" t="n">
        <v>45216</v>
      </c>
      <c r="C7711" s="1" t="n">
        <v>45710</v>
      </c>
      <c r="D7711" t="inlineStr">
        <is>
          <t>ÖSTERGÖTLANDS LÄN</t>
        </is>
      </c>
      <c r="E7711" t="inlineStr">
        <is>
          <t>YDRE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50308-2023</t>
        </is>
      </c>
      <c r="B7712" s="1" t="n">
        <v>45216</v>
      </c>
      <c r="C7712" s="1" t="n">
        <v>45710</v>
      </c>
      <c r="D7712" t="inlineStr">
        <is>
          <t>ÖSTERGÖTLANDS LÄN</t>
        </is>
      </c>
      <c r="E7712" t="inlineStr">
        <is>
          <t>LINKÖPING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52076-2023</t>
        </is>
      </c>
      <c r="B7713" s="1" t="n">
        <v>45216</v>
      </c>
      <c r="C7713" s="1" t="n">
        <v>45710</v>
      </c>
      <c r="D7713" t="inlineStr">
        <is>
          <t>ÖSTERGÖTLANDS LÄN</t>
        </is>
      </c>
      <c r="E7713" t="inlineStr">
        <is>
          <t>YDRE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50460-2023</t>
        </is>
      </c>
      <c r="B7714" s="1" t="n">
        <v>45216</v>
      </c>
      <c r="C7714" s="1" t="n">
        <v>45710</v>
      </c>
      <c r="D7714" t="inlineStr">
        <is>
          <t>ÖSTERGÖTLANDS LÄN</t>
        </is>
      </c>
      <c r="E7714" t="inlineStr">
        <is>
          <t>MOTALA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50456-2023</t>
        </is>
      </c>
      <c r="B7715" s="1" t="n">
        <v>45216</v>
      </c>
      <c r="C7715" s="1" t="n">
        <v>45710</v>
      </c>
      <c r="D7715" t="inlineStr">
        <is>
          <t>ÖSTERGÖTLANDS LÄN</t>
        </is>
      </c>
      <c r="E7715" t="inlineStr">
        <is>
          <t>MOTALA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50536-2023</t>
        </is>
      </c>
      <c r="B7716" s="1" t="n">
        <v>45217</v>
      </c>
      <c r="C7716" s="1" t="n">
        <v>45710</v>
      </c>
      <c r="D7716" t="inlineStr">
        <is>
          <t>ÖSTERGÖTLANDS LÄN</t>
        </is>
      </c>
      <c r="E7716" t="inlineStr">
        <is>
          <t>MOTALA</t>
        </is>
      </c>
      <c r="F7716" t="inlineStr">
        <is>
          <t>Sveaskog</t>
        </is>
      </c>
      <c r="G7716" t="n">
        <v>6.3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50534-2023</t>
        </is>
      </c>
      <c r="B7717" s="1" t="n">
        <v>45217</v>
      </c>
      <c r="C7717" s="1" t="n">
        <v>45710</v>
      </c>
      <c r="D7717" t="inlineStr">
        <is>
          <t>ÖSTERGÖTLANDS LÄN</t>
        </is>
      </c>
      <c r="E7717" t="inlineStr">
        <is>
          <t>MOTALA</t>
        </is>
      </c>
      <c r="F7717" t="inlineStr">
        <is>
          <t>Sveaskog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50755-2023</t>
        </is>
      </c>
      <c r="B7718" s="1" t="n">
        <v>45217</v>
      </c>
      <c r="C7718" s="1" t="n">
        <v>45710</v>
      </c>
      <c r="D7718" t="inlineStr">
        <is>
          <t>ÖSTERGÖTLANDS LÄN</t>
        </is>
      </c>
      <c r="E7718" t="inlineStr">
        <is>
          <t>MOTALA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50799-2023</t>
        </is>
      </c>
      <c r="B7719" s="1" t="n">
        <v>45217</v>
      </c>
      <c r="C7719" s="1" t="n">
        <v>45710</v>
      </c>
      <c r="D7719" t="inlineStr">
        <is>
          <t>ÖSTERGÖTLANDS LÄN</t>
        </is>
      </c>
      <c r="E7719" t="inlineStr">
        <is>
          <t>ÅTVIDABERG</t>
        </is>
      </c>
      <c r="G7719" t="n">
        <v>2.4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50810-2023</t>
        </is>
      </c>
      <c r="B7720" s="1" t="n">
        <v>45217</v>
      </c>
      <c r="C7720" s="1" t="n">
        <v>45710</v>
      </c>
      <c r="D7720" t="inlineStr">
        <is>
          <t>ÖSTERGÖTLANDS LÄN</t>
        </is>
      </c>
      <c r="E7720" t="inlineStr">
        <is>
          <t>ÅTVIDABERG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50818-2023</t>
        </is>
      </c>
      <c r="B7721" s="1" t="n">
        <v>45217</v>
      </c>
      <c r="C7721" s="1" t="n">
        <v>45710</v>
      </c>
      <c r="D7721" t="inlineStr">
        <is>
          <t>ÖSTERGÖTLANDS LÄN</t>
        </is>
      </c>
      <c r="E7721" t="inlineStr">
        <is>
          <t>ÖDESHÖG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50668-2023</t>
        </is>
      </c>
      <c r="B7722" s="1" t="n">
        <v>45217</v>
      </c>
      <c r="C7722" s="1" t="n">
        <v>45710</v>
      </c>
      <c r="D7722" t="inlineStr">
        <is>
          <t>ÖSTERGÖTLANDS LÄN</t>
        </is>
      </c>
      <c r="E7722" t="inlineStr">
        <is>
          <t>MOTALA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50678-2023</t>
        </is>
      </c>
      <c r="B7723" s="1" t="n">
        <v>45217</v>
      </c>
      <c r="C7723" s="1" t="n">
        <v>45710</v>
      </c>
      <c r="D7723" t="inlineStr">
        <is>
          <t>ÖSTERGÖTLANDS LÄN</t>
        </is>
      </c>
      <c r="E7723" t="inlineStr">
        <is>
          <t>NORRKÖPING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50743-2023</t>
        </is>
      </c>
      <c r="B7724" s="1" t="n">
        <v>45217</v>
      </c>
      <c r="C7724" s="1" t="n">
        <v>45710</v>
      </c>
      <c r="D7724" t="inlineStr">
        <is>
          <t>ÖSTERGÖTLANDS LÄN</t>
        </is>
      </c>
      <c r="E7724" t="inlineStr">
        <is>
          <t>LINKÖPING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50535-2023</t>
        </is>
      </c>
      <c r="B7725" s="1" t="n">
        <v>45217</v>
      </c>
      <c r="C7725" s="1" t="n">
        <v>45710</v>
      </c>
      <c r="D7725" t="inlineStr">
        <is>
          <t>ÖSTERGÖTLANDS LÄN</t>
        </is>
      </c>
      <c r="E7725" t="inlineStr">
        <is>
          <t>MOTALA</t>
        </is>
      </c>
      <c r="F7725" t="inlineStr">
        <is>
          <t>Sveaskog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50570-2023</t>
        </is>
      </c>
      <c r="B7726" s="1" t="n">
        <v>45217</v>
      </c>
      <c r="C7726" s="1" t="n">
        <v>45710</v>
      </c>
      <c r="D7726" t="inlineStr">
        <is>
          <t>ÖSTERGÖTLANDS LÄN</t>
        </is>
      </c>
      <c r="E7726" t="inlineStr">
        <is>
          <t>MJÖLBY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50671-2023</t>
        </is>
      </c>
      <c r="B7727" s="1" t="n">
        <v>45217</v>
      </c>
      <c r="C7727" s="1" t="n">
        <v>45710</v>
      </c>
      <c r="D7727" t="inlineStr">
        <is>
          <t>ÖSTERGÖTLANDS LÄN</t>
        </is>
      </c>
      <c r="E7727" t="inlineStr">
        <is>
          <t>MOTALA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50790-2023</t>
        </is>
      </c>
      <c r="B7728" s="1" t="n">
        <v>45217</v>
      </c>
      <c r="C7728" s="1" t="n">
        <v>45710</v>
      </c>
      <c r="D7728" t="inlineStr">
        <is>
          <t>ÖSTERGÖTLANDS LÄN</t>
        </is>
      </c>
      <c r="E7728" t="inlineStr">
        <is>
          <t>LINKÖPING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50800-2023</t>
        </is>
      </c>
      <c r="B7729" s="1" t="n">
        <v>45217</v>
      </c>
      <c r="C7729" s="1" t="n">
        <v>45710</v>
      </c>
      <c r="D7729" t="inlineStr">
        <is>
          <t>ÖSTERGÖTLANDS LÄN</t>
        </is>
      </c>
      <c r="E7729" t="inlineStr">
        <is>
          <t>YDRE</t>
        </is>
      </c>
      <c r="F7729" t="inlineStr">
        <is>
          <t>Övriga Aktiebolag</t>
        </is>
      </c>
      <c r="G7729" t="n">
        <v>4.1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50850-2023</t>
        </is>
      </c>
      <c r="B7730" s="1" t="n">
        <v>45217</v>
      </c>
      <c r="C7730" s="1" t="n">
        <v>45710</v>
      </c>
      <c r="D7730" t="inlineStr">
        <is>
          <t>ÖSTERGÖTLANDS LÄN</t>
        </is>
      </c>
      <c r="E7730" t="inlineStr">
        <is>
          <t>FINSPÅNG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52220-2023</t>
        </is>
      </c>
      <c r="B7731" s="1" t="n">
        <v>45217</v>
      </c>
      <c r="C7731" s="1" t="n">
        <v>45710</v>
      </c>
      <c r="D7731" t="inlineStr">
        <is>
          <t>ÖSTERGÖTLANDS LÄN</t>
        </is>
      </c>
      <c r="E7731" t="inlineStr">
        <is>
          <t>LINKÖPING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50851-2023</t>
        </is>
      </c>
      <c r="B7732" s="1" t="n">
        <v>45217</v>
      </c>
      <c r="C7732" s="1" t="n">
        <v>45710</v>
      </c>
      <c r="D7732" t="inlineStr">
        <is>
          <t>ÖSTERGÖTLANDS LÄN</t>
        </is>
      </c>
      <c r="E7732" t="inlineStr">
        <is>
          <t>FINSPÅNG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52225-2023</t>
        </is>
      </c>
      <c r="B7733" s="1" t="n">
        <v>45217</v>
      </c>
      <c r="C7733" s="1" t="n">
        <v>45710</v>
      </c>
      <c r="D7733" t="inlineStr">
        <is>
          <t>ÖSTERGÖTLANDS LÄN</t>
        </is>
      </c>
      <c r="E7733" t="inlineStr">
        <is>
          <t>LINKÖPING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50875-2023</t>
        </is>
      </c>
      <c r="B7734" s="1" t="n">
        <v>45218</v>
      </c>
      <c r="C7734" s="1" t="n">
        <v>45710</v>
      </c>
      <c r="D7734" t="inlineStr">
        <is>
          <t>ÖSTERGÖTLANDS LÄN</t>
        </is>
      </c>
      <c r="E7734" t="inlineStr">
        <is>
          <t>SÖDERKÖPING</t>
        </is>
      </c>
      <c r="G7734" t="n">
        <v>3.7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50865-2023</t>
        </is>
      </c>
      <c r="B7735" s="1" t="n">
        <v>45218</v>
      </c>
      <c r="C7735" s="1" t="n">
        <v>45710</v>
      </c>
      <c r="D7735" t="inlineStr">
        <is>
          <t>ÖSTERGÖTLANDS LÄN</t>
        </is>
      </c>
      <c r="E7735" t="inlineStr">
        <is>
          <t>SÖDERKÖPING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50873-2023</t>
        </is>
      </c>
      <c r="B7736" s="1" t="n">
        <v>45218</v>
      </c>
      <c r="C7736" s="1" t="n">
        <v>45710</v>
      </c>
      <c r="D7736" t="inlineStr">
        <is>
          <t>ÖSTERGÖTLANDS LÄN</t>
        </is>
      </c>
      <c r="E7736" t="inlineStr">
        <is>
          <t>SÖDERKÖPING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51099-2023</t>
        </is>
      </c>
      <c r="B7737" s="1" t="n">
        <v>45218</v>
      </c>
      <c r="C7737" s="1" t="n">
        <v>45710</v>
      </c>
      <c r="D7737" t="inlineStr">
        <is>
          <t>ÖSTERGÖTLANDS LÄN</t>
        </is>
      </c>
      <c r="E7737" t="inlineStr">
        <is>
          <t>YDRE</t>
        </is>
      </c>
      <c r="G7737" t="n">
        <v>2.3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50866-2023</t>
        </is>
      </c>
      <c r="B7738" s="1" t="n">
        <v>45218</v>
      </c>
      <c r="C7738" s="1" t="n">
        <v>45710</v>
      </c>
      <c r="D7738" t="inlineStr">
        <is>
          <t>ÖSTERGÖTLANDS LÄN</t>
        </is>
      </c>
      <c r="E7738" t="inlineStr">
        <is>
          <t>SÖDERKÖPING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50870-2023</t>
        </is>
      </c>
      <c r="B7739" s="1" t="n">
        <v>45218</v>
      </c>
      <c r="C7739" s="1" t="n">
        <v>45710</v>
      </c>
      <c r="D7739" t="inlineStr">
        <is>
          <t>ÖSTERGÖTLANDS LÄN</t>
        </is>
      </c>
      <c r="E7739" t="inlineStr">
        <is>
          <t>SÖDERKÖPING</t>
        </is>
      </c>
      <c r="G7739" t="n">
        <v>2.6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50977-2023</t>
        </is>
      </c>
      <c r="B7740" s="1" t="n">
        <v>45218</v>
      </c>
      <c r="C7740" s="1" t="n">
        <v>45710</v>
      </c>
      <c r="D7740" t="inlineStr">
        <is>
          <t>ÖSTERGÖTLANDS LÄN</t>
        </is>
      </c>
      <c r="E7740" t="inlineStr">
        <is>
          <t>YDRE</t>
        </is>
      </c>
      <c r="G7740" t="n">
        <v>3.1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50979-2023</t>
        </is>
      </c>
      <c r="B7741" s="1" t="n">
        <v>45218</v>
      </c>
      <c r="C7741" s="1" t="n">
        <v>45710</v>
      </c>
      <c r="D7741" t="inlineStr">
        <is>
          <t>ÖSTERGÖTLANDS LÄN</t>
        </is>
      </c>
      <c r="E7741" t="inlineStr">
        <is>
          <t>YDRE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50992-2023</t>
        </is>
      </c>
      <c r="B7742" s="1" t="n">
        <v>45218</v>
      </c>
      <c r="C7742" s="1" t="n">
        <v>45710</v>
      </c>
      <c r="D7742" t="inlineStr">
        <is>
          <t>ÖSTERGÖTLANDS LÄN</t>
        </is>
      </c>
      <c r="E7742" t="inlineStr">
        <is>
          <t>VALDEMARSVIK</t>
        </is>
      </c>
      <c r="F7742" t="inlineStr">
        <is>
          <t>Holmen skog AB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51072-2023</t>
        </is>
      </c>
      <c r="B7743" s="1" t="n">
        <v>45218</v>
      </c>
      <c r="C7743" s="1" t="n">
        <v>45710</v>
      </c>
      <c r="D7743" t="inlineStr">
        <is>
          <t>ÖSTERGÖTLANDS LÄN</t>
        </is>
      </c>
      <c r="E7743" t="inlineStr">
        <is>
          <t>NORRKÖPING</t>
        </is>
      </c>
      <c r="F7743" t="inlineStr">
        <is>
          <t>Holmen skog AB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52560-2023</t>
        </is>
      </c>
      <c r="B7744" s="1" t="n">
        <v>45218</v>
      </c>
      <c r="C7744" s="1" t="n">
        <v>45710</v>
      </c>
      <c r="D7744" t="inlineStr">
        <is>
          <t>ÖSTERGÖTLANDS LÄN</t>
        </is>
      </c>
      <c r="E7744" t="inlineStr">
        <is>
          <t>SÖDERKÖPING</t>
        </is>
      </c>
      <c r="G7744" t="n">
        <v>11.1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51128-2023</t>
        </is>
      </c>
      <c r="B7745" s="1" t="n">
        <v>45219</v>
      </c>
      <c r="C7745" s="1" t="n">
        <v>45710</v>
      </c>
      <c r="D7745" t="inlineStr">
        <is>
          <t>ÖSTERGÖTLANDS LÄN</t>
        </is>
      </c>
      <c r="E7745" t="inlineStr">
        <is>
          <t>NORRKÖPING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51268-2023</t>
        </is>
      </c>
      <c r="B7746" s="1" t="n">
        <v>45219</v>
      </c>
      <c r="C7746" s="1" t="n">
        <v>45710</v>
      </c>
      <c r="D7746" t="inlineStr">
        <is>
          <t>ÖSTERGÖTLANDS LÄN</t>
        </is>
      </c>
      <c r="E7746" t="inlineStr">
        <is>
          <t>BOXHOLM</t>
        </is>
      </c>
      <c r="F7746" t="inlineStr">
        <is>
          <t>Övriga Aktiebolag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52656-2023</t>
        </is>
      </c>
      <c r="B7747" s="1" t="n">
        <v>45219</v>
      </c>
      <c r="C7747" s="1" t="n">
        <v>45710</v>
      </c>
      <c r="D7747" t="inlineStr">
        <is>
          <t>ÖSTERGÖTLANDS LÄN</t>
        </is>
      </c>
      <c r="E7747" t="inlineStr">
        <is>
          <t>KINDA</t>
        </is>
      </c>
      <c r="G7747" t="n">
        <v>7.6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52796-2023</t>
        </is>
      </c>
      <c r="B7748" s="1" t="n">
        <v>45219</v>
      </c>
      <c r="C7748" s="1" t="n">
        <v>45710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statliga verk och myndigheter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52863-2023</t>
        </is>
      </c>
      <c r="B7749" s="1" t="n">
        <v>45219</v>
      </c>
      <c r="C7749" s="1" t="n">
        <v>45710</v>
      </c>
      <c r="D7749" t="inlineStr">
        <is>
          <t>ÖSTERGÖTLANDS LÄN</t>
        </is>
      </c>
      <c r="E7749" t="inlineStr">
        <is>
          <t>KINDA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52866-2023</t>
        </is>
      </c>
      <c r="B7750" s="1" t="n">
        <v>45219</v>
      </c>
      <c r="C7750" s="1" t="n">
        <v>45710</v>
      </c>
      <c r="D7750" t="inlineStr">
        <is>
          <t>ÖSTERGÖTLANDS LÄN</t>
        </is>
      </c>
      <c r="E7750" t="inlineStr">
        <is>
          <t>KINDA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51405-2023</t>
        </is>
      </c>
      <c r="B7751" s="1" t="n">
        <v>45219</v>
      </c>
      <c r="C7751" s="1" t="n">
        <v>45710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51121-2023</t>
        </is>
      </c>
      <c r="B7752" s="1" t="n">
        <v>45219</v>
      </c>
      <c r="C7752" s="1" t="n">
        <v>45710</v>
      </c>
      <c r="D7752" t="inlineStr">
        <is>
          <t>ÖSTERGÖTLANDS LÄN</t>
        </is>
      </c>
      <c r="E7752" t="inlineStr">
        <is>
          <t>NORRKÖPING</t>
        </is>
      </c>
      <c r="G7752" t="n">
        <v>4.5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51125-2023</t>
        </is>
      </c>
      <c r="B7753" s="1" t="n">
        <v>45219</v>
      </c>
      <c r="C7753" s="1" t="n">
        <v>45710</v>
      </c>
      <c r="D7753" t="inlineStr">
        <is>
          <t>ÖSTERGÖTLANDS LÄN</t>
        </is>
      </c>
      <c r="E7753" t="inlineStr">
        <is>
          <t>NORRKÖPING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51250-2023</t>
        </is>
      </c>
      <c r="B7754" s="1" t="n">
        <v>45219</v>
      </c>
      <c r="C7754" s="1" t="n">
        <v>45710</v>
      </c>
      <c r="D7754" t="inlineStr">
        <is>
          <t>ÖSTERGÖTLANDS LÄN</t>
        </is>
      </c>
      <c r="E7754" t="inlineStr">
        <is>
          <t>NORRKÖPING</t>
        </is>
      </c>
      <c r="F7754" t="inlineStr">
        <is>
          <t>Naturvårdsverket</t>
        </is>
      </c>
      <c r="G7754" t="n">
        <v>6.1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51358-2023</t>
        </is>
      </c>
      <c r="B7755" s="1" t="n">
        <v>45219</v>
      </c>
      <c r="C7755" s="1" t="n">
        <v>45710</v>
      </c>
      <c r="D7755" t="inlineStr">
        <is>
          <t>ÖSTERGÖTLANDS LÄN</t>
        </is>
      </c>
      <c r="E7755" t="inlineStr">
        <is>
          <t>NORRKÖPING</t>
        </is>
      </c>
      <c r="F7755" t="inlineStr">
        <is>
          <t>Naturvårdsverket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52659-2023</t>
        </is>
      </c>
      <c r="B7756" s="1" t="n">
        <v>45219</v>
      </c>
      <c r="C7756" s="1" t="n">
        <v>45710</v>
      </c>
      <c r="D7756" t="inlineStr">
        <is>
          <t>ÖSTERGÖTLANDS LÄN</t>
        </is>
      </c>
      <c r="E7756" t="inlineStr">
        <is>
          <t>KINDA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52861-2023</t>
        </is>
      </c>
      <c r="B7757" s="1" t="n">
        <v>45219</v>
      </c>
      <c r="C7757" s="1" t="n">
        <v>45710</v>
      </c>
      <c r="D7757" t="inlineStr">
        <is>
          <t>ÖSTERGÖTLANDS LÄN</t>
        </is>
      </c>
      <c r="E7757" t="inlineStr">
        <is>
          <t>KINDA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51124-2023</t>
        </is>
      </c>
      <c r="B7758" s="1" t="n">
        <v>45219</v>
      </c>
      <c r="C7758" s="1" t="n">
        <v>45710</v>
      </c>
      <c r="D7758" t="inlineStr">
        <is>
          <t>ÖSTERGÖTLANDS LÄN</t>
        </is>
      </c>
      <c r="E7758" t="inlineStr">
        <is>
          <t>NORRKÖPING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51393-2023</t>
        </is>
      </c>
      <c r="B7759" s="1" t="n">
        <v>45219</v>
      </c>
      <c r="C7759" s="1" t="n">
        <v>45710</v>
      </c>
      <c r="D7759" t="inlineStr">
        <is>
          <t>ÖSTERGÖTLANDS LÄN</t>
        </is>
      </c>
      <c r="E7759" t="inlineStr">
        <is>
          <t>LINKÖPING</t>
        </is>
      </c>
      <c r="F7759" t="inlineStr">
        <is>
          <t>Övriga Aktiebolag</t>
        </is>
      </c>
      <c r="G7759" t="n">
        <v>5.8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51449-2023</t>
        </is>
      </c>
      <c r="B7760" s="1" t="n">
        <v>45220</v>
      </c>
      <c r="C7760" s="1" t="n">
        <v>45710</v>
      </c>
      <c r="D7760" t="inlineStr">
        <is>
          <t>ÖSTERGÖTLANDS LÄN</t>
        </is>
      </c>
      <c r="E7760" t="inlineStr">
        <is>
          <t>BOXHOLM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51447-2023</t>
        </is>
      </c>
      <c r="B7761" s="1" t="n">
        <v>45220</v>
      </c>
      <c r="C7761" s="1" t="n">
        <v>45710</v>
      </c>
      <c r="D7761" t="inlineStr">
        <is>
          <t>ÖSTERGÖTLANDS LÄN</t>
        </is>
      </c>
      <c r="E7761" t="inlineStr">
        <is>
          <t>BOXHOLM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51448-2023</t>
        </is>
      </c>
      <c r="B7762" s="1" t="n">
        <v>45220</v>
      </c>
      <c r="C7762" s="1" t="n">
        <v>45710</v>
      </c>
      <c r="D7762" t="inlineStr">
        <is>
          <t>ÖSTERGÖTLANDS LÄN</t>
        </is>
      </c>
      <c r="E7762" t="inlineStr">
        <is>
          <t>BOXHOLM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51475-2023</t>
        </is>
      </c>
      <c r="B7763" s="1" t="n">
        <v>45221</v>
      </c>
      <c r="C7763" s="1" t="n">
        <v>45710</v>
      </c>
      <c r="D7763" t="inlineStr">
        <is>
          <t>ÖSTERGÖTLANDS LÄN</t>
        </is>
      </c>
      <c r="E7763" t="inlineStr">
        <is>
          <t>MJÖLBY</t>
        </is>
      </c>
      <c r="G7763" t="n">
        <v>2.7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51484-2023</t>
        </is>
      </c>
      <c r="B7764" s="1" t="n">
        <v>45222</v>
      </c>
      <c r="C7764" s="1" t="n">
        <v>45710</v>
      </c>
      <c r="D7764" t="inlineStr">
        <is>
          <t>ÖSTERGÖTLANDS LÄN</t>
        </is>
      </c>
      <c r="E7764" t="inlineStr">
        <is>
          <t>LINKÖPING</t>
        </is>
      </c>
      <c r="F7764" t="inlineStr">
        <is>
          <t>Övriga Aktiebolag</t>
        </is>
      </c>
      <c r="G7764" t="n">
        <v>7.7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51551-2023</t>
        </is>
      </c>
      <c r="B7765" s="1" t="n">
        <v>45222</v>
      </c>
      <c r="C7765" s="1" t="n">
        <v>45710</v>
      </c>
      <c r="D7765" t="inlineStr">
        <is>
          <t>ÖSTERGÖTLANDS LÄN</t>
        </is>
      </c>
      <c r="E7765" t="inlineStr">
        <is>
          <t>BOXHOLM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51558-2023</t>
        </is>
      </c>
      <c r="B7766" s="1" t="n">
        <v>45222</v>
      </c>
      <c r="C7766" s="1" t="n">
        <v>45710</v>
      </c>
      <c r="D7766" t="inlineStr">
        <is>
          <t>ÖSTERGÖTLANDS LÄN</t>
        </is>
      </c>
      <c r="E7766" t="inlineStr">
        <is>
          <t>BOXHOLM</t>
        </is>
      </c>
      <c r="G7766" t="n">
        <v>5.1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51763-2023</t>
        </is>
      </c>
      <c r="B7767" s="1" t="n">
        <v>45222</v>
      </c>
      <c r="C7767" s="1" t="n">
        <v>45710</v>
      </c>
      <c r="D7767" t="inlineStr">
        <is>
          <t>ÖSTERGÖTLANDS LÄN</t>
        </is>
      </c>
      <c r="E7767" t="inlineStr">
        <is>
          <t>BOXHOLM</t>
        </is>
      </c>
      <c r="G7767" t="n">
        <v>1.9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51520-2023</t>
        </is>
      </c>
      <c r="B7768" s="1" t="n">
        <v>45222</v>
      </c>
      <c r="C7768" s="1" t="n">
        <v>45710</v>
      </c>
      <c r="D7768" t="inlineStr">
        <is>
          <t>ÖSTERGÖTLANDS LÄN</t>
        </is>
      </c>
      <c r="E7768" t="inlineStr">
        <is>
          <t>KINDA</t>
        </is>
      </c>
      <c r="G7768" t="n">
        <v>6.2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51670-2023</t>
        </is>
      </c>
      <c r="B7769" s="1" t="n">
        <v>45222</v>
      </c>
      <c r="C7769" s="1" t="n">
        <v>45710</v>
      </c>
      <c r="D7769" t="inlineStr">
        <is>
          <t>ÖSTERGÖTLANDS LÄN</t>
        </is>
      </c>
      <c r="E7769" t="inlineStr">
        <is>
          <t>KINDA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51708-2023</t>
        </is>
      </c>
      <c r="B7770" s="1" t="n">
        <v>45222</v>
      </c>
      <c r="C7770" s="1" t="n">
        <v>45710</v>
      </c>
      <c r="D7770" t="inlineStr">
        <is>
          <t>ÖSTERGÖTLANDS LÄN</t>
        </is>
      </c>
      <c r="E7770" t="inlineStr">
        <is>
          <t>BOXHOLM</t>
        </is>
      </c>
      <c r="F7770" t="inlineStr">
        <is>
          <t>Allmännings- och besparingsskogar</t>
        </is>
      </c>
      <c r="G7770" t="n">
        <v>24.2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51748-2023</t>
        </is>
      </c>
      <c r="B7771" s="1" t="n">
        <v>45222</v>
      </c>
      <c r="C7771" s="1" t="n">
        <v>45710</v>
      </c>
      <c r="D7771" t="inlineStr">
        <is>
          <t>ÖSTERGÖTLANDS LÄN</t>
        </is>
      </c>
      <c r="E7771" t="inlineStr">
        <is>
          <t>SÖDERKÖPING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51642-2023</t>
        </is>
      </c>
      <c r="B7772" s="1" t="n">
        <v>45222</v>
      </c>
      <c r="C7772" s="1" t="n">
        <v>45710</v>
      </c>
      <c r="D7772" t="inlineStr">
        <is>
          <t>ÖSTERGÖTLANDS LÄN</t>
        </is>
      </c>
      <c r="E7772" t="inlineStr">
        <is>
          <t>MOTALA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51718-2023</t>
        </is>
      </c>
      <c r="B7773" s="1" t="n">
        <v>45222</v>
      </c>
      <c r="C7773" s="1" t="n">
        <v>45710</v>
      </c>
      <c r="D7773" t="inlineStr">
        <is>
          <t>ÖSTERGÖTLANDS LÄN</t>
        </is>
      </c>
      <c r="E7773" t="inlineStr">
        <is>
          <t>BOXHOLM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51757-2023</t>
        </is>
      </c>
      <c r="B7774" s="1" t="n">
        <v>45222</v>
      </c>
      <c r="C7774" s="1" t="n">
        <v>45710</v>
      </c>
      <c r="D7774" t="inlineStr">
        <is>
          <t>ÖSTERGÖTLANDS LÄN</t>
        </is>
      </c>
      <c r="E7774" t="inlineStr">
        <is>
          <t>BOXHOLM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51777-2023</t>
        </is>
      </c>
      <c r="B7775" s="1" t="n">
        <v>45222</v>
      </c>
      <c r="C7775" s="1" t="n">
        <v>45710</v>
      </c>
      <c r="D7775" t="inlineStr">
        <is>
          <t>ÖSTERGÖTLANDS LÄN</t>
        </is>
      </c>
      <c r="E7775" t="inlineStr">
        <is>
          <t>ÅTVIDABERG</t>
        </is>
      </c>
      <c r="G7775" t="n">
        <v>8.5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53005-2023</t>
        </is>
      </c>
      <c r="B7776" s="1" t="n">
        <v>45222</v>
      </c>
      <c r="C7776" s="1" t="n">
        <v>45710</v>
      </c>
      <c r="D7776" t="inlineStr">
        <is>
          <t>ÖSTERGÖTLANDS LÄN</t>
        </is>
      </c>
      <c r="E7776" t="inlineStr">
        <is>
          <t>ÅTVIDABERG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53004-2023</t>
        </is>
      </c>
      <c r="B7777" s="1" t="n">
        <v>45222</v>
      </c>
      <c r="C7777" s="1" t="n">
        <v>45710</v>
      </c>
      <c r="D7777" t="inlineStr">
        <is>
          <t>ÖSTERGÖTLANDS LÄN</t>
        </is>
      </c>
      <c r="E7777" t="inlineStr">
        <is>
          <t>ÅTVIDABERG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53023-2023</t>
        </is>
      </c>
      <c r="B7778" s="1" t="n">
        <v>45222</v>
      </c>
      <c r="C7778" s="1" t="n">
        <v>45710</v>
      </c>
      <c r="D7778" t="inlineStr">
        <is>
          <t>ÖSTERGÖTLANDS LÄN</t>
        </is>
      </c>
      <c r="E7778" t="inlineStr">
        <is>
          <t>SÖDERKÖPING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51529-2023</t>
        </is>
      </c>
      <c r="B7779" s="1" t="n">
        <v>45222</v>
      </c>
      <c r="C7779" s="1" t="n">
        <v>45710</v>
      </c>
      <c r="D7779" t="inlineStr">
        <is>
          <t>ÖSTERGÖTLANDS LÄN</t>
        </is>
      </c>
      <c r="E7779" t="inlineStr">
        <is>
          <t>LINKÖPING</t>
        </is>
      </c>
      <c r="F7779" t="inlineStr">
        <is>
          <t>Övriga Aktiebolag</t>
        </is>
      </c>
      <c r="G7779" t="n">
        <v>5.5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51545-2023</t>
        </is>
      </c>
      <c r="B7780" s="1" t="n">
        <v>45222</v>
      </c>
      <c r="C7780" s="1" t="n">
        <v>45710</v>
      </c>
      <c r="D7780" t="inlineStr">
        <is>
          <t>ÖSTERGÖTLANDS LÄN</t>
        </is>
      </c>
      <c r="E7780" t="inlineStr">
        <is>
          <t>BOXHOLM</t>
        </is>
      </c>
      <c r="G7780" t="n">
        <v>4.3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51638-2023</t>
        </is>
      </c>
      <c r="B7781" s="1" t="n">
        <v>45222</v>
      </c>
      <c r="C7781" s="1" t="n">
        <v>45710</v>
      </c>
      <c r="D7781" t="inlineStr">
        <is>
          <t>ÖSTERGÖTLANDS LÄN</t>
        </is>
      </c>
      <c r="E7781" t="inlineStr">
        <is>
          <t>MOTALA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51643-2023</t>
        </is>
      </c>
      <c r="B7782" s="1" t="n">
        <v>45222</v>
      </c>
      <c r="C7782" s="1" t="n">
        <v>45710</v>
      </c>
      <c r="D7782" t="inlineStr">
        <is>
          <t>ÖSTERGÖTLANDS LÄN</t>
        </is>
      </c>
      <c r="E7782" t="inlineStr">
        <is>
          <t>MOTALA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51648-2023</t>
        </is>
      </c>
      <c r="B7783" s="1" t="n">
        <v>45222</v>
      </c>
      <c r="C7783" s="1" t="n">
        <v>45710</v>
      </c>
      <c r="D7783" t="inlineStr">
        <is>
          <t>ÖSTERGÖTLANDS LÄN</t>
        </is>
      </c>
      <c r="E7783" t="inlineStr">
        <is>
          <t>MOTALA</t>
        </is>
      </c>
      <c r="G7783" t="n">
        <v>3.9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51742-2023</t>
        </is>
      </c>
      <c r="B7784" s="1" t="n">
        <v>45222</v>
      </c>
      <c r="C7784" s="1" t="n">
        <v>45710</v>
      </c>
      <c r="D7784" t="inlineStr">
        <is>
          <t>ÖSTERGÖTLANDS LÄN</t>
        </is>
      </c>
      <c r="E7784" t="inlineStr">
        <is>
          <t>SÖDERKÖPING</t>
        </is>
      </c>
      <c r="G7784" t="n">
        <v>3.9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51746-2023</t>
        </is>
      </c>
      <c r="B7785" s="1" t="n">
        <v>45222</v>
      </c>
      <c r="C7785" s="1" t="n">
        <v>45710</v>
      </c>
      <c r="D7785" t="inlineStr">
        <is>
          <t>ÖSTERGÖTLANDS LÄN</t>
        </is>
      </c>
      <c r="E7785" t="inlineStr">
        <is>
          <t>SÖDERKÖPING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51841-2023</t>
        </is>
      </c>
      <c r="B7786" s="1" t="n">
        <v>45223</v>
      </c>
      <c r="C7786" s="1" t="n">
        <v>45710</v>
      </c>
      <c r="D7786" t="inlineStr">
        <is>
          <t>ÖSTERGÖTLANDS LÄN</t>
        </is>
      </c>
      <c r="E7786" t="inlineStr">
        <is>
          <t>KINDA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51840-2023</t>
        </is>
      </c>
      <c r="B7787" s="1" t="n">
        <v>45223</v>
      </c>
      <c r="C7787" s="1" t="n">
        <v>45710</v>
      </c>
      <c r="D7787" t="inlineStr">
        <is>
          <t>ÖSTERGÖTLANDS LÄN</t>
        </is>
      </c>
      <c r="E7787" t="inlineStr">
        <is>
          <t>KINDA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51948-2023</t>
        </is>
      </c>
      <c r="B7788" s="1" t="n">
        <v>45223</v>
      </c>
      <c r="C7788" s="1" t="n">
        <v>45710</v>
      </c>
      <c r="D7788" t="inlineStr">
        <is>
          <t>ÖSTERGÖTLANDS LÄN</t>
        </is>
      </c>
      <c r="E7788" t="inlineStr">
        <is>
          <t>BOXHOLM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51906-2023</t>
        </is>
      </c>
      <c r="B7789" s="1" t="n">
        <v>45223</v>
      </c>
      <c r="C7789" s="1" t="n">
        <v>45710</v>
      </c>
      <c r="D7789" t="inlineStr">
        <is>
          <t>ÖSTERGÖTLANDS LÄN</t>
        </is>
      </c>
      <c r="E7789" t="inlineStr">
        <is>
          <t>VALDEMARSVIK</t>
        </is>
      </c>
      <c r="G7789" t="n">
        <v>4.6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51947-2023</t>
        </is>
      </c>
      <c r="B7790" s="1" t="n">
        <v>45223</v>
      </c>
      <c r="C7790" s="1" t="n">
        <v>45710</v>
      </c>
      <c r="D7790" t="inlineStr">
        <is>
          <t>ÖSTERGÖTLANDS LÄN</t>
        </is>
      </c>
      <c r="E7790" t="inlineStr">
        <is>
          <t>BOXHOLM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53439-2023</t>
        </is>
      </c>
      <c r="B7791" s="1" t="n">
        <v>45223</v>
      </c>
      <c r="C7791" s="1" t="n">
        <v>45710</v>
      </c>
      <c r="D7791" t="inlineStr">
        <is>
          <t>ÖSTERGÖTLANDS LÄN</t>
        </is>
      </c>
      <c r="E7791" t="inlineStr">
        <is>
          <t>VALDEMARSVIK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52161-2023</t>
        </is>
      </c>
      <c r="B7792" s="1" t="n">
        <v>45224</v>
      </c>
      <c r="C7792" s="1" t="n">
        <v>45710</v>
      </c>
      <c r="D7792" t="inlineStr">
        <is>
          <t>ÖSTERGÖTLANDS LÄN</t>
        </is>
      </c>
      <c r="E7792" t="inlineStr">
        <is>
          <t>ÅTVIDABERG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52217-2023</t>
        </is>
      </c>
      <c r="B7793" s="1" t="n">
        <v>45224</v>
      </c>
      <c r="C7793" s="1" t="n">
        <v>45710</v>
      </c>
      <c r="D7793" t="inlineStr">
        <is>
          <t>ÖSTERGÖTLANDS LÄN</t>
        </is>
      </c>
      <c r="E7793" t="inlineStr">
        <is>
          <t>ÅTVIDABERG</t>
        </is>
      </c>
      <c r="F7793" t="inlineStr">
        <is>
          <t>Sveaskog</t>
        </is>
      </c>
      <c r="G7793" t="n">
        <v>2.8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52223-2023</t>
        </is>
      </c>
      <c r="B7794" s="1" t="n">
        <v>45224</v>
      </c>
      <c r="C7794" s="1" t="n">
        <v>45710</v>
      </c>
      <c r="D7794" t="inlineStr">
        <is>
          <t>ÖSTERGÖTLANDS LÄN</t>
        </is>
      </c>
      <c r="E7794" t="inlineStr">
        <is>
          <t>LINKÖPING</t>
        </is>
      </c>
      <c r="G7794" t="n">
        <v>1.7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52232-2023</t>
        </is>
      </c>
      <c r="B7795" s="1" t="n">
        <v>45224</v>
      </c>
      <c r="C7795" s="1" t="n">
        <v>45710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Sveaskog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52238-2023</t>
        </is>
      </c>
      <c r="B7796" s="1" t="n">
        <v>45224</v>
      </c>
      <c r="C7796" s="1" t="n">
        <v>45710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9.199999999999999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52235-2023</t>
        </is>
      </c>
      <c r="B7797" s="1" t="n">
        <v>45224</v>
      </c>
      <c r="C7797" s="1" t="n">
        <v>45710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52241-2023</t>
        </is>
      </c>
      <c r="B7798" s="1" t="n">
        <v>45224</v>
      </c>
      <c r="C7798" s="1" t="n">
        <v>45710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52298-2023</t>
        </is>
      </c>
      <c r="B7799" s="1" t="n">
        <v>45224</v>
      </c>
      <c r="C7799" s="1" t="n">
        <v>45710</v>
      </c>
      <c r="D7799" t="inlineStr">
        <is>
          <t>ÖSTERGÖTLANDS LÄN</t>
        </is>
      </c>
      <c r="E7799" t="inlineStr">
        <is>
          <t>KINDA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52199-2023</t>
        </is>
      </c>
      <c r="B7800" s="1" t="n">
        <v>45224</v>
      </c>
      <c r="C7800" s="1" t="n">
        <v>45710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52218-2023</t>
        </is>
      </c>
      <c r="B7801" s="1" t="n">
        <v>45224</v>
      </c>
      <c r="C7801" s="1" t="n">
        <v>45710</v>
      </c>
      <c r="D7801" t="inlineStr">
        <is>
          <t>ÖSTERGÖTLANDS LÄN</t>
        </is>
      </c>
      <c r="E7801" t="inlineStr">
        <is>
          <t>LINKÖPING</t>
        </is>
      </c>
      <c r="G7801" t="n">
        <v>4.4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52160-2023</t>
        </is>
      </c>
      <c r="B7802" s="1" t="n">
        <v>45224</v>
      </c>
      <c r="C7802" s="1" t="n">
        <v>45710</v>
      </c>
      <c r="D7802" t="inlineStr">
        <is>
          <t>ÖSTERGÖTLANDS LÄN</t>
        </is>
      </c>
      <c r="E7802" t="inlineStr">
        <is>
          <t>ÅTVIDABERG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52302-2023</t>
        </is>
      </c>
      <c r="B7803" s="1" t="n">
        <v>45224</v>
      </c>
      <c r="C7803" s="1" t="n">
        <v>45710</v>
      </c>
      <c r="D7803" t="inlineStr">
        <is>
          <t>ÖSTERGÖTLANDS LÄN</t>
        </is>
      </c>
      <c r="E7803" t="inlineStr">
        <is>
          <t>MOTALA</t>
        </is>
      </c>
      <c r="G7803" t="n">
        <v>5.4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52197-2023</t>
        </is>
      </c>
      <c r="B7804" s="1" t="n">
        <v>45224</v>
      </c>
      <c r="C7804" s="1" t="n">
        <v>45710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Sveaskog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52414-2023</t>
        </is>
      </c>
      <c r="B7805" s="1" t="n">
        <v>45225</v>
      </c>
      <c r="C7805" s="1" t="n">
        <v>45710</v>
      </c>
      <c r="D7805" t="inlineStr">
        <is>
          <t>ÖSTERGÖTLANDS LÄN</t>
        </is>
      </c>
      <c r="E7805" t="inlineStr">
        <is>
          <t>LINKÖPING</t>
        </is>
      </c>
      <c r="G7805" t="n">
        <v>3.1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52428-2023</t>
        </is>
      </c>
      <c r="B7806" s="1" t="n">
        <v>45225</v>
      </c>
      <c r="C7806" s="1" t="n">
        <v>45710</v>
      </c>
      <c r="D7806" t="inlineStr">
        <is>
          <t>ÖSTERGÖTLANDS LÄN</t>
        </is>
      </c>
      <c r="E7806" t="inlineStr">
        <is>
          <t>VALDEMARSVIK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52432-2023</t>
        </is>
      </c>
      <c r="B7807" s="1" t="n">
        <v>45225</v>
      </c>
      <c r="C7807" s="1" t="n">
        <v>45710</v>
      </c>
      <c r="D7807" t="inlineStr">
        <is>
          <t>ÖSTERGÖTLANDS LÄN</t>
        </is>
      </c>
      <c r="E7807" t="inlineStr">
        <is>
          <t>VALDEMARSVIK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52415-2023</t>
        </is>
      </c>
      <c r="B7808" s="1" t="n">
        <v>45225</v>
      </c>
      <c r="C7808" s="1" t="n">
        <v>45710</v>
      </c>
      <c r="D7808" t="inlineStr">
        <is>
          <t>ÖSTERGÖTLANDS LÄN</t>
        </is>
      </c>
      <c r="E7808" t="inlineStr">
        <is>
          <t>LINKÖPING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52527-2023</t>
        </is>
      </c>
      <c r="B7809" s="1" t="n">
        <v>45225</v>
      </c>
      <c r="C7809" s="1" t="n">
        <v>45710</v>
      </c>
      <c r="D7809" t="inlineStr">
        <is>
          <t>ÖSTERGÖTLANDS LÄN</t>
        </is>
      </c>
      <c r="E7809" t="inlineStr">
        <is>
          <t>ÅTVIDABERG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52531-2023</t>
        </is>
      </c>
      <c r="B7810" s="1" t="n">
        <v>45225</v>
      </c>
      <c r="C7810" s="1" t="n">
        <v>45710</v>
      </c>
      <c r="D7810" t="inlineStr">
        <is>
          <t>ÖSTERGÖTLANDS LÄN</t>
        </is>
      </c>
      <c r="E7810" t="inlineStr">
        <is>
          <t>LINKÖPING</t>
        </is>
      </c>
      <c r="F7810" t="inlineStr">
        <is>
          <t>Övriga Aktiebolag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52535-2023</t>
        </is>
      </c>
      <c r="B7811" s="1" t="n">
        <v>45225</v>
      </c>
      <c r="C7811" s="1" t="n">
        <v>45710</v>
      </c>
      <c r="D7811" t="inlineStr">
        <is>
          <t>ÖSTERGÖTLANDS LÄN</t>
        </is>
      </c>
      <c r="E7811" t="inlineStr">
        <is>
          <t>LINKÖPING</t>
        </is>
      </c>
      <c r="G7811" t="n">
        <v>3.6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52412-2023</t>
        </is>
      </c>
      <c r="B7812" s="1" t="n">
        <v>45225</v>
      </c>
      <c r="C7812" s="1" t="n">
        <v>45710</v>
      </c>
      <c r="D7812" t="inlineStr">
        <is>
          <t>ÖSTERGÖTLANDS LÄN</t>
        </is>
      </c>
      <c r="E7812" t="inlineStr">
        <is>
          <t>LINKÖPING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52430-2023</t>
        </is>
      </c>
      <c r="B7813" s="1" t="n">
        <v>45225</v>
      </c>
      <c r="C7813" s="1" t="n">
        <v>45710</v>
      </c>
      <c r="D7813" t="inlineStr">
        <is>
          <t>ÖSTERGÖTLANDS LÄN</t>
        </is>
      </c>
      <c r="E7813" t="inlineStr">
        <is>
          <t>VALDEMARSVIK</t>
        </is>
      </c>
      <c r="G7813" t="n">
        <v>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52413-2023</t>
        </is>
      </c>
      <c r="B7814" s="1" t="n">
        <v>45225</v>
      </c>
      <c r="C7814" s="1" t="n">
        <v>45710</v>
      </c>
      <c r="D7814" t="inlineStr">
        <is>
          <t>ÖSTERGÖTLANDS LÄN</t>
        </is>
      </c>
      <c r="E7814" t="inlineStr">
        <is>
          <t>LINKÖPING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52456-2023</t>
        </is>
      </c>
      <c r="B7815" s="1" t="n">
        <v>45225</v>
      </c>
      <c r="C7815" s="1" t="n">
        <v>45710</v>
      </c>
      <c r="D7815" t="inlineStr">
        <is>
          <t>ÖSTERGÖTLANDS LÄN</t>
        </is>
      </c>
      <c r="E7815" t="inlineStr">
        <is>
          <t>KINDA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52469-2023</t>
        </is>
      </c>
      <c r="B7816" s="1" t="n">
        <v>45225</v>
      </c>
      <c r="C7816" s="1" t="n">
        <v>45710</v>
      </c>
      <c r="D7816" t="inlineStr">
        <is>
          <t>ÖSTERGÖTLANDS LÄN</t>
        </is>
      </c>
      <c r="E7816" t="inlineStr">
        <is>
          <t>ÖDESHÖG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52524-2023</t>
        </is>
      </c>
      <c r="B7817" s="1" t="n">
        <v>45225</v>
      </c>
      <c r="C7817" s="1" t="n">
        <v>45710</v>
      </c>
      <c r="D7817" t="inlineStr">
        <is>
          <t>ÖSTERGÖTLANDS LÄN</t>
        </is>
      </c>
      <c r="E7817" t="inlineStr">
        <is>
          <t>ÅTVIDABERG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52655-2023</t>
        </is>
      </c>
      <c r="B7818" s="1" t="n">
        <v>45225</v>
      </c>
      <c r="C7818" s="1" t="n">
        <v>45710</v>
      </c>
      <c r="D7818" t="inlineStr">
        <is>
          <t>ÖSTERGÖTLANDS LÄN</t>
        </is>
      </c>
      <c r="E7818" t="inlineStr">
        <is>
          <t>MJÖLBY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52731-2023</t>
        </is>
      </c>
      <c r="B7819" s="1" t="n">
        <v>45226</v>
      </c>
      <c r="C7819" s="1" t="n">
        <v>45710</v>
      </c>
      <c r="D7819" t="inlineStr">
        <is>
          <t>ÖSTERGÖTLANDS LÄN</t>
        </is>
      </c>
      <c r="E7819" t="inlineStr">
        <is>
          <t>FINSPÅNG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52730-2023</t>
        </is>
      </c>
      <c r="B7820" s="1" t="n">
        <v>45226</v>
      </c>
      <c r="C7820" s="1" t="n">
        <v>45710</v>
      </c>
      <c r="D7820" t="inlineStr">
        <is>
          <t>ÖSTERGÖTLANDS LÄN</t>
        </is>
      </c>
      <c r="E7820" t="inlineStr">
        <is>
          <t>FINSPÅNG</t>
        </is>
      </c>
      <c r="G7820" t="n">
        <v>0.4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52997-2023</t>
        </is>
      </c>
      <c r="B7821" s="1" t="n">
        <v>45226</v>
      </c>
      <c r="C7821" s="1" t="n">
        <v>45710</v>
      </c>
      <c r="D7821" t="inlineStr">
        <is>
          <t>ÖSTERGÖTLANDS LÄN</t>
        </is>
      </c>
      <c r="E7821" t="inlineStr">
        <is>
          <t>KINDA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52781-2023</t>
        </is>
      </c>
      <c r="B7822" s="1" t="n">
        <v>45226</v>
      </c>
      <c r="C7822" s="1" t="n">
        <v>45710</v>
      </c>
      <c r="D7822" t="inlineStr">
        <is>
          <t>ÖSTERGÖTLANDS LÄN</t>
        </is>
      </c>
      <c r="E7822" t="inlineStr">
        <is>
          <t>MJÖLBY</t>
        </is>
      </c>
      <c r="F7822" t="inlineStr">
        <is>
          <t>Kyrkan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52964-2023</t>
        </is>
      </c>
      <c r="B7823" s="1" t="n">
        <v>45226</v>
      </c>
      <c r="C7823" s="1" t="n">
        <v>45710</v>
      </c>
      <c r="D7823" t="inlineStr">
        <is>
          <t>ÖSTERGÖTLANDS LÄN</t>
        </is>
      </c>
      <c r="E7823" t="inlineStr">
        <is>
          <t>BOXHOLM</t>
        </is>
      </c>
      <c r="G7823" t="n">
        <v>2.8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52950-2023</t>
        </is>
      </c>
      <c r="B7824" s="1" t="n">
        <v>45226</v>
      </c>
      <c r="C7824" s="1" t="n">
        <v>45710</v>
      </c>
      <c r="D7824" t="inlineStr">
        <is>
          <t>ÖSTERGÖTLANDS LÄN</t>
        </is>
      </c>
      <c r="E7824" t="inlineStr">
        <is>
          <t>SÖDERKÖPING</t>
        </is>
      </c>
      <c r="G7824" t="n">
        <v>3.6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52991-2023</t>
        </is>
      </c>
      <c r="B7825" s="1" t="n">
        <v>45226</v>
      </c>
      <c r="C7825" s="1" t="n">
        <v>45710</v>
      </c>
      <c r="D7825" t="inlineStr">
        <is>
          <t>ÖSTERGÖTLANDS LÄN</t>
        </is>
      </c>
      <c r="E7825" t="inlineStr">
        <is>
          <t>KINDA</t>
        </is>
      </c>
      <c r="G7825" t="n">
        <v>3.8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52789-2023</t>
        </is>
      </c>
      <c r="B7826" s="1" t="n">
        <v>45226</v>
      </c>
      <c r="C7826" s="1" t="n">
        <v>45710</v>
      </c>
      <c r="D7826" t="inlineStr">
        <is>
          <t>ÖSTERGÖTLANDS LÄN</t>
        </is>
      </c>
      <c r="E7826" t="inlineStr">
        <is>
          <t>KINDA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52922-2023</t>
        </is>
      </c>
      <c r="B7827" s="1" t="n">
        <v>45226</v>
      </c>
      <c r="C7827" s="1" t="n">
        <v>45710</v>
      </c>
      <c r="D7827" t="inlineStr">
        <is>
          <t>ÖSTERGÖTLANDS LÄN</t>
        </is>
      </c>
      <c r="E7827" t="inlineStr">
        <is>
          <t>MOTALA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52832-2023</t>
        </is>
      </c>
      <c r="B7828" s="1" t="n">
        <v>45226</v>
      </c>
      <c r="C7828" s="1" t="n">
        <v>45710</v>
      </c>
      <c r="D7828" t="inlineStr">
        <is>
          <t>ÖSTERGÖTLANDS LÄN</t>
        </is>
      </c>
      <c r="E7828" t="inlineStr">
        <is>
          <t>MJÖLBY</t>
        </is>
      </c>
      <c r="F7828" t="inlineStr">
        <is>
          <t>Kyrkan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53071-2023</t>
        </is>
      </c>
      <c r="B7829" s="1" t="n">
        <v>45227</v>
      </c>
      <c r="C7829" s="1" t="n">
        <v>45710</v>
      </c>
      <c r="D7829" t="inlineStr">
        <is>
          <t>ÖSTERGÖTLANDS LÄN</t>
        </is>
      </c>
      <c r="E7829" t="inlineStr">
        <is>
          <t>ÅTVIDABERG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53074-2023</t>
        </is>
      </c>
      <c r="B7830" s="1" t="n">
        <v>45227</v>
      </c>
      <c r="C7830" s="1" t="n">
        <v>45710</v>
      </c>
      <c r="D7830" t="inlineStr">
        <is>
          <t>ÖSTERGÖTLANDS LÄN</t>
        </is>
      </c>
      <c r="E7830" t="inlineStr">
        <is>
          <t>ÅTVIDABERG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53072-2023</t>
        </is>
      </c>
      <c r="B7831" s="1" t="n">
        <v>45227</v>
      </c>
      <c r="C7831" s="1" t="n">
        <v>45710</v>
      </c>
      <c r="D7831" t="inlineStr">
        <is>
          <t>ÖSTERGÖTLANDS LÄN</t>
        </is>
      </c>
      <c r="E7831" t="inlineStr">
        <is>
          <t>ÅTVIDABERG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53076-2023</t>
        </is>
      </c>
      <c r="B7832" s="1" t="n">
        <v>45227</v>
      </c>
      <c r="C7832" s="1" t="n">
        <v>45710</v>
      </c>
      <c r="D7832" t="inlineStr">
        <is>
          <t>ÖSTERGÖTLANDS LÄN</t>
        </is>
      </c>
      <c r="E7832" t="inlineStr">
        <is>
          <t>ÅTVIDABERG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53073-2023</t>
        </is>
      </c>
      <c r="B7833" s="1" t="n">
        <v>45227</v>
      </c>
      <c r="C7833" s="1" t="n">
        <v>45710</v>
      </c>
      <c r="D7833" t="inlineStr">
        <is>
          <t>ÖSTERGÖTLANDS LÄN</t>
        </is>
      </c>
      <c r="E7833" t="inlineStr">
        <is>
          <t>ÅTVIDABERG</t>
        </is>
      </c>
      <c r="G7833" t="n">
        <v>2.8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53111-2023</t>
        </is>
      </c>
      <c r="B7834" s="1" t="n">
        <v>45228</v>
      </c>
      <c r="C7834" s="1" t="n">
        <v>45710</v>
      </c>
      <c r="D7834" t="inlineStr">
        <is>
          <t>ÖSTERGÖTLANDS LÄN</t>
        </is>
      </c>
      <c r="E7834" t="inlineStr">
        <is>
          <t>VALDEMARSVIK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53112-2023</t>
        </is>
      </c>
      <c r="B7835" s="1" t="n">
        <v>45228</v>
      </c>
      <c r="C7835" s="1" t="n">
        <v>45710</v>
      </c>
      <c r="D7835" t="inlineStr">
        <is>
          <t>ÖSTERGÖTLANDS LÄN</t>
        </is>
      </c>
      <c r="E7835" t="inlineStr">
        <is>
          <t>VALDEMARSVIK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53165-2023</t>
        </is>
      </c>
      <c r="B7836" s="1" t="n">
        <v>45229</v>
      </c>
      <c r="C7836" s="1" t="n">
        <v>45710</v>
      </c>
      <c r="D7836" t="inlineStr">
        <is>
          <t>ÖSTERGÖTLANDS LÄN</t>
        </is>
      </c>
      <c r="E7836" t="inlineStr">
        <is>
          <t>ÅTVIDABERG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53268-2023</t>
        </is>
      </c>
      <c r="B7837" s="1" t="n">
        <v>45229</v>
      </c>
      <c r="C7837" s="1" t="n">
        <v>45710</v>
      </c>
      <c r="D7837" t="inlineStr">
        <is>
          <t>ÖSTERGÖTLANDS LÄN</t>
        </is>
      </c>
      <c r="E7837" t="inlineStr">
        <is>
          <t>KINDA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53278-2023</t>
        </is>
      </c>
      <c r="B7838" s="1" t="n">
        <v>45229</v>
      </c>
      <c r="C7838" s="1" t="n">
        <v>45710</v>
      </c>
      <c r="D7838" t="inlineStr">
        <is>
          <t>ÖSTERGÖTLANDS LÄN</t>
        </is>
      </c>
      <c r="E7838" t="inlineStr">
        <is>
          <t>NORRKÖPING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53158-2023</t>
        </is>
      </c>
      <c r="B7839" s="1" t="n">
        <v>45229</v>
      </c>
      <c r="C7839" s="1" t="n">
        <v>45710</v>
      </c>
      <c r="D7839" t="inlineStr">
        <is>
          <t>ÖSTERGÖTLANDS LÄN</t>
        </is>
      </c>
      <c r="E7839" t="inlineStr">
        <is>
          <t>ÅTVIDABERG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53163-2023</t>
        </is>
      </c>
      <c r="B7840" s="1" t="n">
        <v>45229</v>
      </c>
      <c r="C7840" s="1" t="n">
        <v>45710</v>
      </c>
      <c r="D7840" t="inlineStr">
        <is>
          <t>ÖSTERGÖTLANDS LÄN</t>
        </is>
      </c>
      <c r="E7840" t="inlineStr">
        <is>
          <t>ÅTVIDABERG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53167-2023</t>
        </is>
      </c>
      <c r="B7841" s="1" t="n">
        <v>45229</v>
      </c>
      <c r="C7841" s="1" t="n">
        <v>45710</v>
      </c>
      <c r="D7841" t="inlineStr">
        <is>
          <t>ÖSTERGÖTLANDS LÄN</t>
        </is>
      </c>
      <c r="E7841" t="inlineStr">
        <is>
          <t>ÅTVIDABERG</t>
        </is>
      </c>
      <c r="G7841" t="n">
        <v>0.4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53172-2023</t>
        </is>
      </c>
      <c r="B7842" s="1" t="n">
        <v>45229</v>
      </c>
      <c r="C7842" s="1" t="n">
        <v>45710</v>
      </c>
      <c r="D7842" t="inlineStr">
        <is>
          <t>ÖSTERGÖTLANDS LÄN</t>
        </is>
      </c>
      <c r="E7842" t="inlineStr">
        <is>
          <t>ÅTVIDABERG</t>
        </is>
      </c>
      <c r="G7842" t="n">
        <v>4.2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53315-2023</t>
        </is>
      </c>
      <c r="B7843" s="1" t="n">
        <v>45229</v>
      </c>
      <c r="C7843" s="1" t="n">
        <v>45710</v>
      </c>
      <c r="D7843" t="inlineStr">
        <is>
          <t>ÖSTERGÖTLANDS LÄN</t>
        </is>
      </c>
      <c r="E7843" t="inlineStr">
        <is>
          <t>KINDA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53319-2023</t>
        </is>
      </c>
      <c r="B7844" s="1" t="n">
        <v>45229</v>
      </c>
      <c r="C7844" s="1" t="n">
        <v>45710</v>
      </c>
      <c r="D7844" t="inlineStr">
        <is>
          <t>ÖSTERGÖTLANDS LÄN</t>
        </is>
      </c>
      <c r="E7844" t="inlineStr">
        <is>
          <t>KINDA</t>
        </is>
      </c>
      <c r="F7844" t="inlineStr">
        <is>
          <t>Sveaskog</t>
        </is>
      </c>
      <c r="G7844" t="n">
        <v>4.1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53323-2023</t>
        </is>
      </c>
      <c r="B7845" s="1" t="n">
        <v>45229</v>
      </c>
      <c r="C7845" s="1" t="n">
        <v>45710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2.8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53239-2023</t>
        </is>
      </c>
      <c r="B7846" s="1" t="n">
        <v>45229</v>
      </c>
      <c r="C7846" s="1" t="n">
        <v>45710</v>
      </c>
      <c r="D7846" t="inlineStr">
        <is>
          <t>ÖSTERGÖTLANDS LÄN</t>
        </is>
      </c>
      <c r="E7846" t="inlineStr">
        <is>
          <t>KINDA</t>
        </is>
      </c>
      <c r="F7846" t="inlineStr">
        <is>
          <t>Allmännings- och besparingsskogar</t>
        </is>
      </c>
      <c r="G7846" t="n">
        <v>10.3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53280-2023</t>
        </is>
      </c>
      <c r="B7847" s="1" t="n">
        <v>45229</v>
      </c>
      <c r="C7847" s="1" t="n">
        <v>45710</v>
      </c>
      <c r="D7847" t="inlineStr">
        <is>
          <t>ÖSTERGÖTLANDS LÄN</t>
        </is>
      </c>
      <c r="E7847" t="inlineStr">
        <is>
          <t>NORRKÖPING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53313-2023</t>
        </is>
      </c>
      <c r="B7848" s="1" t="n">
        <v>45229</v>
      </c>
      <c r="C7848" s="1" t="n">
        <v>45710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53420-2023</t>
        </is>
      </c>
      <c r="B7849" s="1" t="n">
        <v>45229</v>
      </c>
      <c r="C7849" s="1" t="n">
        <v>45710</v>
      </c>
      <c r="D7849" t="inlineStr">
        <is>
          <t>ÖSTERGÖTLANDS LÄN</t>
        </is>
      </c>
      <c r="E7849" t="inlineStr">
        <is>
          <t>LINKÖPING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53418-2023</t>
        </is>
      </c>
      <c r="B7850" s="1" t="n">
        <v>45229</v>
      </c>
      <c r="C7850" s="1" t="n">
        <v>45710</v>
      </c>
      <c r="D7850" t="inlineStr">
        <is>
          <t>ÖSTERGÖTLANDS LÄN</t>
        </is>
      </c>
      <c r="E7850" t="inlineStr">
        <is>
          <t>KINDA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53173-2023</t>
        </is>
      </c>
      <c r="B7851" s="1" t="n">
        <v>45229</v>
      </c>
      <c r="C7851" s="1" t="n">
        <v>45710</v>
      </c>
      <c r="D7851" t="inlineStr">
        <is>
          <t>ÖSTERGÖTLANDS LÄN</t>
        </is>
      </c>
      <c r="E7851" t="inlineStr">
        <is>
          <t>ÅTVIDABERG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53213-2023</t>
        </is>
      </c>
      <c r="B7852" s="1" t="n">
        <v>45229</v>
      </c>
      <c r="C7852" s="1" t="n">
        <v>45710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Allmännings- och besparingsskogar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53322-2023</t>
        </is>
      </c>
      <c r="B7853" s="1" t="n">
        <v>45229</v>
      </c>
      <c r="C7853" s="1" t="n">
        <v>45710</v>
      </c>
      <c r="D7853" t="inlineStr">
        <is>
          <t>ÖSTERGÖTLANDS LÄN</t>
        </is>
      </c>
      <c r="E7853" t="inlineStr">
        <is>
          <t>MOTALA</t>
        </is>
      </c>
      <c r="G7853" t="n">
        <v>4.5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53411-2023</t>
        </is>
      </c>
      <c r="B7854" s="1" t="n">
        <v>45229</v>
      </c>
      <c r="C7854" s="1" t="n">
        <v>45710</v>
      </c>
      <c r="D7854" t="inlineStr">
        <is>
          <t>ÖSTERGÖTLANDS LÄN</t>
        </is>
      </c>
      <c r="E7854" t="inlineStr">
        <is>
          <t>LINKÖPING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53419-2023</t>
        </is>
      </c>
      <c r="B7855" s="1" t="n">
        <v>45229</v>
      </c>
      <c r="C7855" s="1" t="n">
        <v>45710</v>
      </c>
      <c r="D7855" t="inlineStr">
        <is>
          <t>ÖSTERGÖTLANDS LÄN</t>
        </is>
      </c>
      <c r="E7855" t="inlineStr">
        <is>
          <t>KINDA</t>
        </is>
      </c>
      <c r="G7855" t="n">
        <v>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53320-2023</t>
        </is>
      </c>
      <c r="B7856" s="1" t="n">
        <v>45229</v>
      </c>
      <c r="C7856" s="1" t="n">
        <v>45710</v>
      </c>
      <c r="D7856" t="inlineStr">
        <is>
          <t>ÖSTERGÖTLANDS LÄN</t>
        </is>
      </c>
      <c r="E7856" t="inlineStr">
        <is>
          <t>KINDA</t>
        </is>
      </c>
      <c r="F7856" t="inlineStr">
        <is>
          <t>Sveaskog</t>
        </is>
      </c>
      <c r="G7856" t="n">
        <v>6.4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53421-2023</t>
        </is>
      </c>
      <c r="B7857" s="1" t="n">
        <v>45229</v>
      </c>
      <c r="C7857" s="1" t="n">
        <v>45710</v>
      </c>
      <c r="D7857" t="inlineStr">
        <is>
          <t>ÖSTERGÖTLANDS LÄN</t>
        </is>
      </c>
      <c r="E7857" t="inlineStr">
        <is>
          <t>LINKÖPING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53639-2023</t>
        </is>
      </c>
      <c r="B7858" s="1" t="n">
        <v>45230</v>
      </c>
      <c r="C7858" s="1" t="n">
        <v>45710</v>
      </c>
      <c r="D7858" t="inlineStr">
        <is>
          <t>ÖSTERGÖTLANDS LÄN</t>
        </is>
      </c>
      <c r="E7858" t="inlineStr">
        <is>
          <t>LINKÖPING</t>
        </is>
      </c>
      <c r="G7858" t="n">
        <v>2.3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53617-2023</t>
        </is>
      </c>
      <c r="B7859" s="1" t="n">
        <v>45230</v>
      </c>
      <c r="C7859" s="1" t="n">
        <v>45710</v>
      </c>
      <c r="D7859" t="inlineStr">
        <is>
          <t>ÖSTERGÖTLANDS LÄN</t>
        </is>
      </c>
      <c r="E7859" t="inlineStr">
        <is>
          <t>KINDA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53641-2023</t>
        </is>
      </c>
      <c r="B7860" s="1" t="n">
        <v>45230</v>
      </c>
      <c r="C7860" s="1" t="n">
        <v>45710</v>
      </c>
      <c r="D7860" t="inlineStr">
        <is>
          <t>ÖSTERGÖTLANDS LÄN</t>
        </is>
      </c>
      <c r="E7860" t="inlineStr">
        <is>
          <t>LINKÖPING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53827-2023</t>
        </is>
      </c>
      <c r="B7861" s="1" t="n">
        <v>45230</v>
      </c>
      <c r="C7861" s="1" t="n">
        <v>45710</v>
      </c>
      <c r="D7861" t="inlineStr">
        <is>
          <t>ÖSTERGÖTLANDS LÄN</t>
        </is>
      </c>
      <c r="E7861" t="inlineStr">
        <is>
          <t>LINKÖPING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53572-2023</t>
        </is>
      </c>
      <c r="B7862" s="1" t="n">
        <v>45230</v>
      </c>
      <c r="C7862" s="1" t="n">
        <v>45710</v>
      </c>
      <c r="D7862" t="inlineStr">
        <is>
          <t>ÖSTERGÖTLANDS LÄN</t>
        </is>
      </c>
      <c r="E7862" t="inlineStr">
        <is>
          <t>FINSPÅNG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53521-2023</t>
        </is>
      </c>
      <c r="B7863" s="1" t="n">
        <v>45230</v>
      </c>
      <c r="C7863" s="1" t="n">
        <v>45710</v>
      </c>
      <c r="D7863" t="inlineStr">
        <is>
          <t>ÖSTERGÖTLANDS LÄN</t>
        </is>
      </c>
      <c r="E7863" t="inlineStr">
        <is>
          <t>MJÖLBY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53530-2023</t>
        </is>
      </c>
      <c r="B7864" s="1" t="n">
        <v>45230</v>
      </c>
      <c r="C7864" s="1" t="n">
        <v>45710</v>
      </c>
      <c r="D7864" t="inlineStr">
        <is>
          <t>ÖSTERGÖTLANDS LÄN</t>
        </is>
      </c>
      <c r="E7864" t="inlineStr">
        <is>
          <t>MJÖLBY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55120-2023</t>
        </is>
      </c>
      <c r="B7865" s="1" t="n">
        <v>45230</v>
      </c>
      <c r="C7865" s="1" t="n">
        <v>45710</v>
      </c>
      <c r="D7865" t="inlineStr">
        <is>
          <t>ÖSTERGÖTLANDS LÄN</t>
        </is>
      </c>
      <c r="E7865" t="inlineStr">
        <is>
          <t>LINKÖPING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53830-2023</t>
        </is>
      </c>
      <c r="B7866" s="1" t="n">
        <v>45230</v>
      </c>
      <c r="C7866" s="1" t="n">
        <v>45710</v>
      </c>
      <c r="D7866" t="inlineStr">
        <is>
          <t>ÖSTERGÖTLANDS LÄN</t>
        </is>
      </c>
      <c r="E7866" t="inlineStr">
        <is>
          <t>LINKÖPING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53797-2023</t>
        </is>
      </c>
      <c r="B7867" s="1" t="n">
        <v>45230</v>
      </c>
      <c r="C7867" s="1" t="n">
        <v>45710</v>
      </c>
      <c r="D7867" t="inlineStr">
        <is>
          <t>ÖSTERGÖTLANDS LÄN</t>
        </is>
      </c>
      <c r="E7867" t="inlineStr">
        <is>
          <t>LINKÖPING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53835-2023</t>
        </is>
      </c>
      <c r="B7868" s="1" t="n">
        <v>45230</v>
      </c>
      <c r="C7868" s="1" t="n">
        <v>45710</v>
      </c>
      <c r="D7868" t="inlineStr">
        <is>
          <t>ÖSTERGÖTLANDS LÄN</t>
        </is>
      </c>
      <c r="E7868" t="inlineStr">
        <is>
          <t>LINKÖPING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53777-2023</t>
        </is>
      </c>
      <c r="B7869" s="1" t="n">
        <v>45231</v>
      </c>
      <c r="C7869" s="1" t="n">
        <v>45710</v>
      </c>
      <c r="D7869" t="inlineStr">
        <is>
          <t>ÖSTERGÖTLANDS LÄN</t>
        </is>
      </c>
      <c r="E7869" t="inlineStr">
        <is>
          <t>SÖDERKÖPING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53814-2023</t>
        </is>
      </c>
      <c r="B7870" s="1" t="n">
        <v>45231</v>
      </c>
      <c r="C7870" s="1" t="n">
        <v>45710</v>
      </c>
      <c r="D7870" t="inlineStr">
        <is>
          <t>ÖSTERGÖTLANDS LÄN</t>
        </is>
      </c>
      <c r="E7870" t="inlineStr">
        <is>
          <t>LINKÖPING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53784-2023</t>
        </is>
      </c>
      <c r="B7871" s="1" t="n">
        <v>45231</v>
      </c>
      <c r="C7871" s="1" t="n">
        <v>45710</v>
      </c>
      <c r="D7871" t="inlineStr">
        <is>
          <t>ÖSTERGÖTLANDS LÄN</t>
        </is>
      </c>
      <c r="E7871" t="inlineStr">
        <is>
          <t>NORRKÖPING</t>
        </is>
      </c>
      <c r="G7871" t="n">
        <v>5.4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53816-2023</t>
        </is>
      </c>
      <c r="B7872" s="1" t="n">
        <v>45231</v>
      </c>
      <c r="C7872" s="1" t="n">
        <v>45710</v>
      </c>
      <c r="D7872" t="inlineStr">
        <is>
          <t>ÖSTERGÖTLANDS LÄN</t>
        </is>
      </c>
      <c r="E7872" t="inlineStr">
        <is>
          <t>LINKÖPING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53983-2023</t>
        </is>
      </c>
      <c r="B7873" s="1" t="n">
        <v>45231</v>
      </c>
      <c r="C7873" s="1" t="n">
        <v>45710</v>
      </c>
      <c r="D7873" t="inlineStr">
        <is>
          <t>ÖSTERGÖTLANDS LÄN</t>
        </is>
      </c>
      <c r="E7873" t="inlineStr">
        <is>
          <t>YDRE</t>
        </is>
      </c>
      <c r="F7873" t="inlineStr">
        <is>
          <t>Kyrkan</t>
        </is>
      </c>
      <c r="G7873" t="n">
        <v>6.8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55386-2023</t>
        </is>
      </c>
      <c r="B7874" s="1" t="n">
        <v>45231</v>
      </c>
      <c r="C7874" s="1" t="n">
        <v>45710</v>
      </c>
      <c r="D7874" t="inlineStr">
        <is>
          <t>ÖSTERGÖTLANDS LÄN</t>
        </is>
      </c>
      <c r="E7874" t="inlineStr">
        <is>
          <t>YDRE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55395-2023</t>
        </is>
      </c>
      <c r="B7875" s="1" t="n">
        <v>45231</v>
      </c>
      <c r="C7875" s="1" t="n">
        <v>45710</v>
      </c>
      <c r="D7875" t="inlineStr">
        <is>
          <t>ÖSTERGÖTLANDS LÄN</t>
        </is>
      </c>
      <c r="E7875" t="inlineStr">
        <is>
          <t>YDRE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53812-2023</t>
        </is>
      </c>
      <c r="B7876" s="1" t="n">
        <v>45231</v>
      </c>
      <c r="C7876" s="1" t="n">
        <v>45710</v>
      </c>
      <c r="D7876" t="inlineStr">
        <is>
          <t>ÖSTERGÖTLANDS LÄN</t>
        </is>
      </c>
      <c r="E7876" t="inlineStr">
        <is>
          <t>LINKÖPING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54238-2023</t>
        </is>
      </c>
      <c r="B7877" s="1" t="n">
        <v>45232</v>
      </c>
      <c r="C7877" s="1" t="n">
        <v>45710</v>
      </c>
      <c r="D7877" t="inlineStr">
        <is>
          <t>ÖSTERGÖTLANDS LÄN</t>
        </is>
      </c>
      <c r="E7877" t="inlineStr">
        <is>
          <t>KINDA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54146-2023</t>
        </is>
      </c>
      <c r="B7878" s="1" t="n">
        <v>45232</v>
      </c>
      <c r="C7878" s="1" t="n">
        <v>45710</v>
      </c>
      <c r="D7878" t="inlineStr">
        <is>
          <t>ÖSTERGÖTLANDS LÄN</t>
        </is>
      </c>
      <c r="E7878" t="inlineStr">
        <is>
          <t>KINDA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54161-2023</t>
        </is>
      </c>
      <c r="B7879" s="1" t="n">
        <v>45232</v>
      </c>
      <c r="C7879" s="1" t="n">
        <v>45710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54218-2023</t>
        </is>
      </c>
      <c r="B7880" s="1" t="n">
        <v>45232</v>
      </c>
      <c r="C7880" s="1" t="n">
        <v>45710</v>
      </c>
      <c r="D7880" t="inlineStr">
        <is>
          <t>ÖSTERGÖTLANDS LÄN</t>
        </is>
      </c>
      <c r="E7880" t="inlineStr">
        <is>
          <t>NORRKÖPING</t>
        </is>
      </c>
      <c r="G7880" t="n">
        <v>5.5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54239-2023</t>
        </is>
      </c>
      <c r="B7881" s="1" t="n">
        <v>45232</v>
      </c>
      <c r="C7881" s="1" t="n">
        <v>45710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54243-2023</t>
        </is>
      </c>
      <c r="B7882" s="1" t="n">
        <v>45232</v>
      </c>
      <c r="C7882" s="1" t="n">
        <v>45710</v>
      </c>
      <c r="D7882" t="inlineStr">
        <is>
          <t>ÖSTERGÖTLANDS LÄN</t>
        </is>
      </c>
      <c r="E7882" t="inlineStr">
        <is>
          <t>KINDA</t>
        </is>
      </c>
      <c r="G7882" t="n">
        <v>4.3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54288-2023</t>
        </is>
      </c>
      <c r="B7883" s="1" t="n">
        <v>45232</v>
      </c>
      <c r="C7883" s="1" t="n">
        <v>45710</v>
      </c>
      <c r="D7883" t="inlineStr">
        <is>
          <t>ÖSTERGÖTLANDS LÄN</t>
        </is>
      </c>
      <c r="E7883" t="inlineStr">
        <is>
          <t>FINSPÅNG</t>
        </is>
      </c>
      <c r="G7883" t="n">
        <v>9.300000000000001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54300-2023</t>
        </is>
      </c>
      <c r="B7884" s="1" t="n">
        <v>45232</v>
      </c>
      <c r="C7884" s="1" t="n">
        <v>45710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54305-2023</t>
        </is>
      </c>
      <c r="B7885" s="1" t="n">
        <v>45232</v>
      </c>
      <c r="C7885" s="1" t="n">
        <v>45710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54299-2023</t>
        </is>
      </c>
      <c r="B7886" s="1" t="n">
        <v>45232</v>
      </c>
      <c r="C7886" s="1" t="n">
        <v>45710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54237-2023</t>
        </is>
      </c>
      <c r="B7887" s="1" t="n">
        <v>45232</v>
      </c>
      <c r="C7887" s="1" t="n">
        <v>45710</v>
      </c>
      <c r="D7887" t="inlineStr">
        <is>
          <t>ÖSTERGÖTLANDS LÄN</t>
        </is>
      </c>
      <c r="E7887" t="inlineStr">
        <is>
          <t>KINDA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54241-2023</t>
        </is>
      </c>
      <c r="B7888" s="1" t="n">
        <v>45232</v>
      </c>
      <c r="C7888" s="1" t="n">
        <v>45710</v>
      </c>
      <c r="D7888" t="inlineStr">
        <is>
          <t>ÖSTERGÖTLANDS LÄN</t>
        </is>
      </c>
      <c r="E7888" t="inlineStr">
        <is>
          <t>KINDA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54261-2023</t>
        </is>
      </c>
      <c r="B7889" s="1" t="n">
        <v>45232</v>
      </c>
      <c r="C7889" s="1" t="n">
        <v>45710</v>
      </c>
      <c r="D7889" t="inlineStr">
        <is>
          <t>ÖSTERGÖTLANDS LÄN</t>
        </is>
      </c>
      <c r="E7889" t="inlineStr">
        <is>
          <t>KINDA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54302-2023</t>
        </is>
      </c>
      <c r="B7890" s="1" t="n">
        <v>45232</v>
      </c>
      <c r="C7890" s="1" t="n">
        <v>45710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54240-2023</t>
        </is>
      </c>
      <c r="B7891" s="1" t="n">
        <v>45232</v>
      </c>
      <c r="C7891" s="1" t="n">
        <v>45710</v>
      </c>
      <c r="D7891" t="inlineStr">
        <is>
          <t>ÖSTERGÖTLANDS LÄN</t>
        </is>
      </c>
      <c r="E7891" t="inlineStr">
        <is>
          <t>KINDA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54301-2023</t>
        </is>
      </c>
      <c r="B7892" s="1" t="n">
        <v>45232</v>
      </c>
      <c r="C7892" s="1" t="n">
        <v>45710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2.2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54568-2023</t>
        </is>
      </c>
      <c r="B7893" s="1" t="n">
        <v>45233</v>
      </c>
      <c r="C7893" s="1" t="n">
        <v>45710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Övriga Aktiebolag</t>
        </is>
      </c>
      <c r="G7893" t="n">
        <v>2.5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54395-2023</t>
        </is>
      </c>
      <c r="B7894" s="1" t="n">
        <v>45233</v>
      </c>
      <c r="C7894" s="1" t="n">
        <v>45710</v>
      </c>
      <c r="D7894" t="inlineStr">
        <is>
          <t>ÖSTERGÖTLANDS LÄN</t>
        </is>
      </c>
      <c r="E7894" t="inlineStr">
        <is>
          <t>FINSPÅNG</t>
        </is>
      </c>
      <c r="G7894" t="n">
        <v>6.2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54404-2023</t>
        </is>
      </c>
      <c r="B7895" s="1" t="n">
        <v>45233</v>
      </c>
      <c r="C7895" s="1" t="n">
        <v>45710</v>
      </c>
      <c r="D7895" t="inlineStr">
        <is>
          <t>ÖSTERGÖTLANDS LÄN</t>
        </is>
      </c>
      <c r="E7895" t="inlineStr">
        <is>
          <t>FINSPÅNG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54398-2023</t>
        </is>
      </c>
      <c r="B7896" s="1" t="n">
        <v>45233</v>
      </c>
      <c r="C7896" s="1" t="n">
        <v>45710</v>
      </c>
      <c r="D7896" t="inlineStr">
        <is>
          <t>ÖSTERGÖTLANDS LÄN</t>
        </is>
      </c>
      <c r="E7896" t="inlineStr">
        <is>
          <t>FINSPÅNG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54393-2023</t>
        </is>
      </c>
      <c r="B7897" s="1" t="n">
        <v>45233</v>
      </c>
      <c r="C7897" s="1" t="n">
        <v>45710</v>
      </c>
      <c r="D7897" t="inlineStr">
        <is>
          <t>ÖSTERGÖTLANDS LÄN</t>
        </is>
      </c>
      <c r="E7897" t="inlineStr">
        <is>
          <t>BOXHOLM</t>
        </is>
      </c>
      <c r="F7897" t="inlineStr">
        <is>
          <t>Övriga Aktiebolag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54672-2023</t>
        </is>
      </c>
      <c r="B7898" s="1" t="n">
        <v>45235</v>
      </c>
      <c r="C7898" s="1" t="n">
        <v>45710</v>
      </c>
      <c r="D7898" t="inlineStr">
        <is>
          <t>ÖSTERGÖTLANDS LÄN</t>
        </is>
      </c>
      <c r="E7898" t="inlineStr">
        <is>
          <t>KINDA</t>
        </is>
      </c>
      <c r="G7898" t="n">
        <v>6.3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54654-2023</t>
        </is>
      </c>
      <c r="B7899" s="1" t="n">
        <v>45235</v>
      </c>
      <c r="C7899" s="1" t="n">
        <v>45710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54671-2023</t>
        </is>
      </c>
      <c r="B7900" s="1" t="n">
        <v>45235</v>
      </c>
      <c r="C7900" s="1" t="n">
        <v>45710</v>
      </c>
      <c r="D7900" t="inlineStr">
        <is>
          <t>ÖSTERGÖTLANDS LÄN</t>
        </is>
      </c>
      <c r="E7900" t="inlineStr">
        <is>
          <t>KINDA</t>
        </is>
      </c>
      <c r="G7900" t="n">
        <v>10.8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54724-2023</t>
        </is>
      </c>
      <c r="B7901" s="1" t="n">
        <v>45236</v>
      </c>
      <c r="C7901" s="1" t="n">
        <v>45710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5.6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54856-2023</t>
        </is>
      </c>
      <c r="B7902" s="1" t="n">
        <v>45236</v>
      </c>
      <c r="C7902" s="1" t="n">
        <v>45710</v>
      </c>
      <c r="D7902" t="inlineStr">
        <is>
          <t>ÖSTERGÖTLANDS LÄN</t>
        </is>
      </c>
      <c r="E7902" t="inlineStr">
        <is>
          <t>VALDEMARSVIK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54929-2023</t>
        </is>
      </c>
      <c r="B7903" s="1" t="n">
        <v>45236</v>
      </c>
      <c r="C7903" s="1" t="n">
        <v>45710</v>
      </c>
      <c r="D7903" t="inlineStr">
        <is>
          <t>ÖSTERGÖTLANDS LÄN</t>
        </is>
      </c>
      <c r="E7903" t="inlineStr">
        <is>
          <t>VALDEMARSVIK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54845-2023</t>
        </is>
      </c>
      <c r="B7904" s="1" t="n">
        <v>45236</v>
      </c>
      <c r="C7904" s="1" t="n">
        <v>45710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56324-2023</t>
        </is>
      </c>
      <c r="B7905" s="1" t="n">
        <v>45236</v>
      </c>
      <c r="C7905" s="1" t="n">
        <v>45710</v>
      </c>
      <c r="D7905" t="inlineStr">
        <is>
          <t>ÖSTERGÖTLANDS LÄN</t>
        </is>
      </c>
      <c r="E7905" t="inlineStr">
        <is>
          <t>LINKÖPING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54712-2023</t>
        </is>
      </c>
      <c r="B7906" s="1" t="n">
        <v>45236</v>
      </c>
      <c r="C7906" s="1" t="n">
        <v>45710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3.6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54730-2023</t>
        </is>
      </c>
      <c r="B7907" s="1" t="n">
        <v>45236</v>
      </c>
      <c r="C7907" s="1" t="n">
        <v>45710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54727-2023</t>
        </is>
      </c>
      <c r="B7908" s="1" t="n">
        <v>45236</v>
      </c>
      <c r="C7908" s="1" t="n">
        <v>45710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54732-2023</t>
        </is>
      </c>
      <c r="B7909" s="1" t="n">
        <v>45236</v>
      </c>
      <c r="C7909" s="1" t="n">
        <v>45710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54837-2023</t>
        </is>
      </c>
      <c r="B7910" s="1" t="n">
        <v>45236</v>
      </c>
      <c r="C7910" s="1" t="n">
        <v>45710</v>
      </c>
      <c r="D7910" t="inlineStr">
        <is>
          <t>ÖSTERGÖTLANDS LÄN</t>
        </is>
      </c>
      <c r="E7910" t="inlineStr">
        <is>
          <t>SÖDERKÖPING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54848-2023</t>
        </is>
      </c>
      <c r="B7911" s="1" t="n">
        <v>45236</v>
      </c>
      <c r="C7911" s="1" t="n">
        <v>45710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54942-2023</t>
        </is>
      </c>
      <c r="B7912" s="1" t="n">
        <v>45236</v>
      </c>
      <c r="C7912" s="1" t="n">
        <v>45710</v>
      </c>
      <c r="D7912" t="inlineStr">
        <is>
          <t>ÖSTERGÖTLANDS LÄN</t>
        </is>
      </c>
      <c r="E7912" t="inlineStr">
        <is>
          <t>YDRE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54855-2023</t>
        </is>
      </c>
      <c r="B7913" s="1" t="n">
        <v>45236</v>
      </c>
      <c r="C7913" s="1" t="n">
        <v>45710</v>
      </c>
      <c r="D7913" t="inlineStr">
        <is>
          <t>ÖSTERGÖTLANDS LÄN</t>
        </is>
      </c>
      <c r="E7913" t="inlineStr">
        <is>
          <t>VALDEMARSVIK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54861-2023</t>
        </is>
      </c>
      <c r="B7914" s="1" t="n">
        <v>45236</v>
      </c>
      <c r="C7914" s="1" t="n">
        <v>45710</v>
      </c>
      <c r="D7914" t="inlineStr">
        <is>
          <t>ÖSTERGÖTLANDS LÄN</t>
        </is>
      </c>
      <c r="E7914" t="inlineStr">
        <is>
          <t>VALDEMARSVIK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54832-2023</t>
        </is>
      </c>
      <c r="B7915" s="1" t="n">
        <v>45236</v>
      </c>
      <c r="C7915" s="1" t="n">
        <v>45710</v>
      </c>
      <c r="D7915" t="inlineStr">
        <is>
          <t>ÖSTERGÖTLANDS LÄN</t>
        </is>
      </c>
      <c r="E7915" t="inlineStr">
        <is>
          <t>SÖDERKÖPING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54849-2023</t>
        </is>
      </c>
      <c r="B7916" s="1" t="n">
        <v>45236</v>
      </c>
      <c r="C7916" s="1" t="n">
        <v>45710</v>
      </c>
      <c r="D7916" t="inlineStr">
        <is>
          <t>ÖSTERGÖTLANDS LÄN</t>
        </is>
      </c>
      <c r="E7916" t="inlineStr">
        <is>
          <t>VALDEMARSVIK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54918-2023</t>
        </is>
      </c>
      <c r="B7917" s="1" t="n">
        <v>45236</v>
      </c>
      <c r="C7917" s="1" t="n">
        <v>45710</v>
      </c>
      <c r="D7917" t="inlineStr">
        <is>
          <t>ÖSTERGÖTLANDS LÄN</t>
        </is>
      </c>
      <c r="E7917" t="inlineStr">
        <is>
          <t>VALDEMARSVIK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54933-2023</t>
        </is>
      </c>
      <c r="B7918" s="1" t="n">
        <v>45236</v>
      </c>
      <c r="C7918" s="1" t="n">
        <v>45710</v>
      </c>
      <c r="D7918" t="inlineStr">
        <is>
          <t>ÖSTERGÖTLANDS LÄN</t>
        </is>
      </c>
      <c r="E7918" t="inlineStr">
        <is>
          <t>YDRE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55009-2023</t>
        </is>
      </c>
      <c r="B7919" s="1" t="n">
        <v>45237</v>
      </c>
      <c r="C7919" s="1" t="n">
        <v>45710</v>
      </c>
      <c r="D7919" t="inlineStr">
        <is>
          <t>ÖSTERGÖTLANDS LÄN</t>
        </is>
      </c>
      <c r="E7919" t="inlineStr">
        <is>
          <t>LINKÖPING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55010-2023</t>
        </is>
      </c>
      <c r="B7920" s="1" t="n">
        <v>45237</v>
      </c>
      <c r="C7920" s="1" t="n">
        <v>45710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Kyrkan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55052-2023</t>
        </is>
      </c>
      <c r="B7921" s="1" t="n">
        <v>45237</v>
      </c>
      <c r="C7921" s="1" t="n">
        <v>45710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Kyrkan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55063-2023</t>
        </is>
      </c>
      <c r="B7922" s="1" t="n">
        <v>45237</v>
      </c>
      <c r="C7922" s="1" t="n">
        <v>45710</v>
      </c>
      <c r="D7922" t="inlineStr">
        <is>
          <t>ÖSTERGÖTLANDS LÄN</t>
        </is>
      </c>
      <c r="E7922" t="inlineStr">
        <is>
          <t>NORRKÖPING</t>
        </is>
      </c>
      <c r="F7922" t="inlineStr">
        <is>
          <t>Kyrkan</t>
        </is>
      </c>
      <c r="G7922" t="n">
        <v>9.699999999999999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55266-2023</t>
        </is>
      </c>
      <c r="B7923" s="1" t="n">
        <v>45237</v>
      </c>
      <c r="C7923" s="1" t="n">
        <v>45710</v>
      </c>
      <c r="D7923" t="inlineStr">
        <is>
          <t>ÖSTERGÖTLANDS LÄN</t>
        </is>
      </c>
      <c r="E7923" t="inlineStr">
        <is>
          <t>MOTALA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55216-2023</t>
        </is>
      </c>
      <c r="B7924" s="1" t="n">
        <v>45237</v>
      </c>
      <c r="C7924" s="1" t="n">
        <v>45710</v>
      </c>
      <c r="D7924" t="inlineStr">
        <is>
          <t>ÖSTERGÖTLANDS LÄN</t>
        </is>
      </c>
      <c r="E7924" t="inlineStr">
        <is>
          <t>MJÖLBY</t>
        </is>
      </c>
      <c r="F7924" t="inlineStr">
        <is>
          <t>Kyrkan</t>
        </is>
      </c>
      <c r="G7924" t="n">
        <v>4.2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55295-2023</t>
        </is>
      </c>
      <c r="B7925" s="1" t="n">
        <v>45237</v>
      </c>
      <c r="C7925" s="1" t="n">
        <v>45710</v>
      </c>
      <c r="D7925" t="inlineStr">
        <is>
          <t>ÖSTERGÖTLANDS LÄN</t>
        </is>
      </c>
      <c r="E7925" t="inlineStr">
        <is>
          <t>MOTALA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55297-2023</t>
        </is>
      </c>
      <c r="B7926" s="1" t="n">
        <v>45237</v>
      </c>
      <c r="C7926" s="1" t="n">
        <v>45710</v>
      </c>
      <c r="D7926" t="inlineStr">
        <is>
          <t>ÖSTERGÖTLANDS LÄN</t>
        </is>
      </c>
      <c r="E7926" t="inlineStr">
        <is>
          <t>MOTALA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55277-2023</t>
        </is>
      </c>
      <c r="B7927" s="1" t="n">
        <v>45237</v>
      </c>
      <c r="C7927" s="1" t="n">
        <v>45710</v>
      </c>
      <c r="D7927" t="inlineStr">
        <is>
          <t>ÖSTERGÖTLANDS LÄN</t>
        </is>
      </c>
      <c r="E7927" t="inlineStr">
        <is>
          <t>MOTALA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55366-2023</t>
        </is>
      </c>
      <c r="B7928" s="1" t="n">
        <v>45238</v>
      </c>
      <c r="C7928" s="1" t="n">
        <v>45710</v>
      </c>
      <c r="D7928" t="inlineStr">
        <is>
          <t>ÖSTERGÖTLANDS LÄN</t>
        </is>
      </c>
      <c r="E7928" t="inlineStr">
        <is>
          <t>ÖDESHÖG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55378-2023</t>
        </is>
      </c>
      <c r="B7929" s="1" t="n">
        <v>45238</v>
      </c>
      <c r="C7929" s="1" t="n">
        <v>45710</v>
      </c>
      <c r="D7929" t="inlineStr">
        <is>
          <t>ÖSTERGÖTLANDS LÄN</t>
        </is>
      </c>
      <c r="E7929" t="inlineStr">
        <is>
          <t>LINKÖPING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55359-2023</t>
        </is>
      </c>
      <c r="B7930" s="1" t="n">
        <v>45238</v>
      </c>
      <c r="C7930" s="1" t="n">
        <v>45710</v>
      </c>
      <c r="D7930" t="inlineStr">
        <is>
          <t>ÖSTERGÖTLANDS LÄN</t>
        </is>
      </c>
      <c r="E7930" t="inlineStr">
        <is>
          <t>NORRKÖPING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55621-2023</t>
        </is>
      </c>
      <c r="B7931" s="1" t="n">
        <v>45238</v>
      </c>
      <c r="C7931" s="1" t="n">
        <v>45710</v>
      </c>
      <c r="D7931" t="inlineStr">
        <is>
          <t>ÖSTERGÖTLANDS LÄN</t>
        </is>
      </c>
      <c r="E7931" t="inlineStr">
        <is>
          <t>VALDEMARSVIK</t>
        </is>
      </c>
      <c r="G7931" t="n">
        <v>4.6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55612-2023</t>
        </is>
      </c>
      <c r="B7932" s="1" t="n">
        <v>45238</v>
      </c>
      <c r="C7932" s="1" t="n">
        <v>45710</v>
      </c>
      <c r="D7932" t="inlineStr">
        <is>
          <t>ÖSTERGÖTLANDS LÄN</t>
        </is>
      </c>
      <c r="E7932" t="inlineStr">
        <is>
          <t>KINDA</t>
        </is>
      </c>
      <c r="G7932" t="n">
        <v>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55620-2023</t>
        </is>
      </c>
      <c r="B7933" s="1" t="n">
        <v>45238</v>
      </c>
      <c r="C7933" s="1" t="n">
        <v>45710</v>
      </c>
      <c r="D7933" t="inlineStr">
        <is>
          <t>ÖSTERGÖTLANDS LÄN</t>
        </is>
      </c>
      <c r="E7933" t="inlineStr">
        <is>
          <t>VALDEMARSVIK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55624-2023</t>
        </is>
      </c>
      <c r="B7934" s="1" t="n">
        <v>45238</v>
      </c>
      <c r="C7934" s="1" t="n">
        <v>45710</v>
      </c>
      <c r="D7934" t="inlineStr">
        <is>
          <t>ÖSTERGÖTLANDS LÄN</t>
        </is>
      </c>
      <c r="E7934" t="inlineStr">
        <is>
          <t>BOXHOLM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56560-2023</t>
        </is>
      </c>
      <c r="B7935" s="1" t="n">
        <v>45238</v>
      </c>
      <c r="C7935" s="1" t="n">
        <v>45710</v>
      </c>
      <c r="D7935" t="inlineStr">
        <is>
          <t>ÖSTERGÖTLANDS LÄN</t>
        </is>
      </c>
      <c r="E7935" t="inlineStr">
        <is>
          <t>LINKÖPING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55772-2023</t>
        </is>
      </c>
      <c r="B7936" s="1" t="n">
        <v>45239</v>
      </c>
      <c r="C7936" s="1" t="n">
        <v>45710</v>
      </c>
      <c r="D7936" t="inlineStr">
        <is>
          <t>ÖSTERGÖTLANDS LÄN</t>
        </is>
      </c>
      <c r="E7936" t="inlineStr">
        <is>
          <t>SÖDERKÖPING</t>
        </is>
      </c>
      <c r="F7936" t="inlineStr">
        <is>
          <t>Holmen skog AB</t>
        </is>
      </c>
      <c r="G7936" t="n">
        <v>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55869-2023</t>
        </is>
      </c>
      <c r="B7937" s="1" t="n">
        <v>45239</v>
      </c>
      <c r="C7937" s="1" t="n">
        <v>45710</v>
      </c>
      <c r="D7937" t="inlineStr">
        <is>
          <t>ÖSTERGÖTLANDS LÄN</t>
        </is>
      </c>
      <c r="E7937" t="inlineStr">
        <is>
          <t>FINSPÅNG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55867-2023</t>
        </is>
      </c>
      <c r="B7938" s="1" t="n">
        <v>45239</v>
      </c>
      <c r="C7938" s="1" t="n">
        <v>45710</v>
      </c>
      <c r="D7938" t="inlineStr">
        <is>
          <t>ÖSTERGÖTLANDS LÄN</t>
        </is>
      </c>
      <c r="E7938" t="inlineStr">
        <is>
          <t>YDRE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55762-2023</t>
        </is>
      </c>
      <c r="B7939" s="1" t="n">
        <v>45239</v>
      </c>
      <c r="C7939" s="1" t="n">
        <v>45710</v>
      </c>
      <c r="D7939" t="inlineStr">
        <is>
          <t>ÖSTERGÖTLANDS LÄN</t>
        </is>
      </c>
      <c r="E7939" t="inlineStr">
        <is>
          <t>SÖDERKÖPING</t>
        </is>
      </c>
      <c r="F7939" t="inlineStr">
        <is>
          <t>Holmen skog AB</t>
        </is>
      </c>
      <c r="G7939" t="n">
        <v>4.8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57346-2023</t>
        </is>
      </c>
      <c r="B7940" s="1" t="n">
        <v>45239</v>
      </c>
      <c r="C7940" s="1" t="n">
        <v>45710</v>
      </c>
      <c r="D7940" t="inlineStr">
        <is>
          <t>ÖSTERGÖTLANDS LÄN</t>
        </is>
      </c>
      <c r="E7940" t="inlineStr">
        <is>
          <t>MOTALA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56210-2023</t>
        </is>
      </c>
      <c r="B7941" s="1" t="n">
        <v>45240</v>
      </c>
      <c r="C7941" s="1" t="n">
        <v>45710</v>
      </c>
      <c r="D7941" t="inlineStr">
        <is>
          <t>ÖSTERGÖTLANDS LÄN</t>
        </is>
      </c>
      <c r="E7941" t="inlineStr">
        <is>
          <t>NORRKÖPING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57434-2023</t>
        </is>
      </c>
      <c r="B7942" s="1" t="n">
        <v>45240</v>
      </c>
      <c r="C7942" s="1" t="n">
        <v>45710</v>
      </c>
      <c r="D7942" t="inlineStr">
        <is>
          <t>ÖSTERGÖTLANDS LÄN</t>
        </is>
      </c>
      <c r="E7942" t="inlineStr">
        <is>
          <t>YDRE</t>
        </is>
      </c>
      <c r="G7942" t="n">
        <v>2.2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56014-2023</t>
        </is>
      </c>
      <c r="B7943" s="1" t="n">
        <v>45240</v>
      </c>
      <c r="C7943" s="1" t="n">
        <v>45710</v>
      </c>
      <c r="D7943" t="inlineStr">
        <is>
          <t>ÖSTERGÖTLANDS LÄN</t>
        </is>
      </c>
      <c r="E7943" t="inlineStr">
        <is>
          <t>VALDEMARSVIK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56122-2023</t>
        </is>
      </c>
      <c r="B7944" s="1" t="n">
        <v>45240</v>
      </c>
      <c r="C7944" s="1" t="n">
        <v>45710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56106-2023</t>
        </is>
      </c>
      <c r="B7945" s="1" t="n">
        <v>45240</v>
      </c>
      <c r="C7945" s="1" t="n">
        <v>45710</v>
      </c>
      <c r="D7945" t="inlineStr">
        <is>
          <t>ÖSTERGÖTLANDS LÄN</t>
        </is>
      </c>
      <c r="E7945" t="inlineStr">
        <is>
          <t>BOXHOLM</t>
        </is>
      </c>
      <c r="F7945" t="inlineStr">
        <is>
          <t>Övriga Aktiebolag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55971-2023</t>
        </is>
      </c>
      <c r="B7946" s="1" t="n">
        <v>45240</v>
      </c>
      <c r="C7946" s="1" t="n">
        <v>45710</v>
      </c>
      <c r="D7946" t="inlineStr">
        <is>
          <t>ÖSTERGÖTLANDS LÄN</t>
        </is>
      </c>
      <c r="E7946" t="inlineStr">
        <is>
          <t>ÖDESHÖG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55950-2023</t>
        </is>
      </c>
      <c r="B7947" s="1" t="n">
        <v>45240</v>
      </c>
      <c r="C7947" s="1" t="n">
        <v>45710</v>
      </c>
      <c r="D7947" t="inlineStr">
        <is>
          <t>ÖSTERGÖTLANDS LÄN</t>
        </is>
      </c>
      <c r="E7947" t="inlineStr">
        <is>
          <t>KINDA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56094-2023</t>
        </is>
      </c>
      <c r="B7948" s="1" t="n">
        <v>45240</v>
      </c>
      <c r="C7948" s="1" t="n">
        <v>45710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55955-2023</t>
        </is>
      </c>
      <c r="B7949" s="1" t="n">
        <v>45240</v>
      </c>
      <c r="C7949" s="1" t="n">
        <v>45710</v>
      </c>
      <c r="D7949" t="inlineStr">
        <is>
          <t>ÖSTERGÖTLANDS LÄN</t>
        </is>
      </c>
      <c r="E7949" t="inlineStr">
        <is>
          <t>KINDA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56091-2023</t>
        </is>
      </c>
      <c r="B7950" s="1" t="n">
        <v>45240</v>
      </c>
      <c r="C7950" s="1" t="n">
        <v>45710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3.1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55947-2023</t>
        </is>
      </c>
      <c r="B7951" s="1" t="n">
        <v>45240</v>
      </c>
      <c r="C7951" s="1" t="n">
        <v>45710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56273-2023</t>
        </is>
      </c>
      <c r="B7952" s="1" t="n">
        <v>45241</v>
      </c>
      <c r="C7952" s="1" t="n">
        <v>45710</v>
      </c>
      <c r="D7952" t="inlineStr">
        <is>
          <t>ÖSTERGÖTLANDS LÄN</t>
        </is>
      </c>
      <c r="E7952" t="inlineStr">
        <is>
          <t>FINSPÅNG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56348-2023</t>
        </is>
      </c>
      <c r="B7953" s="1" t="n">
        <v>45243</v>
      </c>
      <c r="C7953" s="1" t="n">
        <v>45710</v>
      </c>
      <c r="D7953" t="inlineStr">
        <is>
          <t>ÖSTERGÖTLANDS LÄN</t>
        </is>
      </c>
      <c r="E7953" t="inlineStr">
        <is>
          <t>YDRE</t>
        </is>
      </c>
      <c r="F7953" t="inlineStr">
        <is>
          <t>Sveaskog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56524-2023</t>
        </is>
      </c>
      <c r="B7954" s="1" t="n">
        <v>45243</v>
      </c>
      <c r="C7954" s="1" t="n">
        <v>45710</v>
      </c>
      <c r="D7954" t="inlineStr">
        <is>
          <t>ÖSTERGÖTLANDS LÄN</t>
        </is>
      </c>
      <c r="E7954" t="inlineStr">
        <is>
          <t>ÅTVIDABERG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56537-2023</t>
        </is>
      </c>
      <c r="B7955" s="1" t="n">
        <v>45243</v>
      </c>
      <c r="C7955" s="1" t="n">
        <v>45710</v>
      </c>
      <c r="D7955" t="inlineStr">
        <is>
          <t>ÖSTERGÖTLANDS LÄN</t>
        </is>
      </c>
      <c r="E7955" t="inlineStr">
        <is>
          <t>ÅTVIDABERG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56630-2023</t>
        </is>
      </c>
      <c r="B7956" s="1" t="n">
        <v>45243</v>
      </c>
      <c r="C7956" s="1" t="n">
        <v>45710</v>
      </c>
      <c r="D7956" t="inlineStr">
        <is>
          <t>ÖSTERGÖTLANDS LÄN</t>
        </is>
      </c>
      <c r="E7956" t="inlineStr">
        <is>
          <t>MJÖLBY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56551-2023</t>
        </is>
      </c>
      <c r="B7957" s="1" t="n">
        <v>45243</v>
      </c>
      <c r="C7957" s="1" t="n">
        <v>45710</v>
      </c>
      <c r="D7957" t="inlineStr">
        <is>
          <t>ÖSTERGÖTLANDS LÄN</t>
        </is>
      </c>
      <c r="E7957" t="inlineStr">
        <is>
          <t>ÅTVIDABERG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56341-2023</t>
        </is>
      </c>
      <c r="B7958" s="1" t="n">
        <v>45243</v>
      </c>
      <c r="C7958" s="1" t="n">
        <v>45710</v>
      </c>
      <c r="D7958" t="inlineStr">
        <is>
          <t>ÖSTERGÖTLANDS LÄN</t>
        </is>
      </c>
      <c r="E7958" t="inlineStr">
        <is>
          <t>BOXHOLM</t>
        </is>
      </c>
      <c r="F7958" t="inlineStr">
        <is>
          <t>Övriga Aktiebolag</t>
        </is>
      </c>
      <c r="G7958" t="n">
        <v>4.7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56420-2023</t>
        </is>
      </c>
      <c r="B7959" s="1" t="n">
        <v>45243</v>
      </c>
      <c r="C7959" s="1" t="n">
        <v>45710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57697-2023</t>
        </is>
      </c>
      <c r="B7960" s="1" t="n">
        <v>45243</v>
      </c>
      <c r="C7960" s="1" t="n">
        <v>45710</v>
      </c>
      <c r="D7960" t="inlineStr">
        <is>
          <t>ÖSTERGÖTLANDS LÄN</t>
        </is>
      </c>
      <c r="E7960" t="inlineStr">
        <is>
          <t>MOTALA</t>
        </is>
      </c>
      <c r="F7960" t="inlineStr">
        <is>
          <t>Övriga statliga verk och myndigheter</t>
        </is>
      </c>
      <c r="G7960" t="n">
        <v>24.8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57719-2023</t>
        </is>
      </c>
      <c r="B7961" s="1" t="n">
        <v>45243</v>
      </c>
      <c r="C7961" s="1" t="n">
        <v>45710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statliga verk och myndigheter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57717-2023</t>
        </is>
      </c>
      <c r="B7962" s="1" t="n">
        <v>45243</v>
      </c>
      <c r="C7962" s="1" t="n">
        <v>45710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statliga verk och myndigheter</t>
        </is>
      </c>
      <c r="G7962" t="n">
        <v>3.7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57705-2023</t>
        </is>
      </c>
      <c r="B7963" s="1" t="n">
        <v>45243</v>
      </c>
      <c r="C7963" s="1" t="n">
        <v>45710</v>
      </c>
      <c r="D7963" t="inlineStr">
        <is>
          <t>ÖSTERGÖTLANDS LÄN</t>
        </is>
      </c>
      <c r="E7963" t="inlineStr">
        <is>
          <t>MOTALA</t>
        </is>
      </c>
      <c r="F7963" t="inlineStr">
        <is>
          <t>Övriga statliga verk och myndigheter</t>
        </is>
      </c>
      <c r="G7963" t="n">
        <v>25.1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57713-2023</t>
        </is>
      </c>
      <c r="B7964" s="1" t="n">
        <v>45243</v>
      </c>
      <c r="C7964" s="1" t="n">
        <v>45710</v>
      </c>
      <c r="D7964" t="inlineStr">
        <is>
          <t>ÖSTERGÖTLANDS LÄN</t>
        </is>
      </c>
      <c r="E7964" t="inlineStr">
        <is>
          <t>MOTALA</t>
        </is>
      </c>
      <c r="F7964" t="inlineStr">
        <is>
          <t>Övriga statliga verk och myndigheter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57710-2023</t>
        </is>
      </c>
      <c r="B7965" s="1" t="n">
        <v>45243</v>
      </c>
      <c r="C7965" s="1" t="n">
        <v>45710</v>
      </c>
      <c r="D7965" t="inlineStr">
        <is>
          <t>ÖSTERGÖTLANDS LÄN</t>
        </is>
      </c>
      <c r="E7965" t="inlineStr">
        <is>
          <t>MOTALA</t>
        </is>
      </c>
      <c r="F7965" t="inlineStr">
        <is>
          <t>Övriga statliga verk och myndigheter</t>
        </is>
      </c>
      <c r="G7965" t="n">
        <v>12.2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57715-2023</t>
        </is>
      </c>
      <c r="B7966" s="1" t="n">
        <v>45243</v>
      </c>
      <c r="C7966" s="1" t="n">
        <v>45710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statliga verk och myndigheter</t>
        </is>
      </c>
      <c r="G7966" t="n">
        <v>4.6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57724-2023</t>
        </is>
      </c>
      <c r="B7967" s="1" t="n">
        <v>45243</v>
      </c>
      <c r="C7967" s="1" t="n">
        <v>45710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statliga verk och myndigheter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56721-2023</t>
        </is>
      </c>
      <c r="B7968" s="1" t="n">
        <v>45244</v>
      </c>
      <c r="C7968" s="1" t="n">
        <v>45710</v>
      </c>
      <c r="D7968" t="inlineStr">
        <is>
          <t>ÖSTERGÖTLANDS LÄN</t>
        </is>
      </c>
      <c r="E7968" t="inlineStr">
        <is>
          <t>ÖDESHÖG</t>
        </is>
      </c>
      <c r="G7968" t="n">
        <v>8.800000000000001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56731-2023</t>
        </is>
      </c>
      <c r="B7969" s="1" t="n">
        <v>45244</v>
      </c>
      <c r="C7969" s="1" t="n">
        <v>45710</v>
      </c>
      <c r="D7969" t="inlineStr">
        <is>
          <t>ÖSTERGÖTLANDS LÄN</t>
        </is>
      </c>
      <c r="E7969" t="inlineStr">
        <is>
          <t>ÖDESHÖG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56756-2023</t>
        </is>
      </c>
      <c r="B7970" s="1" t="n">
        <v>45244</v>
      </c>
      <c r="C7970" s="1" t="n">
        <v>45710</v>
      </c>
      <c r="D7970" t="inlineStr">
        <is>
          <t>ÖSTERGÖTLANDS LÄN</t>
        </is>
      </c>
      <c r="E7970" t="inlineStr">
        <is>
          <t>LINKÖPING</t>
        </is>
      </c>
      <c r="F7970" t="inlineStr">
        <is>
          <t>Övriga Aktiebolag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56741-2023</t>
        </is>
      </c>
      <c r="B7971" s="1" t="n">
        <v>45244</v>
      </c>
      <c r="C7971" s="1" t="n">
        <v>45710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56797-2023</t>
        </is>
      </c>
      <c r="B7972" s="1" t="n">
        <v>45244</v>
      </c>
      <c r="C7972" s="1" t="n">
        <v>45710</v>
      </c>
      <c r="D7972" t="inlineStr">
        <is>
          <t>ÖSTERGÖTLANDS LÄN</t>
        </is>
      </c>
      <c r="E7972" t="inlineStr">
        <is>
          <t>ÖDESHÖG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56828-2023</t>
        </is>
      </c>
      <c r="B7973" s="1" t="n">
        <v>45244</v>
      </c>
      <c r="C7973" s="1" t="n">
        <v>45710</v>
      </c>
      <c r="D7973" t="inlineStr">
        <is>
          <t>ÖSTERGÖTLANDS LÄN</t>
        </is>
      </c>
      <c r="E7973" t="inlineStr">
        <is>
          <t>ÖDESHÖG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56861-2023</t>
        </is>
      </c>
      <c r="B7974" s="1" t="n">
        <v>45244</v>
      </c>
      <c r="C7974" s="1" t="n">
        <v>45710</v>
      </c>
      <c r="D7974" t="inlineStr">
        <is>
          <t>ÖSTERGÖTLANDS LÄN</t>
        </is>
      </c>
      <c r="E7974" t="inlineStr">
        <is>
          <t>SÖDERKÖPING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56887-2023</t>
        </is>
      </c>
      <c r="B7975" s="1" t="n">
        <v>45244</v>
      </c>
      <c r="C7975" s="1" t="n">
        <v>45710</v>
      </c>
      <c r="D7975" t="inlineStr">
        <is>
          <t>ÖSTERGÖTLANDS LÄN</t>
        </is>
      </c>
      <c r="E7975" t="inlineStr">
        <is>
          <t>SÖDERKÖPING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56897-2023</t>
        </is>
      </c>
      <c r="B7976" s="1" t="n">
        <v>45244</v>
      </c>
      <c r="C7976" s="1" t="n">
        <v>45710</v>
      </c>
      <c r="D7976" t="inlineStr">
        <is>
          <t>ÖSTERGÖTLANDS LÄN</t>
        </is>
      </c>
      <c r="E7976" t="inlineStr">
        <is>
          <t>SÖDERKÖPING</t>
        </is>
      </c>
      <c r="G7976" t="n">
        <v>5.9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56922-2023</t>
        </is>
      </c>
      <c r="B7977" s="1" t="n">
        <v>45244</v>
      </c>
      <c r="C7977" s="1" t="n">
        <v>45710</v>
      </c>
      <c r="D7977" t="inlineStr">
        <is>
          <t>ÖSTERGÖTLANDS LÄN</t>
        </is>
      </c>
      <c r="E7977" t="inlineStr">
        <is>
          <t>VALDEMARSVIK</t>
        </is>
      </c>
      <c r="G7977" t="n">
        <v>2.6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56913-2023</t>
        </is>
      </c>
      <c r="B7978" s="1" t="n">
        <v>45244</v>
      </c>
      <c r="C7978" s="1" t="n">
        <v>45710</v>
      </c>
      <c r="D7978" t="inlineStr">
        <is>
          <t>ÖSTERGÖTLANDS LÄN</t>
        </is>
      </c>
      <c r="E7978" t="inlineStr">
        <is>
          <t>VALDEMARSVIK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56792-2023</t>
        </is>
      </c>
      <c r="B7979" s="1" t="n">
        <v>45244</v>
      </c>
      <c r="C7979" s="1" t="n">
        <v>45710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56879-2023</t>
        </is>
      </c>
      <c r="B7980" s="1" t="n">
        <v>45244</v>
      </c>
      <c r="C7980" s="1" t="n">
        <v>45710</v>
      </c>
      <c r="D7980" t="inlineStr">
        <is>
          <t>ÖSTERGÖTLANDS LÄN</t>
        </is>
      </c>
      <c r="E7980" t="inlineStr">
        <is>
          <t>SÖDERKÖPING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56841-2023</t>
        </is>
      </c>
      <c r="B7981" s="1" t="n">
        <v>45244</v>
      </c>
      <c r="C7981" s="1" t="n">
        <v>45710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56907-2023</t>
        </is>
      </c>
      <c r="B7982" s="1" t="n">
        <v>45244</v>
      </c>
      <c r="C7982" s="1" t="n">
        <v>45710</v>
      </c>
      <c r="D7982" t="inlineStr">
        <is>
          <t>ÖSTERGÖTLANDS LÄN</t>
        </is>
      </c>
      <c r="E7982" t="inlineStr">
        <is>
          <t>SÖDERKÖPING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56916-2023</t>
        </is>
      </c>
      <c r="B7983" s="1" t="n">
        <v>45244</v>
      </c>
      <c r="C7983" s="1" t="n">
        <v>45710</v>
      </c>
      <c r="D7983" t="inlineStr">
        <is>
          <t>ÖSTERGÖTLANDS LÄN</t>
        </is>
      </c>
      <c r="E7983" t="inlineStr">
        <is>
          <t>VALDEMARSVIK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56874-2023</t>
        </is>
      </c>
      <c r="B7984" s="1" t="n">
        <v>45244</v>
      </c>
      <c r="C7984" s="1" t="n">
        <v>45710</v>
      </c>
      <c r="D7984" t="inlineStr">
        <is>
          <t>ÖSTERGÖTLANDS LÄN</t>
        </is>
      </c>
      <c r="E7984" t="inlineStr">
        <is>
          <t>SÖDERKÖPING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56878-2023</t>
        </is>
      </c>
      <c r="B7985" s="1" t="n">
        <v>45244</v>
      </c>
      <c r="C7985" s="1" t="n">
        <v>45710</v>
      </c>
      <c r="D7985" t="inlineStr">
        <is>
          <t>ÖSTERGÖTLANDS LÄN</t>
        </is>
      </c>
      <c r="E7985" t="inlineStr">
        <is>
          <t>SÖDERKÖPING</t>
        </is>
      </c>
      <c r="G7985" t="n">
        <v>5.6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56919-2023</t>
        </is>
      </c>
      <c r="B7986" s="1" t="n">
        <v>45244</v>
      </c>
      <c r="C7986" s="1" t="n">
        <v>45710</v>
      </c>
      <c r="D7986" t="inlineStr">
        <is>
          <t>ÖSTERGÖTLANDS LÄN</t>
        </is>
      </c>
      <c r="E7986" t="inlineStr">
        <is>
          <t>VALDEMARSVIK</t>
        </is>
      </c>
      <c r="G7986" t="n">
        <v>5.3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56950-2023</t>
        </is>
      </c>
      <c r="B7987" s="1" t="n">
        <v>45244</v>
      </c>
      <c r="C7987" s="1" t="n">
        <v>45710</v>
      </c>
      <c r="D7987" t="inlineStr">
        <is>
          <t>ÖSTERGÖTLANDS LÄN</t>
        </is>
      </c>
      <c r="E7987" t="inlineStr">
        <is>
          <t>MOTALA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57287-2023</t>
        </is>
      </c>
      <c r="B7988" s="1" t="n">
        <v>45245</v>
      </c>
      <c r="C7988" s="1" t="n">
        <v>45710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57336-2023</t>
        </is>
      </c>
      <c r="B7989" s="1" t="n">
        <v>45245</v>
      </c>
      <c r="C7989" s="1" t="n">
        <v>45710</v>
      </c>
      <c r="D7989" t="inlineStr">
        <is>
          <t>ÖSTERGÖTLANDS LÄN</t>
        </is>
      </c>
      <c r="E7989" t="inlineStr">
        <is>
          <t>KINDA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57155-2023</t>
        </is>
      </c>
      <c r="B7990" s="1" t="n">
        <v>45245</v>
      </c>
      <c r="C7990" s="1" t="n">
        <v>45710</v>
      </c>
      <c r="D7990" t="inlineStr">
        <is>
          <t>ÖSTERGÖTLANDS LÄN</t>
        </is>
      </c>
      <c r="E7990" t="inlineStr">
        <is>
          <t>SÖDERKÖPING</t>
        </is>
      </c>
      <c r="G7990" t="n">
        <v>4.6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57190-2023</t>
        </is>
      </c>
      <c r="B7991" s="1" t="n">
        <v>45245</v>
      </c>
      <c r="C7991" s="1" t="n">
        <v>45710</v>
      </c>
      <c r="D7991" t="inlineStr">
        <is>
          <t>ÖSTERGÖTLANDS LÄN</t>
        </is>
      </c>
      <c r="E7991" t="inlineStr">
        <is>
          <t>KINDA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57152-2023</t>
        </is>
      </c>
      <c r="B7992" s="1" t="n">
        <v>45245</v>
      </c>
      <c r="C7992" s="1" t="n">
        <v>45710</v>
      </c>
      <c r="D7992" t="inlineStr">
        <is>
          <t>ÖSTERGÖTLANDS LÄN</t>
        </is>
      </c>
      <c r="E7992" t="inlineStr">
        <is>
          <t>SÖDERKÖPING</t>
        </is>
      </c>
      <c r="F7992" t="inlineStr">
        <is>
          <t>Kyrkan</t>
        </is>
      </c>
      <c r="G7992" t="n">
        <v>3.3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57194-2023</t>
        </is>
      </c>
      <c r="B7993" s="1" t="n">
        <v>45245</v>
      </c>
      <c r="C7993" s="1" t="n">
        <v>45710</v>
      </c>
      <c r="D7993" t="inlineStr">
        <is>
          <t>ÖSTERGÖTLANDS LÄN</t>
        </is>
      </c>
      <c r="E7993" t="inlineStr">
        <is>
          <t>KINDA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57198-2023</t>
        </is>
      </c>
      <c r="B7994" s="1" t="n">
        <v>45245</v>
      </c>
      <c r="C7994" s="1" t="n">
        <v>45710</v>
      </c>
      <c r="D7994" t="inlineStr">
        <is>
          <t>ÖSTERGÖTLANDS LÄN</t>
        </is>
      </c>
      <c r="E7994" t="inlineStr">
        <is>
          <t>ÅTVIDABERG</t>
        </is>
      </c>
      <c r="G7994" t="n">
        <v>4.4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57245-2023</t>
        </is>
      </c>
      <c r="B7995" s="1" t="n">
        <v>45245</v>
      </c>
      <c r="C7995" s="1" t="n">
        <v>45710</v>
      </c>
      <c r="D7995" t="inlineStr">
        <is>
          <t>ÖSTERGÖTLANDS LÄN</t>
        </is>
      </c>
      <c r="E7995" t="inlineStr">
        <is>
          <t>SÖDERKÖPING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57338-2023</t>
        </is>
      </c>
      <c r="B7996" s="1" t="n">
        <v>45245</v>
      </c>
      <c r="C7996" s="1" t="n">
        <v>45710</v>
      </c>
      <c r="D7996" t="inlineStr">
        <is>
          <t>ÖSTERGÖTLANDS LÄN</t>
        </is>
      </c>
      <c r="E7996" t="inlineStr">
        <is>
          <t>KINDA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57349-2023</t>
        </is>
      </c>
      <c r="B7997" s="1" t="n">
        <v>45245</v>
      </c>
      <c r="C7997" s="1" t="n">
        <v>45710</v>
      </c>
      <c r="D7997" t="inlineStr">
        <is>
          <t>ÖSTERGÖTLANDS LÄN</t>
        </is>
      </c>
      <c r="E7997" t="inlineStr">
        <is>
          <t>SÖDERKÖPING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57354-2023</t>
        </is>
      </c>
      <c r="B7998" s="1" t="n">
        <v>45245</v>
      </c>
      <c r="C7998" s="1" t="n">
        <v>45710</v>
      </c>
      <c r="D7998" t="inlineStr">
        <is>
          <t>ÖSTERGÖTLANDS LÄN</t>
        </is>
      </c>
      <c r="E7998" t="inlineStr">
        <is>
          <t>SÖDERKÖPING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57342-2023</t>
        </is>
      </c>
      <c r="B7999" s="1" t="n">
        <v>45245</v>
      </c>
      <c r="C7999" s="1" t="n">
        <v>45710</v>
      </c>
      <c r="D7999" t="inlineStr">
        <is>
          <t>ÖSTERGÖTLANDS LÄN</t>
        </is>
      </c>
      <c r="E7999" t="inlineStr">
        <is>
          <t>KINDA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57347-2023</t>
        </is>
      </c>
      <c r="B8000" s="1" t="n">
        <v>45245</v>
      </c>
      <c r="C8000" s="1" t="n">
        <v>45710</v>
      </c>
      <c r="D8000" t="inlineStr">
        <is>
          <t>ÖSTERGÖTLANDS LÄN</t>
        </is>
      </c>
      <c r="E8000" t="inlineStr">
        <is>
          <t>KINDA</t>
        </is>
      </c>
      <c r="G8000" t="n">
        <v>9.300000000000001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57352-2023</t>
        </is>
      </c>
      <c r="B8001" s="1" t="n">
        <v>45245</v>
      </c>
      <c r="C8001" s="1" t="n">
        <v>45710</v>
      </c>
      <c r="D8001" t="inlineStr">
        <is>
          <t>ÖSTERGÖTLANDS LÄN</t>
        </is>
      </c>
      <c r="E8001" t="inlineStr">
        <is>
          <t>SÖDERKÖPING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57335-2023</t>
        </is>
      </c>
      <c r="B8002" s="1" t="n">
        <v>45245</v>
      </c>
      <c r="C8002" s="1" t="n">
        <v>45710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57344-2023</t>
        </is>
      </c>
      <c r="B8003" s="1" t="n">
        <v>45245</v>
      </c>
      <c r="C8003" s="1" t="n">
        <v>45710</v>
      </c>
      <c r="D8003" t="inlineStr">
        <is>
          <t>ÖSTERGÖTLANDS LÄN</t>
        </is>
      </c>
      <c r="E8003" t="inlineStr">
        <is>
          <t>KINDA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57350-2023</t>
        </is>
      </c>
      <c r="B8004" s="1" t="n">
        <v>45245</v>
      </c>
      <c r="C8004" s="1" t="n">
        <v>45710</v>
      </c>
      <c r="D8004" t="inlineStr">
        <is>
          <t>ÖSTERGÖTLANDS LÄN</t>
        </is>
      </c>
      <c r="E8004" t="inlineStr">
        <is>
          <t>SÖDERKÖPING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57391-2023</t>
        </is>
      </c>
      <c r="B8005" s="1" t="n">
        <v>45245</v>
      </c>
      <c r="C8005" s="1" t="n">
        <v>45710</v>
      </c>
      <c r="D8005" t="inlineStr">
        <is>
          <t>ÖSTERGÖTLANDS LÄN</t>
        </is>
      </c>
      <c r="E8005" t="inlineStr">
        <is>
          <t>LINKÖPING</t>
        </is>
      </c>
      <c r="F8005" t="inlineStr">
        <is>
          <t>Övriga Aktiebolag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58231-2023</t>
        </is>
      </c>
      <c r="B8006" s="1" t="n">
        <v>45245</v>
      </c>
      <c r="C8006" s="1" t="n">
        <v>45710</v>
      </c>
      <c r="D8006" t="inlineStr">
        <is>
          <t>ÖSTERGÖTLANDS LÄN</t>
        </is>
      </c>
      <c r="E8006" t="inlineStr">
        <is>
          <t>VALDEMARSVIK</t>
        </is>
      </c>
      <c r="G8006" t="n">
        <v>7.7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58382-2023</t>
        </is>
      </c>
      <c r="B8007" s="1" t="n">
        <v>45245</v>
      </c>
      <c r="C8007" s="1" t="n">
        <v>45710</v>
      </c>
      <c r="D8007" t="inlineStr">
        <is>
          <t>ÖSTERGÖTLANDS LÄN</t>
        </is>
      </c>
      <c r="E8007" t="inlineStr">
        <is>
          <t>YDRE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57442-2023</t>
        </is>
      </c>
      <c r="B8008" s="1" t="n">
        <v>45246</v>
      </c>
      <c r="C8008" s="1" t="n">
        <v>45710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57495-2023</t>
        </is>
      </c>
      <c r="B8009" s="1" t="n">
        <v>45246</v>
      </c>
      <c r="C8009" s="1" t="n">
        <v>45710</v>
      </c>
      <c r="D8009" t="inlineStr">
        <is>
          <t>ÖSTERGÖTLANDS LÄN</t>
        </is>
      </c>
      <c r="E8009" t="inlineStr">
        <is>
          <t>NORRKÖPING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57556-2023</t>
        </is>
      </c>
      <c r="B8010" s="1" t="n">
        <v>45246</v>
      </c>
      <c r="C8010" s="1" t="n">
        <v>45710</v>
      </c>
      <c r="D8010" t="inlineStr">
        <is>
          <t>ÖSTERGÖTLANDS LÄN</t>
        </is>
      </c>
      <c r="E8010" t="inlineStr">
        <is>
          <t>KINDA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57587-2023</t>
        </is>
      </c>
      <c r="B8011" s="1" t="n">
        <v>45246</v>
      </c>
      <c r="C8011" s="1" t="n">
        <v>45710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57592-2023</t>
        </is>
      </c>
      <c r="B8012" s="1" t="n">
        <v>45246</v>
      </c>
      <c r="C8012" s="1" t="n">
        <v>45710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1.9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57492-2023</t>
        </is>
      </c>
      <c r="B8013" s="1" t="n">
        <v>45246</v>
      </c>
      <c r="C8013" s="1" t="n">
        <v>45710</v>
      </c>
      <c r="D8013" t="inlineStr">
        <is>
          <t>ÖSTERGÖTLANDS LÄN</t>
        </is>
      </c>
      <c r="E8013" t="inlineStr">
        <is>
          <t>NORRKÖPING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57496-2023</t>
        </is>
      </c>
      <c r="B8014" s="1" t="n">
        <v>45246</v>
      </c>
      <c r="C8014" s="1" t="n">
        <v>45710</v>
      </c>
      <c r="D8014" t="inlineStr">
        <is>
          <t>ÖSTERGÖTLANDS LÄN</t>
        </is>
      </c>
      <c r="E8014" t="inlineStr">
        <is>
          <t>NORRKÖPING</t>
        </is>
      </c>
      <c r="G8014" t="n">
        <v>0.4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57525-2023</t>
        </is>
      </c>
      <c r="B8015" s="1" t="n">
        <v>45246</v>
      </c>
      <c r="C8015" s="1" t="n">
        <v>45710</v>
      </c>
      <c r="D8015" t="inlineStr">
        <is>
          <t>ÖSTERGÖTLANDS LÄN</t>
        </is>
      </c>
      <c r="E8015" t="inlineStr">
        <is>
          <t>BOXHOLM</t>
        </is>
      </c>
      <c r="F8015" t="inlineStr">
        <is>
          <t>Övriga Aktiebolag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57570-2023</t>
        </is>
      </c>
      <c r="B8016" s="1" t="n">
        <v>45246</v>
      </c>
      <c r="C8016" s="1" t="n">
        <v>45710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57582-2023</t>
        </is>
      </c>
      <c r="B8017" s="1" t="n">
        <v>45246</v>
      </c>
      <c r="C8017" s="1" t="n">
        <v>45710</v>
      </c>
      <c r="D8017" t="inlineStr">
        <is>
          <t>ÖSTERGÖTLANDS LÄN</t>
        </is>
      </c>
      <c r="E8017" t="inlineStr">
        <is>
          <t>YDRE</t>
        </is>
      </c>
      <c r="F8017" t="inlineStr">
        <is>
          <t>Sveaskog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57554-2023</t>
        </is>
      </c>
      <c r="B8018" s="1" t="n">
        <v>45246</v>
      </c>
      <c r="C8018" s="1" t="n">
        <v>45710</v>
      </c>
      <c r="D8018" t="inlineStr">
        <is>
          <t>ÖSTERGÖTLANDS LÄN</t>
        </is>
      </c>
      <c r="E8018" t="inlineStr">
        <is>
          <t>KINDA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57590-2023</t>
        </is>
      </c>
      <c r="B8019" s="1" t="n">
        <v>45246</v>
      </c>
      <c r="C8019" s="1" t="n">
        <v>45710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2.6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57478-2023</t>
        </is>
      </c>
      <c r="B8020" s="1" t="n">
        <v>45246</v>
      </c>
      <c r="C8020" s="1" t="n">
        <v>45710</v>
      </c>
      <c r="D8020" t="inlineStr">
        <is>
          <t>ÖSTERGÖTLANDS LÄN</t>
        </is>
      </c>
      <c r="E8020" t="inlineStr">
        <is>
          <t>SÖDERKÖPING</t>
        </is>
      </c>
      <c r="G8020" t="n">
        <v>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57752-2023</t>
        </is>
      </c>
      <c r="B8021" s="1" t="n">
        <v>45246</v>
      </c>
      <c r="C8021" s="1" t="n">
        <v>45710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57722-2023</t>
        </is>
      </c>
      <c r="B8022" s="1" t="n">
        <v>45246</v>
      </c>
      <c r="C8022" s="1" t="n">
        <v>45710</v>
      </c>
      <c r="D8022" t="inlineStr">
        <is>
          <t>ÖSTERGÖTLANDS LÄN</t>
        </is>
      </c>
      <c r="E8022" t="inlineStr">
        <is>
          <t>ÖDESHÖG</t>
        </is>
      </c>
      <c r="F8022" t="inlineStr">
        <is>
          <t>Kommuner</t>
        </is>
      </c>
      <c r="G8022" t="n">
        <v>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57624-2023</t>
        </is>
      </c>
      <c r="B8023" s="1" t="n">
        <v>45246</v>
      </c>
      <c r="C8023" s="1" t="n">
        <v>45710</v>
      </c>
      <c r="D8023" t="inlineStr">
        <is>
          <t>ÖSTERGÖTLANDS LÄN</t>
        </is>
      </c>
      <c r="E8023" t="inlineStr">
        <is>
          <t>MOTALA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57766-2023</t>
        </is>
      </c>
      <c r="B8024" s="1" t="n">
        <v>45246</v>
      </c>
      <c r="C8024" s="1" t="n">
        <v>45710</v>
      </c>
      <c r="D8024" t="inlineStr">
        <is>
          <t>ÖSTERGÖTLANDS LÄN</t>
        </is>
      </c>
      <c r="E8024" t="inlineStr">
        <is>
          <t>LINKÖPING</t>
        </is>
      </c>
      <c r="F8024" t="inlineStr">
        <is>
          <t>Allmännings- och besparingsskogar</t>
        </is>
      </c>
      <c r="G8024" t="n">
        <v>12.8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57551-2023</t>
        </is>
      </c>
      <c r="B8025" s="1" t="n">
        <v>45246</v>
      </c>
      <c r="C8025" s="1" t="n">
        <v>45710</v>
      </c>
      <c r="D8025" t="inlineStr">
        <is>
          <t>ÖSTERGÖTLANDS LÄN</t>
        </is>
      </c>
      <c r="E8025" t="inlineStr">
        <is>
          <t>KINDA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57555-2023</t>
        </is>
      </c>
      <c r="B8026" s="1" t="n">
        <v>45246</v>
      </c>
      <c r="C8026" s="1" t="n">
        <v>45710</v>
      </c>
      <c r="D8026" t="inlineStr">
        <is>
          <t>ÖSTERGÖTLANDS LÄN</t>
        </is>
      </c>
      <c r="E8026" t="inlineStr">
        <is>
          <t>KINDA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57580-2023</t>
        </is>
      </c>
      <c r="B8027" s="1" t="n">
        <v>45246</v>
      </c>
      <c r="C8027" s="1" t="n">
        <v>45710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57586-2023</t>
        </is>
      </c>
      <c r="B8028" s="1" t="n">
        <v>45246</v>
      </c>
      <c r="C8028" s="1" t="n">
        <v>45710</v>
      </c>
      <c r="D8028" t="inlineStr">
        <is>
          <t>ÖSTERGÖTLANDS LÄN</t>
        </is>
      </c>
      <c r="E8028" t="inlineStr">
        <is>
          <t>YDRE</t>
        </is>
      </c>
      <c r="F8028" t="inlineStr">
        <is>
          <t>Sveaskog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57622-2023</t>
        </is>
      </c>
      <c r="B8029" s="1" t="n">
        <v>45246</v>
      </c>
      <c r="C8029" s="1" t="n">
        <v>45710</v>
      </c>
      <c r="D8029" t="inlineStr">
        <is>
          <t>ÖSTERGÖTLANDS LÄN</t>
        </is>
      </c>
      <c r="E8029" t="inlineStr">
        <is>
          <t>MOTALA</t>
        </is>
      </c>
      <c r="G8029" t="n">
        <v>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57707-2023</t>
        </is>
      </c>
      <c r="B8030" s="1" t="n">
        <v>45246</v>
      </c>
      <c r="C8030" s="1" t="n">
        <v>45710</v>
      </c>
      <c r="D8030" t="inlineStr">
        <is>
          <t>ÖSTERGÖTLANDS LÄN</t>
        </is>
      </c>
      <c r="E8030" t="inlineStr">
        <is>
          <t>ÖDESHÖG</t>
        </is>
      </c>
      <c r="G8030" t="n">
        <v>5.2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57751-2023</t>
        </is>
      </c>
      <c r="B8031" s="1" t="n">
        <v>45246</v>
      </c>
      <c r="C8031" s="1" t="n">
        <v>45710</v>
      </c>
      <c r="D8031" t="inlineStr">
        <is>
          <t>ÖSTERGÖTLANDS LÄN</t>
        </is>
      </c>
      <c r="E8031" t="inlineStr">
        <is>
          <t>LINKÖPING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57862-2023</t>
        </is>
      </c>
      <c r="B8032" s="1" t="n">
        <v>45247</v>
      </c>
      <c r="C8032" s="1" t="n">
        <v>45710</v>
      </c>
      <c r="D8032" t="inlineStr">
        <is>
          <t>ÖSTERGÖTLANDS LÄN</t>
        </is>
      </c>
      <c r="E8032" t="inlineStr">
        <is>
          <t>VALDEMARSVIK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57879-2023</t>
        </is>
      </c>
      <c r="B8033" s="1" t="n">
        <v>45247</v>
      </c>
      <c r="C8033" s="1" t="n">
        <v>45710</v>
      </c>
      <c r="D8033" t="inlineStr">
        <is>
          <t>ÖSTERGÖTLANDS LÄN</t>
        </is>
      </c>
      <c r="E8033" t="inlineStr">
        <is>
          <t>MOTALA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58011-2023</t>
        </is>
      </c>
      <c r="B8034" s="1" t="n">
        <v>45247</v>
      </c>
      <c r="C8034" s="1" t="n">
        <v>45710</v>
      </c>
      <c r="D8034" t="inlineStr">
        <is>
          <t>ÖSTERGÖTLANDS LÄN</t>
        </is>
      </c>
      <c r="E8034" t="inlineStr">
        <is>
          <t>FINSPÅNG</t>
        </is>
      </c>
      <c r="G8034" t="n">
        <v>5.9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58018-2023</t>
        </is>
      </c>
      <c r="B8035" s="1" t="n">
        <v>45247</v>
      </c>
      <c r="C8035" s="1" t="n">
        <v>45710</v>
      </c>
      <c r="D8035" t="inlineStr">
        <is>
          <t>ÖSTERGÖTLANDS LÄN</t>
        </is>
      </c>
      <c r="E8035" t="inlineStr">
        <is>
          <t>FINSPÅNG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58781-2023</t>
        </is>
      </c>
      <c r="B8036" s="1" t="n">
        <v>45247</v>
      </c>
      <c r="C8036" s="1" t="n">
        <v>45710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58662-2023</t>
        </is>
      </c>
      <c r="B8037" s="1" t="n">
        <v>45247</v>
      </c>
      <c r="C8037" s="1" t="n">
        <v>45710</v>
      </c>
      <c r="D8037" t="inlineStr">
        <is>
          <t>ÖSTERGÖTLANDS LÄN</t>
        </is>
      </c>
      <c r="E8037" t="inlineStr">
        <is>
          <t>KINDA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58105-2023</t>
        </is>
      </c>
      <c r="B8038" s="1" t="n">
        <v>45249</v>
      </c>
      <c r="C8038" s="1" t="n">
        <v>45710</v>
      </c>
      <c r="D8038" t="inlineStr">
        <is>
          <t>ÖSTERGÖTLANDS LÄN</t>
        </is>
      </c>
      <c r="E8038" t="inlineStr">
        <is>
          <t>VALDEMARSVIK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58138-2023</t>
        </is>
      </c>
      <c r="B8039" s="1" t="n">
        <v>45250</v>
      </c>
      <c r="C8039" s="1" t="n">
        <v>45710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Sveaskog</t>
        </is>
      </c>
      <c r="G8039" t="n">
        <v>6.7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58168-2023</t>
        </is>
      </c>
      <c r="B8040" s="1" t="n">
        <v>45250</v>
      </c>
      <c r="C8040" s="1" t="n">
        <v>45710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3.2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58172-2023</t>
        </is>
      </c>
      <c r="B8041" s="1" t="n">
        <v>45250</v>
      </c>
      <c r="C8041" s="1" t="n">
        <v>45710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4.2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58145-2023</t>
        </is>
      </c>
      <c r="B8042" s="1" t="n">
        <v>45250</v>
      </c>
      <c r="C8042" s="1" t="n">
        <v>45710</v>
      </c>
      <c r="D8042" t="inlineStr">
        <is>
          <t>ÖSTERGÖTLANDS LÄN</t>
        </is>
      </c>
      <c r="E8042" t="inlineStr">
        <is>
          <t>MOTALA</t>
        </is>
      </c>
      <c r="F8042" t="inlineStr">
        <is>
          <t>Sveaskog</t>
        </is>
      </c>
      <c r="G8042" t="n">
        <v>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58158-2023</t>
        </is>
      </c>
      <c r="B8043" s="1" t="n">
        <v>45250</v>
      </c>
      <c r="C8043" s="1" t="n">
        <v>45710</v>
      </c>
      <c r="D8043" t="inlineStr">
        <is>
          <t>ÖSTERGÖTLANDS LÄN</t>
        </is>
      </c>
      <c r="E8043" t="inlineStr">
        <is>
          <t>NORRKÖPING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58139-2023</t>
        </is>
      </c>
      <c r="B8044" s="1" t="n">
        <v>45250</v>
      </c>
      <c r="C8044" s="1" t="n">
        <v>45710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Sveaskog</t>
        </is>
      </c>
      <c r="G8044" t="n">
        <v>4.5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58162-2023</t>
        </is>
      </c>
      <c r="B8045" s="1" t="n">
        <v>45250</v>
      </c>
      <c r="C8045" s="1" t="n">
        <v>45710</v>
      </c>
      <c r="D8045" t="inlineStr">
        <is>
          <t>ÖSTERGÖTLANDS LÄN</t>
        </is>
      </c>
      <c r="E8045" t="inlineStr">
        <is>
          <t>NORRKÖPING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58170-2023</t>
        </is>
      </c>
      <c r="B8046" s="1" t="n">
        <v>45250</v>
      </c>
      <c r="C8046" s="1" t="n">
        <v>45710</v>
      </c>
      <c r="D8046" t="inlineStr">
        <is>
          <t>ÖSTERGÖTLANDS LÄN</t>
        </is>
      </c>
      <c r="E8046" t="inlineStr">
        <is>
          <t>ÅTVIDABERG</t>
        </is>
      </c>
      <c r="F8046" t="inlineStr">
        <is>
          <t>Sveaskog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58313-2023</t>
        </is>
      </c>
      <c r="B8047" s="1" t="n">
        <v>45250</v>
      </c>
      <c r="C8047" s="1" t="n">
        <v>45710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58318-2023</t>
        </is>
      </c>
      <c r="B8048" s="1" t="n">
        <v>45250</v>
      </c>
      <c r="C8048" s="1" t="n">
        <v>45710</v>
      </c>
      <c r="D8048" t="inlineStr">
        <is>
          <t>ÖSTERGÖTLANDS LÄN</t>
        </is>
      </c>
      <c r="E8048" t="inlineStr">
        <is>
          <t>NORRKÖPING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58330-2023</t>
        </is>
      </c>
      <c r="B8049" s="1" t="n">
        <v>45250</v>
      </c>
      <c r="C8049" s="1" t="n">
        <v>45710</v>
      </c>
      <c r="D8049" t="inlineStr">
        <is>
          <t>ÖSTERGÖTLANDS LÄN</t>
        </is>
      </c>
      <c r="E8049" t="inlineStr">
        <is>
          <t>FINSPÅNG</t>
        </is>
      </c>
      <c r="G8049" t="n">
        <v>3.6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58367-2023</t>
        </is>
      </c>
      <c r="B8050" s="1" t="n">
        <v>45250</v>
      </c>
      <c r="C8050" s="1" t="n">
        <v>45710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58407-2023</t>
        </is>
      </c>
      <c r="B8051" s="1" t="n">
        <v>45250</v>
      </c>
      <c r="C8051" s="1" t="n">
        <v>45710</v>
      </c>
      <c r="D8051" t="inlineStr">
        <is>
          <t>ÖSTERGÖTLANDS LÄN</t>
        </is>
      </c>
      <c r="E8051" t="inlineStr">
        <is>
          <t>MOTALA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58888-2023</t>
        </is>
      </c>
      <c r="B8052" s="1" t="n">
        <v>45250</v>
      </c>
      <c r="C8052" s="1" t="n">
        <v>45710</v>
      </c>
      <c r="D8052" t="inlineStr">
        <is>
          <t>ÖSTERGÖTLANDS LÄN</t>
        </is>
      </c>
      <c r="E8052" t="inlineStr">
        <is>
          <t>KINDA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58325-2023</t>
        </is>
      </c>
      <c r="B8053" s="1" t="n">
        <v>45250</v>
      </c>
      <c r="C8053" s="1" t="n">
        <v>45710</v>
      </c>
      <c r="D8053" t="inlineStr">
        <is>
          <t>ÖSTERGÖTLANDS LÄN</t>
        </is>
      </c>
      <c r="E8053" t="inlineStr">
        <is>
          <t>NORRKÖPING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58334-2023</t>
        </is>
      </c>
      <c r="B8054" s="1" t="n">
        <v>45250</v>
      </c>
      <c r="C8054" s="1" t="n">
        <v>45710</v>
      </c>
      <c r="D8054" t="inlineStr">
        <is>
          <t>ÖSTERGÖTLANDS LÄN</t>
        </is>
      </c>
      <c r="E8054" t="inlineStr">
        <is>
          <t>FINSPÅNG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58398-2023</t>
        </is>
      </c>
      <c r="B8055" s="1" t="n">
        <v>45250</v>
      </c>
      <c r="C8055" s="1" t="n">
        <v>45710</v>
      </c>
      <c r="D8055" t="inlineStr">
        <is>
          <t>ÖSTERGÖTLANDS LÄN</t>
        </is>
      </c>
      <c r="E8055" t="inlineStr">
        <is>
          <t>SÖDERKÖPING</t>
        </is>
      </c>
      <c r="F8055" t="inlineStr">
        <is>
          <t>Holmen skog AB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58410-2023</t>
        </is>
      </c>
      <c r="B8056" s="1" t="n">
        <v>45250</v>
      </c>
      <c r="C8056" s="1" t="n">
        <v>45710</v>
      </c>
      <c r="D8056" t="inlineStr">
        <is>
          <t>ÖSTERGÖTLANDS LÄN</t>
        </is>
      </c>
      <c r="E8056" t="inlineStr">
        <is>
          <t>MOTALA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58333-2023</t>
        </is>
      </c>
      <c r="B8057" s="1" t="n">
        <v>45250</v>
      </c>
      <c r="C8057" s="1" t="n">
        <v>45710</v>
      </c>
      <c r="D8057" t="inlineStr">
        <is>
          <t>ÖSTERGÖTLANDS LÄN</t>
        </is>
      </c>
      <c r="E8057" t="inlineStr">
        <is>
          <t>FINSPÅNG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58372-2023</t>
        </is>
      </c>
      <c r="B8058" s="1" t="n">
        <v>45250</v>
      </c>
      <c r="C8058" s="1" t="n">
        <v>45710</v>
      </c>
      <c r="D8058" t="inlineStr">
        <is>
          <t>ÖSTERGÖTLANDS LÄN</t>
        </is>
      </c>
      <c r="E8058" t="inlineStr">
        <is>
          <t>SÖDERKÖPING</t>
        </is>
      </c>
      <c r="F8058" t="inlineStr">
        <is>
          <t>Holmen skog AB</t>
        </is>
      </c>
      <c r="G8058" t="n">
        <v>3.2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58886-2023</t>
        </is>
      </c>
      <c r="B8059" s="1" t="n">
        <v>45250</v>
      </c>
      <c r="C8059" s="1" t="n">
        <v>45710</v>
      </c>
      <c r="D8059" t="inlineStr">
        <is>
          <t>ÖSTERGÖTLANDS LÄN</t>
        </is>
      </c>
      <c r="E8059" t="inlineStr">
        <is>
          <t>KINDA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58412-2023</t>
        </is>
      </c>
      <c r="B8060" s="1" t="n">
        <v>45250</v>
      </c>
      <c r="C8060" s="1" t="n">
        <v>45710</v>
      </c>
      <c r="D8060" t="inlineStr">
        <is>
          <t>ÖSTERGÖTLANDS LÄN</t>
        </is>
      </c>
      <c r="E8060" t="inlineStr">
        <is>
          <t>MJÖLBY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58875-2023</t>
        </is>
      </c>
      <c r="B8061" s="1" t="n">
        <v>45250</v>
      </c>
      <c r="C8061" s="1" t="n">
        <v>45710</v>
      </c>
      <c r="D8061" t="inlineStr">
        <is>
          <t>ÖSTERGÖTLANDS LÄN</t>
        </is>
      </c>
      <c r="E8061" t="inlineStr">
        <is>
          <t>KINDA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58551-2023</t>
        </is>
      </c>
      <c r="B8062" s="1" t="n">
        <v>45251</v>
      </c>
      <c r="C8062" s="1" t="n">
        <v>45710</v>
      </c>
      <c r="D8062" t="inlineStr">
        <is>
          <t>ÖSTERGÖTLANDS LÄN</t>
        </is>
      </c>
      <c r="E8062" t="inlineStr">
        <is>
          <t>ÖDESHÖG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58667-2023</t>
        </is>
      </c>
      <c r="B8063" s="1" t="n">
        <v>45251</v>
      </c>
      <c r="C8063" s="1" t="n">
        <v>45710</v>
      </c>
      <c r="D8063" t="inlineStr">
        <is>
          <t>ÖSTERGÖTLANDS LÄN</t>
        </is>
      </c>
      <c r="E8063" t="inlineStr">
        <is>
          <t>YDRE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58692-2023</t>
        </is>
      </c>
      <c r="B8064" s="1" t="n">
        <v>45251</v>
      </c>
      <c r="C8064" s="1" t="n">
        <v>45710</v>
      </c>
      <c r="D8064" t="inlineStr">
        <is>
          <t>ÖSTERGÖTLANDS LÄN</t>
        </is>
      </c>
      <c r="E8064" t="inlineStr">
        <is>
          <t>NORRKÖPING</t>
        </is>
      </c>
      <c r="G8064" t="n">
        <v>2.7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58691-2023</t>
        </is>
      </c>
      <c r="B8065" s="1" t="n">
        <v>45251</v>
      </c>
      <c r="C8065" s="1" t="n">
        <v>45710</v>
      </c>
      <c r="D8065" t="inlineStr">
        <is>
          <t>ÖSTERGÖTLANDS LÄN</t>
        </is>
      </c>
      <c r="E8065" t="inlineStr">
        <is>
          <t>YDRE</t>
        </is>
      </c>
      <c r="G8065" t="n">
        <v>1.7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58693-2023</t>
        </is>
      </c>
      <c r="B8066" s="1" t="n">
        <v>45251</v>
      </c>
      <c r="C8066" s="1" t="n">
        <v>45710</v>
      </c>
      <c r="D8066" t="inlineStr">
        <is>
          <t>ÖSTERGÖTLANDS LÄN</t>
        </is>
      </c>
      <c r="E8066" t="inlineStr">
        <is>
          <t>NORRKÖPING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58896-2023</t>
        </is>
      </c>
      <c r="B8067" s="1" t="n">
        <v>45252</v>
      </c>
      <c r="C8067" s="1" t="n">
        <v>45710</v>
      </c>
      <c r="D8067" t="inlineStr">
        <is>
          <t>ÖSTERGÖTLANDS LÄN</t>
        </is>
      </c>
      <c r="E8067" t="inlineStr">
        <is>
          <t>FINSPÅNG</t>
        </is>
      </c>
      <c r="G8067" t="n">
        <v>4.9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58905-2023</t>
        </is>
      </c>
      <c r="B8068" s="1" t="n">
        <v>45252</v>
      </c>
      <c r="C8068" s="1" t="n">
        <v>45710</v>
      </c>
      <c r="D8068" t="inlineStr">
        <is>
          <t>ÖSTERGÖTLANDS LÄN</t>
        </is>
      </c>
      <c r="E8068" t="inlineStr">
        <is>
          <t>FINSPÅNG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58936-2023</t>
        </is>
      </c>
      <c r="B8069" s="1" t="n">
        <v>45252</v>
      </c>
      <c r="C8069" s="1" t="n">
        <v>45710</v>
      </c>
      <c r="D8069" t="inlineStr">
        <is>
          <t>ÖSTERGÖTLANDS LÄN</t>
        </is>
      </c>
      <c r="E8069" t="inlineStr">
        <is>
          <t>NORRKÖPING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58934-2023</t>
        </is>
      </c>
      <c r="B8070" s="1" t="n">
        <v>45252</v>
      </c>
      <c r="C8070" s="1" t="n">
        <v>45710</v>
      </c>
      <c r="D8070" t="inlineStr">
        <is>
          <t>ÖSTERGÖTLANDS LÄN</t>
        </is>
      </c>
      <c r="E8070" t="inlineStr">
        <is>
          <t>BOXHOLM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58902-2023</t>
        </is>
      </c>
      <c r="B8071" s="1" t="n">
        <v>45252</v>
      </c>
      <c r="C8071" s="1" t="n">
        <v>45710</v>
      </c>
      <c r="D8071" t="inlineStr">
        <is>
          <t>ÖSTERGÖTLANDS LÄN</t>
        </is>
      </c>
      <c r="E8071" t="inlineStr">
        <is>
          <t>FINSPÅNG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59076-2023</t>
        </is>
      </c>
      <c r="B8072" s="1" t="n">
        <v>45252</v>
      </c>
      <c r="C8072" s="1" t="n">
        <v>45710</v>
      </c>
      <c r="D8072" t="inlineStr">
        <is>
          <t>ÖSTERGÖTLANDS LÄN</t>
        </is>
      </c>
      <c r="E8072" t="inlineStr">
        <is>
          <t>NORRKÖPING</t>
        </is>
      </c>
      <c r="G8072" t="n">
        <v>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59078-2023</t>
        </is>
      </c>
      <c r="B8073" s="1" t="n">
        <v>45252</v>
      </c>
      <c r="C8073" s="1" t="n">
        <v>45710</v>
      </c>
      <c r="D8073" t="inlineStr">
        <is>
          <t>ÖSTERGÖTLANDS LÄN</t>
        </is>
      </c>
      <c r="E8073" t="inlineStr">
        <is>
          <t>NORRKÖPING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59077-2023</t>
        </is>
      </c>
      <c r="B8074" s="1" t="n">
        <v>45252</v>
      </c>
      <c r="C8074" s="1" t="n">
        <v>45710</v>
      </c>
      <c r="D8074" t="inlineStr">
        <is>
          <t>ÖSTERGÖTLANDS LÄN</t>
        </is>
      </c>
      <c r="E8074" t="inlineStr">
        <is>
          <t>NORRKÖPING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59106-2023</t>
        </is>
      </c>
      <c r="B8075" s="1" t="n">
        <v>45253</v>
      </c>
      <c r="C8075" s="1" t="n">
        <v>45710</v>
      </c>
      <c r="D8075" t="inlineStr">
        <is>
          <t>ÖSTERGÖTLANDS LÄN</t>
        </is>
      </c>
      <c r="E8075" t="inlineStr">
        <is>
          <t>BOXHOLM</t>
        </is>
      </c>
      <c r="F8075" t="inlineStr">
        <is>
          <t>Övriga Aktiebolag</t>
        </is>
      </c>
      <c r="G8075" t="n">
        <v>3.8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59185-2023</t>
        </is>
      </c>
      <c r="B8076" s="1" t="n">
        <v>45253</v>
      </c>
      <c r="C8076" s="1" t="n">
        <v>45710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2.5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59287-2023</t>
        </is>
      </c>
      <c r="B8077" s="1" t="n">
        <v>45253</v>
      </c>
      <c r="C8077" s="1" t="n">
        <v>45710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59355-2023</t>
        </is>
      </c>
      <c r="B8078" s="1" t="n">
        <v>45253</v>
      </c>
      <c r="C8078" s="1" t="n">
        <v>45710</v>
      </c>
      <c r="D8078" t="inlineStr">
        <is>
          <t>ÖSTERGÖTLANDS LÄN</t>
        </is>
      </c>
      <c r="E8078" t="inlineStr">
        <is>
          <t>YDRE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59367-2023</t>
        </is>
      </c>
      <c r="B8079" s="1" t="n">
        <v>45253</v>
      </c>
      <c r="C8079" s="1" t="n">
        <v>45710</v>
      </c>
      <c r="D8079" t="inlineStr">
        <is>
          <t>ÖSTERGÖTLANDS LÄN</t>
        </is>
      </c>
      <c r="E8079" t="inlineStr">
        <is>
          <t>YDRE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59111-2023</t>
        </is>
      </c>
      <c r="B8080" s="1" t="n">
        <v>45253</v>
      </c>
      <c r="C8080" s="1" t="n">
        <v>45710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59640-2023</t>
        </is>
      </c>
      <c r="B8081" s="1" t="n">
        <v>45253</v>
      </c>
      <c r="C8081" s="1" t="n">
        <v>45710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59629-2023</t>
        </is>
      </c>
      <c r="B8082" s="1" t="n">
        <v>45253</v>
      </c>
      <c r="C8082" s="1" t="n">
        <v>45710</v>
      </c>
      <c r="D8082" t="inlineStr">
        <is>
          <t>ÖSTERGÖTLANDS LÄN</t>
        </is>
      </c>
      <c r="E8082" t="inlineStr">
        <is>
          <t>KINDA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59645-2023</t>
        </is>
      </c>
      <c r="B8083" s="1" t="n">
        <v>45253</v>
      </c>
      <c r="C8083" s="1" t="n">
        <v>45710</v>
      </c>
      <c r="D8083" t="inlineStr">
        <is>
          <t>ÖSTERGÖTLANDS LÄN</t>
        </is>
      </c>
      <c r="E8083" t="inlineStr">
        <is>
          <t>KINDA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59855-2023</t>
        </is>
      </c>
      <c r="B8084" s="1" t="n">
        <v>45253</v>
      </c>
      <c r="C8084" s="1" t="n">
        <v>45710</v>
      </c>
      <c r="D8084" t="inlineStr">
        <is>
          <t>ÖSTERGÖTLANDS LÄN</t>
        </is>
      </c>
      <c r="E8084" t="inlineStr">
        <is>
          <t>LINKÖPING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59643-2023</t>
        </is>
      </c>
      <c r="B8085" s="1" t="n">
        <v>45253</v>
      </c>
      <c r="C8085" s="1" t="n">
        <v>45710</v>
      </c>
      <c r="D8085" t="inlineStr">
        <is>
          <t>ÖSTERGÖTLANDS LÄN</t>
        </is>
      </c>
      <c r="E8085" t="inlineStr">
        <is>
          <t>KINDA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59487-2023</t>
        </is>
      </c>
      <c r="B8086" s="1" t="n">
        <v>45254</v>
      </c>
      <c r="C8086" s="1" t="n">
        <v>45710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Holmen skog AB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59471-2023</t>
        </is>
      </c>
      <c r="B8087" s="1" t="n">
        <v>45254</v>
      </c>
      <c r="C8087" s="1" t="n">
        <v>45710</v>
      </c>
      <c r="D8087" t="inlineStr">
        <is>
          <t>ÖSTERGÖTLANDS LÄN</t>
        </is>
      </c>
      <c r="E8087" t="inlineStr">
        <is>
          <t>SÖDERKÖPING</t>
        </is>
      </c>
      <c r="G8087" t="n">
        <v>3.3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59516-2023</t>
        </is>
      </c>
      <c r="B8088" s="1" t="n">
        <v>45254</v>
      </c>
      <c r="C8088" s="1" t="n">
        <v>45710</v>
      </c>
      <c r="D8088" t="inlineStr">
        <is>
          <t>ÖSTERGÖTLANDS LÄN</t>
        </is>
      </c>
      <c r="E8088" t="inlineStr">
        <is>
          <t>VALDEMARSVIK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59544-2023</t>
        </is>
      </c>
      <c r="B8089" s="1" t="n">
        <v>45254</v>
      </c>
      <c r="C8089" s="1" t="n">
        <v>45710</v>
      </c>
      <c r="D8089" t="inlineStr">
        <is>
          <t>ÖSTERGÖTLANDS LÄN</t>
        </is>
      </c>
      <c r="E8089" t="inlineStr">
        <is>
          <t>NORRKÖPING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59548-2023</t>
        </is>
      </c>
      <c r="B8090" s="1" t="n">
        <v>45254</v>
      </c>
      <c r="C8090" s="1" t="n">
        <v>45710</v>
      </c>
      <c r="D8090" t="inlineStr">
        <is>
          <t>ÖSTERGÖTLANDS LÄN</t>
        </is>
      </c>
      <c r="E8090" t="inlineStr">
        <is>
          <t>NORRKÖPING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59460-2023</t>
        </is>
      </c>
      <c r="B8091" s="1" t="n">
        <v>45254</v>
      </c>
      <c r="C8091" s="1" t="n">
        <v>45710</v>
      </c>
      <c r="D8091" t="inlineStr">
        <is>
          <t>ÖSTERGÖTLANDS LÄN</t>
        </is>
      </c>
      <c r="E8091" t="inlineStr">
        <is>
          <t>NORRKÖPING</t>
        </is>
      </c>
      <c r="F8091" t="inlineStr">
        <is>
          <t>Holmen skog AB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59520-2023</t>
        </is>
      </c>
      <c r="B8092" s="1" t="n">
        <v>45254</v>
      </c>
      <c r="C8092" s="1" t="n">
        <v>45710</v>
      </c>
      <c r="D8092" t="inlineStr">
        <is>
          <t>ÖSTERGÖTLANDS LÄN</t>
        </is>
      </c>
      <c r="E8092" t="inlineStr">
        <is>
          <t>NORRKÖPING</t>
        </is>
      </c>
      <c r="F8092" t="inlineStr">
        <is>
          <t>BillerudKorsnäs AB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59524-2023</t>
        </is>
      </c>
      <c r="B8093" s="1" t="n">
        <v>45254</v>
      </c>
      <c r="C8093" s="1" t="n">
        <v>45710</v>
      </c>
      <c r="D8093" t="inlineStr">
        <is>
          <t>ÖSTERGÖTLANDS LÄN</t>
        </is>
      </c>
      <c r="E8093" t="inlineStr">
        <is>
          <t>KINDA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59522-2023</t>
        </is>
      </c>
      <c r="B8094" s="1" t="n">
        <v>45254</v>
      </c>
      <c r="C8094" s="1" t="n">
        <v>45710</v>
      </c>
      <c r="D8094" t="inlineStr">
        <is>
          <t>ÖSTERGÖTLANDS LÄN</t>
        </is>
      </c>
      <c r="E8094" t="inlineStr">
        <is>
          <t>NORRKÖPING</t>
        </is>
      </c>
      <c r="F8094" t="inlineStr">
        <is>
          <t>BillerudKorsnäs AB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59964-2023</t>
        </is>
      </c>
      <c r="B8095" s="1" t="n">
        <v>45254</v>
      </c>
      <c r="C8095" s="1" t="n">
        <v>45710</v>
      </c>
      <c r="D8095" t="inlineStr">
        <is>
          <t>ÖSTERGÖTLANDS LÄN</t>
        </is>
      </c>
      <c r="E8095" t="inlineStr">
        <is>
          <t>NORRKÖPING</t>
        </is>
      </c>
      <c r="F8095" t="inlineStr">
        <is>
          <t>Allmännings- och besparingsskogar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59827-2023</t>
        </is>
      </c>
      <c r="B8096" s="1" t="n">
        <v>45257</v>
      </c>
      <c r="C8096" s="1" t="n">
        <v>45710</v>
      </c>
      <c r="D8096" t="inlineStr">
        <is>
          <t>ÖSTERGÖTLANDS LÄN</t>
        </is>
      </c>
      <c r="E8096" t="inlineStr">
        <is>
          <t>FINSPÅNG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59885-2023</t>
        </is>
      </c>
      <c r="B8097" s="1" t="n">
        <v>45257</v>
      </c>
      <c r="C8097" s="1" t="n">
        <v>45710</v>
      </c>
      <c r="D8097" t="inlineStr">
        <is>
          <t>ÖSTERGÖTLANDS LÄN</t>
        </is>
      </c>
      <c r="E8097" t="inlineStr">
        <is>
          <t>SÖDERKÖPING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59789-2023</t>
        </is>
      </c>
      <c r="B8098" s="1" t="n">
        <v>45257</v>
      </c>
      <c r="C8098" s="1" t="n">
        <v>45710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59741-2023</t>
        </is>
      </c>
      <c r="B8099" s="1" t="n">
        <v>45257</v>
      </c>
      <c r="C8099" s="1" t="n">
        <v>45710</v>
      </c>
      <c r="D8099" t="inlineStr">
        <is>
          <t>ÖSTERGÖTLANDS LÄN</t>
        </is>
      </c>
      <c r="E8099" t="inlineStr">
        <is>
          <t>VALDEMARSVIK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59772-2023</t>
        </is>
      </c>
      <c r="B8100" s="1" t="n">
        <v>45257</v>
      </c>
      <c r="C8100" s="1" t="n">
        <v>45710</v>
      </c>
      <c r="D8100" t="inlineStr">
        <is>
          <t>ÖSTERGÖTLANDS LÄN</t>
        </is>
      </c>
      <c r="E8100" t="inlineStr">
        <is>
          <t>KINDA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59777-2023</t>
        </is>
      </c>
      <c r="B8101" s="1" t="n">
        <v>45257</v>
      </c>
      <c r="C8101" s="1" t="n">
        <v>45710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59795-2023</t>
        </is>
      </c>
      <c r="B8102" s="1" t="n">
        <v>45257</v>
      </c>
      <c r="C8102" s="1" t="n">
        <v>45710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59799-2023</t>
        </is>
      </c>
      <c r="B8103" s="1" t="n">
        <v>45257</v>
      </c>
      <c r="C8103" s="1" t="n">
        <v>45710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59838-2023</t>
        </is>
      </c>
      <c r="B8104" s="1" t="n">
        <v>45257</v>
      </c>
      <c r="C8104" s="1" t="n">
        <v>45710</v>
      </c>
      <c r="D8104" t="inlineStr">
        <is>
          <t>ÖSTERGÖTLANDS LÄN</t>
        </is>
      </c>
      <c r="E8104" t="inlineStr">
        <is>
          <t>FINSPÅNG</t>
        </is>
      </c>
      <c r="G8104" t="n">
        <v>4.3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59737-2023</t>
        </is>
      </c>
      <c r="B8105" s="1" t="n">
        <v>45257</v>
      </c>
      <c r="C8105" s="1" t="n">
        <v>45710</v>
      </c>
      <c r="D8105" t="inlineStr">
        <is>
          <t>ÖSTERGÖTLANDS LÄN</t>
        </is>
      </c>
      <c r="E8105" t="inlineStr">
        <is>
          <t>VALDEMARSVIK</t>
        </is>
      </c>
      <c r="G8105" t="n">
        <v>6.4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59952-2023</t>
        </is>
      </c>
      <c r="B8106" s="1" t="n">
        <v>45257</v>
      </c>
      <c r="C8106" s="1" t="n">
        <v>45710</v>
      </c>
      <c r="D8106" t="inlineStr">
        <is>
          <t>ÖSTERGÖTLANDS LÄN</t>
        </is>
      </c>
      <c r="E8106" t="inlineStr">
        <is>
          <t>FINSPÅNG</t>
        </is>
      </c>
      <c r="F8106" t="inlineStr">
        <is>
          <t>Holmen skog AB</t>
        </is>
      </c>
      <c r="G8106" t="n">
        <v>5.8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59830-2023</t>
        </is>
      </c>
      <c r="B8107" s="1" t="n">
        <v>45257</v>
      </c>
      <c r="C8107" s="1" t="n">
        <v>45710</v>
      </c>
      <c r="D8107" t="inlineStr">
        <is>
          <t>ÖSTERGÖTLANDS LÄN</t>
        </is>
      </c>
      <c r="E8107" t="inlineStr">
        <is>
          <t>FINSPÅNG</t>
        </is>
      </c>
      <c r="G8107" t="n">
        <v>4.2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59764-2023</t>
        </is>
      </c>
      <c r="B8108" s="1" t="n">
        <v>45257</v>
      </c>
      <c r="C8108" s="1" t="n">
        <v>45710</v>
      </c>
      <c r="D8108" t="inlineStr">
        <is>
          <t>ÖSTERGÖTLANDS LÄN</t>
        </is>
      </c>
      <c r="E8108" t="inlineStr">
        <is>
          <t>FINSPÅNG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59808-2023</t>
        </is>
      </c>
      <c r="B8109" s="1" t="n">
        <v>45257</v>
      </c>
      <c r="C8109" s="1" t="n">
        <v>45710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60268-2023</t>
        </is>
      </c>
      <c r="B8110" s="1" t="n">
        <v>45257</v>
      </c>
      <c r="C8110" s="1" t="n">
        <v>45710</v>
      </c>
      <c r="D8110" t="inlineStr">
        <is>
          <t>ÖSTERGÖTLANDS LÄN</t>
        </is>
      </c>
      <c r="E8110" t="inlineStr">
        <is>
          <t>KINDA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59876-2023</t>
        </is>
      </c>
      <c r="B8111" s="1" t="n">
        <v>45257</v>
      </c>
      <c r="C8111" s="1" t="n">
        <v>45710</v>
      </c>
      <c r="D8111" t="inlineStr">
        <is>
          <t>ÖSTERGÖTLANDS LÄN</t>
        </is>
      </c>
      <c r="E8111" t="inlineStr">
        <is>
          <t>SÖDERKÖPING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60244-2023</t>
        </is>
      </c>
      <c r="B8112" s="1" t="n">
        <v>45257</v>
      </c>
      <c r="C8112" s="1" t="n">
        <v>45710</v>
      </c>
      <c r="D8112" t="inlineStr">
        <is>
          <t>ÖSTERGÖTLANDS LÄN</t>
        </is>
      </c>
      <c r="E8112" t="inlineStr">
        <is>
          <t>YDRE</t>
        </is>
      </c>
      <c r="G8112" t="n">
        <v>17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60257-2023</t>
        </is>
      </c>
      <c r="B8113" s="1" t="n">
        <v>45257</v>
      </c>
      <c r="C8113" s="1" t="n">
        <v>45710</v>
      </c>
      <c r="D8113" t="inlineStr">
        <is>
          <t>ÖSTERGÖTLANDS LÄN</t>
        </is>
      </c>
      <c r="E8113" t="inlineStr">
        <is>
          <t>KINDA</t>
        </is>
      </c>
      <c r="G8113" t="n">
        <v>4.5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60038-2023</t>
        </is>
      </c>
      <c r="B8114" s="1" t="n">
        <v>45258</v>
      </c>
      <c r="C8114" s="1" t="n">
        <v>45710</v>
      </c>
      <c r="D8114" t="inlineStr">
        <is>
          <t>ÖSTERGÖTLANDS LÄN</t>
        </is>
      </c>
      <c r="E8114" t="inlineStr">
        <is>
          <t>FINSPÅNG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60049-2023</t>
        </is>
      </c>
      <c r="B8115" s="1" t="n">
        <v>45258</v>
      </c>
      <c r="C8115" s="1" t="n">
        <v>45710</v>
      </c>
      <c r="D8115" t="inlineStr">
        <is>
          <t>ÖSTERGÖTLANDS LÄN</t>
        </is>
      </c>
      <c r="E8115" t="inlineStr">
        <is>
          <t>LINKÖPING</t>
        </is>
      </c>
      <c r="G8115" t="n">
        <v>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60173-2023</t>
        </is>
      </c>
      <c r="B8116" s="1" t="n">
        <v>45258</v>
      </c>
      <c r="C8116" s="1" t="n">
        <v>45710</v>
      </c>
      <c r="D8116" t="inlineStr">
        <is>
          <t>ÖSTERGÖTLANDS LÄN</t>
        </is>
      </c>
      <c r="E8116" t="inlineStr">
        <is>
          <t>FINSPÅNG</t>
        </is>
      </c>
      <c r="G8116" t="n">
        <v>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60210-2023</t>
        </is>
      </c>
      <c r="B8117" s="1" t="n">
        <v>45258</v>
      </c>
      <c r="C8117" s="1" t="n">
        <v>45710</v>
      </c>
      <c r="D8117" t="inlineStr">
        <is>
          <t>ÖSTERGÖTLANDS LÄN</t>
        </is>
      </c>
      <c r="E8117" t="inlineStr">
        <is>
          <t>BOXHOLM</t>
        </is>
      </c>
      <c r="F8117" t="inlineStr">
        <is>
          <t>Övriga Aktiebolag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60169-2023</t>
        </is>
      </c>
      <c r="B8118" s="1" t="n">
        <v>45258</v>
      </c>
      <c r="C8118" s="1" t="n">
        <v>45710</v>
      </c>
      <c r="D8118" t="inlineStr">
        <is>
          <t>ÖSTERGÖTLANDS LÄN</t>
        </is>
      </c>
      <c r="E8118" t="inlineStr">
        <is>
          <t>FINSPÅNG</t>
        </is>
      </c>
      <c r="G8118" t="n">
        <v>4.2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60198-2023</t>
        </is>
      </c>
      <c r="B8119" s="1" t="n">
        <v>45258</v>
      </c>
      <c r="C8119" s="1" t="n">
        <v>45710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Holmen skog AB</t>
        </is>
      </c>
      <c r="G8119" t="n">
        <v>10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60217-2023</t>
        </is>
      </c>
      <c r="B8120" s="1" t="n">
        <v>45258</v>
      </c>
      <c r="C8120" s="1" t="n">
        <v>45710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Holmen skog AB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60288-2023</t>
        </is>
      </c>
      <c r="B8121" s="1" t="n">
        <v>45258</v>
      </c>
      <c r="C8121" s="1" t="n">
        <v>45710</v>
      </c>
      <c r="D8121" t="inlineStr">
        <is>
          <t>ÖSTERGÖTLANDS LÄN</t>
        </is>
      </c>
      <c r="E8121" t="inlineStr">
        <is>
          <t>VALDEMARSVIK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60285-2023</t>
        </is>
      </c>
      <c r="B8122" s="1" t="n">
        <v>45258</v>
      </c>
      <c r="C8122" s="1" t="n">
        <v>45710</v>
      </c>
      <c r="D8122" t="inlineStr">
        <is>
          <t>ÖSTERGÖTLANDS LÄN</t>
        </is>
      </c>
      <c r="E8122" t="inlineStr">
        <is>
          <t>VALDEMARSVIK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60286-2023</t>
        </is>
      </c>
      <c r="B8123" s="1" t="n">
        <v>45258</v>
      </c>
      <c r="C8123" s="1" t="n">
        <v>45710</v>
      </c>
      <c r="D8123" t="inlineStr">
        <is>
          <t>ÖSTERGÖTLANDS LÄN</t>
        </is>
      </c>
      <c r="E8123" t="inlineStr">
        <is>
          <t>VALDEMARSVIK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60372-2023</t>
        </is>
      </c>
      <c r="B8124" s="1" t="n">
        <v>45259</v>
      </c>
      <c r="C8124" s="1" t="n">
        <v>45710</v>
      </c>
      <c r="D8124" t="inlineStr">
        <is>
          <t>ÖSTERGÖTLANDS LÄN</t>
        </is>
      </c>
      <c r="E8124" t="inlineStr">
        <is>
          <t>ÅTVIDABERG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60386-2023</t>
        </is>
      </c>
      <c r="B8125" s="1" t="n">
        <v>45259</v>
      </c>
      <c r="C8125" s="1" t="n">
        <v>45710</v>
      </c>
      <c r="D8125" t="inlineStr">
        <is>
          <t>ÖSTERGÖTLANDS LÄN</t>
        </is>
      </c>
      <c r="E8125" t="inlineStr">
        <is>
          <t>MJÖLBY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60442-2023</t>
        </is>
      </c>
      <c r="B8126" s="1" t="n">
        <v>45259</v>
      </c>
      <c r="C8126" s="1" t="n">
        <v>45710</v>
      </c>
      <c r="D8126" t="inlineStr">
        <is>
          <t>ÖSTERGÖTLANDS LÄN</t>
        </is>
      </c>
      <c r="E8126" t="inlineStr">
        <is>
          <t>YDRE</t>
        </is>
      </c>
      <c r="F8126" t="inlineStr">
        <is>
          <t>Sveaskog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60514-2023</t>
        </is>
      </c>
      <c r="B8127" s="1" t="n">
        <v>45259</v>
      </c>
      <c r="C8127" s="1" t="n">
        <v>45710</v>
      </c>
      <c r="D8127" t="inlineStr">
        <is>
          <t>ÖSTERGÖTLANDS LÄN</t>
        </is>
      </c>
      <c r="E8127" t="inlineStr">
        <is>
          <t>ÅTVIDABERG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60343-2023</t>
        </is>
      </c>
      <c r="B8128" s="1" t="n">
        <v>45259</v>
      </c>
      <c r="C8128" s="1" t="n">
        <v>45710</v>
      </c>
      <c r="D8128" t="inlineStr">
        <is>
          <t>ÖSTERGÖTLANDS LÄN</t>
        </is>
      </c>
      <c r="E8128" t="inlineStr">
        <is>
          <t>KINDA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60362-2023</t>
        </is>
      </c>
      <c r="B8129" s="1" t="n">
        <v>45259</v>
      </c>
      <c r="C8129" s="1" t="n">
        <v>45710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60533-2023</t>
        </is>
      </c>
      <c r="B8130" s="1" t="n">
        <v>45259</v>
      </c>
      <c r="C8130" s="1" t="n">
        <v>45710</v>
      </c>
      <c r="D8130" t="inlineStr">
        <is>
          <t>ÖSTERGÖTLANDS LÄN</t>
        </is>
      </c>
      <c r="E8130" t="inlineStr">
        <is>
          <t>FINSPÅNG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60542-2023</t>
        </is>
      </c>
      <c r="B8131" s="1" t="n">
        <v>45259</v>
      </c>
      <c r="C8131" s="1" t="n">
        <v>45710</v>
      </c>
      <c r="D8131" t="inlineStr">
        <is>
          <t>ÖSTERGÖTLANDS LÄN</t>
        </is>
      </c>
      <c r="E8131" t="inlineStr">
        <is>
          <t>FINSPÅNG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60513-2023</t>
        </is>
      </c>
      <c r="B8132" s="1" t="n">
        <v>45259</v>
      </c>
      <c r="C8132" s="1" t="n">
        <v>45710</v>
      </c>
      <c r="D8132" t="inlineStr">
        <is>
          <t>ÖSTERGÖTLANDS LÄN</t>
        </is>
      </c>
      <c r="E8132" t="inlineStr">
        <is>
          <t>ÅTVIDABERG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60537-2023</t>
        </is>
      </c>
      <c r="B8133" s="1" t="n">
        <v>45259</v>
      </c>
      <c r="C8133" s="1" t="n">
        <v>45710</v>
      </c>
      <c r="D8133" t="inlineStr">
        <is>
          <t>ÖSTERGÖTLANDS LÄN</t>
        </is>
      </c>
      <c r="E8133" t="inlineStr">
        <is>
          <t>FINSPÅNG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60530-2023</t>
        </is>
      </c>
      <c r="B8134" s="1" t="n">
        <v>45259</v>
      </c>
      <c r="C8134" s="1" t="n">
        <v>45710</v>
      </c>
      <c r="D8134" t="inlineStr">
        <is>
          <t>ÖSTERGÖTLANDS LÄN</t>
        </is>
      </c>
      <c r="E8134" t="inlineStr">
        <is>
          <t>FINSPÅNG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60547-2023</t>
        </is>
      </c>
      <c r="B8135" s="1" t="n">
        <v>45259</v>
      </c>
      <c r="C8135" s="1" t="n">
        <v>45710</v>
      </c>
      <c r="D8135" t="inlineStr">
        <is>
          <t>ÖSTERGÖTLANDS LÄN</t>
        </is>
      </c>
      <c r="E8135" t="inlineStr">
        <is>
          <t>FINSPÅNG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60545-2023</t>
        </is>
      </c>
      <c r="B8136" s="1" t="n">
        <v>45259</v>
      </c>
      <c r="C8136" s="1" t="n">
        <v>45710</v>
      </c>
      <c r="D8136" t="inlineStr">
        <is>
          <t>ÖSTERGÖTLANDS LÄN</t>
        </is>
      </c>
      <c r="E8136" t="inlineStr">
        <is>
          <t>ÅTVIDABERG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60800-2023</t>
        </is>
      </c>
      <c r="B8137" s="1" t="n">
        <v>45259</v>
      </c>
      <c r="C8137" s="1" t="n">
        <v>45710</v>
      </c>
      <c r="D8137" t="inlineStr">
        <is>
          <t>ÖSTERGÖTLANDS LÄN</t>
        </is>
      </c>
      <c r="E8137" t="inlineStr">
        <is>
          <t>NORRKÖPING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60802-2023</t>
        </is>
      </c>
      <c r="B8138" s="1" t="n">
        <v>45259</v>
      </c>
      <c r="C8138" s="1" t="n">
        <v>45710</v>
      </c>
      <c r="D8138" t="inlineStr">
        <is>
          <t>ÖSTERGÖTLANDS LÄN</t>
        </is>
      </c>
      <c r="E8138" t="inlineStr">
        <is>
          <t>NORRKÖPING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60790-2023</t>
        </is>
      </c>
      <c r="B8139" s="1" t="n">
        <v>45259</v>
      </c>
      <c r="C8139" s="1" t="n">
        <v>45710</v>
      </c>
      <c r="D8139" t="inlineStr">
        <is>
          <t>ÖSTERGÖTLANDS LÄN</t>
        </is>
      </c>
      <c r="E8139" t="inlineStr">
        <is>
          <t>BOXHOLM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60799-2023</t>
        </is>
      </c>
      <c r="B8140" s="1" t="n">
        <v>45259</v>
      </c>
      <c r="C8140" s="1" t="n">
        <v>45710</v>
      </c>
      <c r="D8140" t="inlineStr">
        <is>
          <t>ÖSTERGÖTLANDS LÄN</t>
        </is>
      </c>
      <c r="E8140" t="inlineStr">
        <is>
          <t>NORRKÖPING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61006-2023</t>
        </is>
      </c>
      <c r="B8141" s="1" t="n">
        <v>45259</v>
      </c>
      <c r="C8141" s="1" t="n">
        <v>45710</v>
      </c>
      <c r="D8141" t="inlineStr">
        <is>
          <t>ÖSTERGÖTLANDS LÄN</t>
        </is>
      </c>
      <c r="E8141" t="inlineStr">
        <is>
          <t>MOTALA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60797-2023</t>
        </is>
      </c>
      <c r="B8142" s="1" t="n">
        <v>45259</v>
      </c>
      <c r="C8142" s="1" t="n">
        <v>45710</v>
      </c>
      <c r="D8142" t="inlineStr">
        <is>
          <t>ÖSTERGÖTLANDS LÄN</t>
        </is>
      </c>
      <c r="E8142" t="inlineStr">
        <is>
          <t>BOXHOLM</t>
        </is>
      </c>
      <c r="G8142" t="n">
        <v>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61012-2023</t>
        </is>
      </c>
      <c r="B8143" s="1" t="n">
        <v>45259</v>
      </c>
      <c r="C8143" s="1" t="n">
        <v>45710</v>
      </c>
      <c r="D8143" t="inlineStr">
        <is>
          <t>ÖSTERGÖTLANDS LÄN</t>
        </is>
      </c>
      <c r="E8143" t="inlineStr">
        <is>
          <t>MJÖLBY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61013-2023</t>
        </is>
      </c>
      <c r="B8144" s="1" t="n">
        <v>45259</v>
      </c>
      <c r="C8144" s="1" t="n">
        <v>45710</v>
      </c>
      <c r="D8144" t="inlineStr">
        <is>
          <t>ÖSTERGÖTLANDS LÄN</t>
        </is>
      </c>
      <c r="E8144" t="inlineStr">
        <is>
          <t>MJÖLBY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60597-2023</t>
        </is>
      </c>
      <c r="B8145" s="1" t="n">
        <v>45260</v>
      </c>
      <c r="C8145" s="1" t="n">
        <v>45710</v>
      </c>
      <c r="D8145" t="inlineStr">
        <is>
          <t>ÖSTERGÖTLANDS LÄN</t>
        </is>
      </c>
      <c r="E8145" t="inlineStr">
        <is>
          <t>KINDA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60599-2023</t>
        </is>
      </c>
      <c r="B8146" s="1" t="n">
        <v>45260</v>
      </c>
      <c r="C8146" s="1" t="n">
        <v>45710</v>
      </c>
      <c r="D8146" t="inlineStr">
        <is>
          <t>ÖSTERGÖTLANDS LÄN</t>
        </is>
      </c>
      <c r="E8146" t="inlineStr">
        <is>
          <t>KINDA</t>
        </is>
      </c>
      <c r="G8146" t="n">
        <v>7.3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60619-2023</t>
        </is>
      </c>
      <c r="B8147" s="1" t="n">
        <v>45260</v>
      </c>
      <c r="C8147" s="1" t="n">
        <v>45710</v>
      </c>
      <c r="D8147" t="inlineStr">
        <is>
          <t>ÖSTERGÖTLANDS LÄN</t>
        </is>
      </c>
      <c r="E8147" t="inlineStr">
        <is>
          <t>FINSPÅNG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60740-2023</t>
        </is>
      </c>
      <c r="B8148" s="1" t="n">
        <v>45260</v>
      </c>
      <c r="C8148" s="1" t="n">
        <v>45710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Övriga Aktiebolag</t>
        </is>
      </c>
      <c r="G8148" t="n">
        <v>8.300000000000001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60596-2023</t>
        </is>
      </c>
      <c r="B8149" s="1" t="n">
        <v>45260</v>
      </c>
      <c r="C8149" s="1" t="n">
        <v>45710</v>
      </c>
      <c r="D8149" t="inlineStr">
        <is>
          <t>ÖSTERGÖTLANDS LÄN</t>
        </is>
      </c>
      <c r="E8149" t="inlineStr">
        <is>
          <t>KINDA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60630-2023</t>
        </is>
      </c>
      <c r="B8150" s="1" t="n">
        <v>45260</v>
      </c>
      <c r="C8150" s="1" t="n">
        <v>45710</v>
      </c>
      <c r="D8150" t="inlineStr">
        <is>
          <t>ÖSTERGÖTLANDS LÄN</t>
        </is>
      </c>
      <c r="E8150" t="inlineStr">
        <is>
          <t>LINKÖPING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60729-2023</t>
        </is>
      </c>
      <c r="B8151" s="1" t="n">
        <v>45260</v>
      </c>
      <c r="C8151" s="1" t="n">
        <v>45710</v>
      </c>
      <c r="D8151" t="inlineStr">
        <is>
          <t>ÖSTERGÖTLANDS LÄN</t>
        </is>
      </c>
      <c r="E8151" t="inlineStr">
        <is>
          <t>KINDA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60745-2023</t>
        </is>
      </c>
      <c r="B8152" s="1" t="n">
        <v>45260</v>
      </c>
      <c r="C8152" s="1" t="n">
        <v>45710</v>
      </c>
      <c r="D8152" t="inlineStr">
        <is>
          <t>ÖSTERGÖTLANDS LÄN</t>
        </is>
      </c>
      <c r="E8152" t="inlineStr">
        <is>
          <t>VALDEMARSVIK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60647-2023</t>
        </is>
      </c>
      <c r="B8153" s="1" t="n">
        <v>45260</v>
      </c>
      <c r="C8153" s="1" t="n">
        <v>45710</v>
      </c>
      <c r="D8153" t="inlineStr">
        <is>
          <t>ÖSTERGÖTLANDS LÄN</t>
        </is>
      </c>
      <c r="E8153" t="inlineStr">
        <is>
          <t>ÅTVIDABERG</t>
        </is>
      </c>
      <c r="F8153" t="inlineStr">
        <is>
          <t>Holmen skog AB</t>
        </is>
      </c>
      <c r="G8153" t="n">
        <v>4.1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60824-2023</t>
        </is>
      </c>
      <c r="B8154" s="1" t="n">
        <v>45260</v>
      </c>
      <c r="C8154" s="1" t="n">
        <v>45710</v>
      </c>
      <c r="D8154" t="inlineStr">
        <is>
          <t>ÖSTERGÖTLANDS LÄN</t>
        </is>
      </c>
      <c r="E8154" t="inlineStr">
        <is>
          <t>KINDA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60826-2023</t>
        </is>
      </c>
      <c r="B8155" s="1" t="n">
        <v>45260</v>
      </c>
      <c r="C8155" s="1" t="n">
        <v>45710</v>
      </c>
      <c r="D8155" t="inlineStr">
        <is>
          <t>ÖSTERGÖTLANDS LÄN</t>
        </is>
      </c>
      <c r="E8155" t="inlineStr">
        <is>
          <t>KINDA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60825-2023</t>
        </is>
      </c>
      <c r="B8156" s="1" t="n">
        <v>45260</v>
      </c>
      <c r="C8156" s="1" t="n">
        <v>45710</v>
      </c>
      <c r="D8156" t="inlineStr">
        <is>
          <t>ÖSTERGÖTLANDS LÄN</t>
        </is>
      </c>
      <c r="E8156" t="inlineStr">
        <is>
          <t>KINDA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61076-2023</t>
        </is>
      </c>
      <c r="B8157" s="1" t="n">
        <v>45260</v>
      </c>
      <c r="C8157" s="1" t="n">
        <v>45710</v>
      </c>
      <c r="D8157" t="inlineStr">
        <is>
          <t>ÖSTERGÖTLANDS LÄN</t>
        </is>
      </c>
      <c r="E8157" t="inlineStr">
        <is>
          <t>FINSPÅNG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60969-2023</t>
        </is>
      </c>
      <c r="B8158" s="1" t="n">
        <v>45261</v>
      </c>
      <c r="C8158" s="1" t="n">
        <v>45710</v>
      </c>
      <c r="D8158" t="inlineStr">
        <is>
          <t>ÖSTERGÖTLANDS LÄN</t>
        </is>
      </c>
      <c r="E8158" t="inlineStr">
        <is>
          <t>MJÖLBY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60977-2023</t>
        </is>
      </c>
      <c r="B8159" s="1" t="n">
        <v>45261</v>
      </c>
      <c r="C8159" s="1" t="n">
        <v>45710</v>
      </c>
      <c r="D8159" t="inlineStr">
        <is>
          <t>ÖSTERGÖTLANDS LÄN</t>
        </is>
      </c>
      <c r="E8159" t="inlineStr">
        <is>
          <t>MJÖLBY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60981-2023</t>
        </is>
      </c>
      <c r="B8160" s="1" t="n">
        <v>45261</v>
      </c>
      <c r="C8160" s="1" t="n">
        <v>45710</v>
      </c>
      <c r="D8160" t="inlineStr">
        <is>
          <t>ÖSTERGÖTLANDS LÄN</t>
        </is>
      </c>
      <c r="E8160" t="inlineStr">
        <is>
          <t>LINKÖPING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61002-2023</t>
        </is>
      </c>
      <c r="B8161" s="1" t="n">
        <v>45261</v>
      </c>
      <c r="C8161" s="1" t="n">
        <v>45710</v>
      </c>
      <c r="D8161" t="inlineStr">
        <is>
          <t>ÖSTERGÖTLANDS LÄN</t>
        </is>
      </c>
      <c r="E8161" t="inlineStr">
        <is>
          <t>NORRKÖPING</t>
        </is>
      </c>
      <c r="G8161" t="n">
        <v>3.6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60975-2023</t>
        </is>
      </c>
      <c r="B8162" s="1" t="n">
        <v>45261</v>
      </c>
      <c r="C8162" s="1" t="n">
        <v>45710</v>
      </c>
      <c r="D8162" t="inlineStr">
        <is>
          <t>ÖSTERGÖTLANDS LÄN</t>
        </is>
      </c>
      <c r="E8162" t="inlineStr">
        <is>
          <t>MJÖLBY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60964-2023</t>
        </is>
      </c>
      <c r="B8163" s="1" t="n">
        <v>45261</v>
      </c>
      <c r="C8163" s="1" t="n">
        <v>45710</v>
      </c>
      <c r="D8163" t="inlineStr">
        <is>
          <t>ÖSTERGÖTLANDS LÄN</t>
        </is>
      </c>
      <c r="E8163" t="inlineStr">
        <is>
          <t>MJÖLBY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61080-2023</t>
        </is>
      </c>
      <c r="B8164" s="1" t="n">
        <v>45261</v>
      </c>
      <c r="C8164" s="1" t="n">
        <v>45710</v>
      </c>
      <c r="D8164" t="inlineStr">
        <is>
          <t>ÖSTERGÖTLANDS LÄN</t>
        </is>
      </c>
      <c r="E8164" t="inlineStr">
        <is>
          <t>ÅTVIDABERG</t>
        </is>
      </c>
      <c r="F8164" t="inlineStr">
        <is>
          <t>Holmen skog AB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60985-2023</t>
        </is>
      </c>
      <c r="B8165" s="1" t="n">
        <v>45261</v>
      </c>
      <c r="C8165" s="1" t="n">
        <v>45710</v>
      </c>
      <c r="D8165" t="inlineStr">
        <is>
          <t>ÖSTERGÖTLANDS LÄN</t>
        </is>
      </c>
      <c r="E8165" t="inlineStr">
        <is>
          <t>LINKÖPING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60914-2023</t>
        </is>
      </c>
      <c r="B8166" s="1" t="n">
        <v>45261</v>
      </c>
      <c r="C8166" s="1" t="n">
        <v>45710</v>
      </c>
      <c r="D8166" t="inlineStr">
        <is>
          <t>ÖSTERGÖTLANDS LÄN</t>
        </is>
      </c>
      <c r="E8166" t="inlineStr">
        <is>
          <t>VALDEMARSVIK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60978-2023</t>
        </is>
      </c>
      <c r="B8167" s="1" t="n">
        <v>45261</v>
      </c>
      <c r="C8167" s="1" t="n">
        <v>45710</v>
      </c>
      <c r="D8167" t="inlineStr">
        <is>
          <t>ÖSTERGÖTLANDS LÄN</t>
        </is>
      </c>
      <c r="E8167" t="inlineStr">
        <is>
          <t>MJÖLBY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60987-2023</t>
        </is>
      </c>
      <c r="B8168" s="1" t="n">
        <v>45261</v>
      </c>
      <c r="C8168" s="1" t="n">
        <v>45710</v>
      </c>
      <c r="D8168" t="inlineStr">
        <is>
          <t>ÖSTERGÖTLANDS LÄN</t>
        </is>
      </c>
      <c r="E8168" t="inlineStr">
        <is>
          <t>MJÖLBY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60992-2023</t>
        </is>
      </c>
      <c r="B8169" s="1" t="n">
        <v>45261</v>
      </c>
      <c r="C8169" s="1" t="n">
        <v>45710</v>
      </c>
      <c r="D8169" t="inlineStr">
        <is>
          <t>ÖSTERGÖTLANDS LÄN</t>
        </is>
      </c>
      <c r="E8169" t="inlineStr">
        <is>
          <t>LINKÖPING</t>
        </is>
      </c>
      <c r="G8169" t="n">
        <v>6.5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61262-2023</t>
        </is>
      </c>
      <c r="B8170" s="1" t="n">
        <v>45261</v>
      </c>
      <c r="C8170" s="1" t="n">
        <v>45710</v>
      </c>
      <c r="D8170" t="inlineStr">
        <is>
          <t>ÖSTERGÖTLANDS LÄN</t>
        </is>
      </c>
      <c r="E8170" t="inlineStr">
        <is>
          <t>YDRE</t>
        </is>
      </c>
      <c r="G8170" t="n">
        <v>2.8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61257-2023</t>
        </is>
      </c>
      <c r="B8171" s="1" t="n">
        <v>45261</v>
      </c>
      <c r="C8171" s="1" t="n">
        <v>45710</v>
      </c>
      <c r="D8171" t="inlineStr">
        <is>
          <t>ÖSTERGÖTLANDS LÄN</t>
        </is>
      </c>
      <c r="E8171" t="inlineStr">
        <is>
          <t>YDRE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61538-2023</t>
        </is>
      </c>
      <c r="B8172" s="1" t="n">
        <v>45261</v>
      </c>
      <c r="C8172" s="1" t="n">
        <v>45710</v>
      </c>
      <c r="D8172" t="inlineStr">
        <is>
          <t>ÖSTERGÖTLANDS LÄN</t>
        </is>
      </c>
      <c r="E8172" t="inlineStr">
        <is>
          <t>KINDA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61624-2023</t>
        </is>
      </c>
      <c r="B8173" s="1" t="n">
        <v>45261</v>
      </c>
      <c r="C8173" s="1" t="n">
        <v>45710</v>
      </c>
      <c r="D8173" t="inlineStr">
        <is>
          <t>ÖSTERGÖTLANDS LÄN</t>
        </is>
      </c>
      <c r="E8173" t="inlineStr">
        <is>
          <t>ÅTVIDABERG</t>
        </is>
      </c>
      <c r="G8173" t="n">
        <v>2.4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61575-2023</t>
        </is>
      </c>
      <c r="B8174" s="1" t="n">
        <v>45261</v>
      </c>
      <c r="C8174" s="1" t="n">
        <v>45710</v>
      </c>
      <c r="D8174" t="inlineStr">
        <is>
          <t>ÖSTERGÖTLANDS LÄN</t>
        </is>
      </c>
      <c r="E8174" t="inlineStr">
        <is>
          <t>MJÖLBY</t>
        </is>
      </c>
      <c r="G8174" t="n">
        <v>5.7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61600-2023</t>
        </is>
      </c>
      <c r="B8175" s="1" t="n">
        <v>45261</v>
      </c>
      <c r="C8175" s="1" t="n">
        <v>45710</v>
      </c>
      <c r="D8175" t="inlineStr">
        <is>
          <t>ÖSTERGÖTLANDS LÄN</t>
        </is>
      </c>
      <c r="E8175" t="inlineStr">
        <is>
          <t>MJÖLBY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61205-2023</t>
        </is>
      </c>
      <c r="B8176" s="1" t="n">
        <v>45264</v>
      </c>
      <c r="C8176" s="1" t="n">
        <v>45710</v>
      </c>
      <c r="D8176" t="inlineStr">
        <is>
          <t>ÖSTERGÖTLANDS LÄN</t>
        </is>
      </c>
      <c r="E8176" t="inlineStr">
        <is>
          <t>YDRE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61359-2023</t>
        </is>
      </c>
      <c r="B8177" s="1" t="n">
        <v>45264</v>
      </c>
      <c r="C8177" s="1" t="n">
        <v>45710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61314-2023</t>
        </is>
      </c>
      <c r="B8178" s="1" t="n">
        <v>45264</v>
      </c>
      <c r="C8178" s="1" t="n">
        <v>45710</v>
      </c>
      <c r="D8178" t="inlineStr">
        <is>
          <t>ÖSTERGÖTLANDS LÄN</t>
        </is>
      </c>
      <c r="E8178" t="inlineStr">
        <is>
          <t>KINDA</t>
        </is>
      </c>
      <c r="G8178" t="n">
        <v>5.5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61418-2023</t>
        </is>
      </c>
      <c r="B8179" s="1" t="n">
        <v>45264</v>
      </c>
      <c r="C8179" s="1" t="n">
        <v>45710</v>
      </c>
      <c r="D8179" t="inlineStr">
        <is>
          <t>ÖSTERGÖTLANDS LÄN</t>
        </is>
      </c>
      <c r="E8179" t="inlineStr">
        <is>
          <t>KINDA</t>
        </is>
      </c>
      <c r="G8179" t="n">
        <v>11.5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61341-2023</t>
        </is>
      </c>
      <c r="B8180" s="1" t="n">
        <v>45264</v>
      </c>
      <c r="C8180" s="1" t="n">
        <v>45710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61203-2023</t>
        </is>
      </c>
      <c r="B8181" s="1" t="n">
        <v>45264</v>
      </c>
      <c r="C8181" s="1" t="n">
        <v>45710</v>
      </c>
      <c r="D8181" t="inlineStr">
        <is>
          <t>ÖSTERGÖTLANDS LÄN</t>
        </is>
      </c>
      <c r="E8181" t="inlineStr">
        <is>
          <t>LINKÖPING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61455-2023</t>
        </is>
      </c>
      <c r="B8182" s="1" t="n">
        <v>45264</v>
      </c>
      <c r="C8182" s="1" t="n">
        <v>45710</v>
      </c>
      <c r="D8182" t="inlineStr">
        <is>
          <t>ÖSTERGÖTLANDS LÄN</t>
        </is>
      </c>
      <c r="E8182" t="inlineStr">
        <is>
          <t>NORRKÖPING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61454-2023</t>
        </is>
      </c>
      <c r="B8183" s="1" t="n">
        <v>45264</v>
      </c>
      <c r="C8183" s="1" t="n">
        <v>45710</v>
      </c>
      <c r="D8183" t="inlineStr">
        <is>
          <t>ÖSTERGÖTLANDS LÄN</t>
        </is>
      </c>
      <c r="E8183" t="inlineStr">
        <is>
          <t>NORRKÖPING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61810-2023</t>
        </is>
      </c>
      <c r="B8184" s="1" t="n">
        <v>45264</v>
      </c>
      <c r="C8184" s="1" t="n">
        <v>45710</v>
      </c>
      <c r="D8184" t="inlineStr">
        <is>
          <t>ÖSTERGÖTLANDS LÄN</t>
        </is>
      </c>
      <c r="E8184" t="inlineStr">
        <is>
          <t>FINSPÅNG</t>
        </is>
      </c>
      <c r="G8184" t="n">
        <v>6.9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61894-2023</t>
        </is>
      </c>
      <c r="B8185" s="1" t="n">
        <v>45264</v>
      </c>
      <c r="C8185" s="1" t="n">
        <v>45710</v>
      </c>
      <c r="D8185" t="inlineStr">
        <is>
          <t>ÖSTERGÖTLANDS LÄN</t>
        </is>
      </c>
      <c r="E8185" t="inlineStr">
        <is>
          <t>FINSPÅNG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61511-2023</t>
        </is>
      </c>
      <c r="B8186" s="1" t="n">
        <v>45265</v>
      </c>
      <c r="C8186" s="1" t="n">
        <v>45710</v>
      </c>
      <c r="D8186" t="inlineStr">
        <is>
          <t>ÖSTERGÖTLANDS LÄN</t>
        </is>
      </c>
      <c r="E8186" t="inlineStr">
        <is>
          <t>SÖDERKÖPING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61649-2023</t>
        </is>
      </c>
      <c r="B8187" s="1" t="n">
        <v>45265</v>
      </c>
      <c r="C8187" s="1" t="n">
        <v>45710</v>
      </c>
      <c r="D8187" t="inlineStr">
        <is>
          <t>ÖSTERGÖTLANDS LÄN</t>
        </is>
      </c>
      <c r="E8187" t="inlineStr">
        <is>
          <t>LINKÖPING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61514-2023</t>
        </is>
      </c>
      <c r="B8188" s="1" t="n">
        <v>45265</v>
      </c>
      <c r="C8188" s="1" t="n">
        <v>45710</v>
      </c>
      <c r="D8188" t="inlineStr">
        <is>
          <t>ÖSTERGÖTLANDS LÄN</t>
        </is>
      </c>
      <c r="E8188" t="inlineStr">
        <is>
          <t>SÖDERKÖPING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61607-2023</t>
        </is>
      </c>
      <c r="B8189" s="1" t="n">
        <v>45265</v>
      </c>
      <c r="C8189" s="1" t="n">
        <v>45710</v>
      </c>
      <c r="D8189" t="inlineStr">
        <is>
          <t>ÖSTERGÖTLANDS LÄN</t>
        </is>
      </c>
      <c r="E8189" t="inlineStr">
        <is>
          <t>KINDA</t>
        </is>
      </c>
      <c r="G8189" t="n">
        <v>2.6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61963-2023</t>
        </is>
      </c>
      <c r="B8190" s="1" t="n">
        <v>45266</v>
      </c>
      <c r="C8190" s="1" t="n">
        <v>45710</v>
      </c>
      <c r="D8190" t="inlineStr">
        <is>
          <t>ÖSTERGÖTLANDS LÄN</t>
        </is>
      </c>
      <c r="E8190" t="inlineStr">
        <is>
          <t>YDRE</t>
        </is>
      </c>
      <c r="G8190" t="n">
        <v>2.2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61987-2023</t>
        </is>
      </c>
      <c r="B8191" s="1" t="n">
        <v>45266</v>
      </c>
      <c r="C8191" s="1" t="n">
        <v>45710</v>
      </c>
      <c r="D8191" t="inlineStr">
        <is>
          <t>ÖSTERGÖTLANDS LÄN</t>
        </is>
      </c>
      <c r="E8191" t="inlineStr">
        <is>
          <t>KINDA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62001-2023</t>
        </is>
      </c>
      <c r="B8192" s="1" t="n">
        <v>45266</v>
      </c>
      <c r="C8192" s="1" t="n">
        <v>45710</v>
      </c>
      <c r="D8192" t="inlineStr">
        <is>
          <t>ÖSTERGÖTLANDS LÄN</t>
        </is>
      </c>
      <c r="E8192" t="inlineStr">
        <is>
          <t>NORRKÖPING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62028-2023</t>
        </is>
      </c>
      <c r="B8193" s="1" t="n">
        <v>45266</v>
      </c>
      <c r="C8193" s="1" t="n">
        <v>45710</v>
      </c>
      <c r="D8193" t="inlineStr">
        <is>
          <t>ÖSTERGÖTLANDS LÄN</t>
        </is>
      </c>
      <c r="E8193" t="inlineStr">
        <is>
          <t>NORRKÖPING</t>
        </is>
      </c>
      <c r="G8193" t="n">
        <v>2.7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62033-2023</t>
        </is>
      </c>
      <c r="B8194" s="1" t="n">
        <v>45266</v>
      </c>
      <c r="C8194" s="1" t="n">
        <v>45710</v>
      </c>
      <c r="D8194" t="inlineStr">
        <is>
          <t>ÖSTERGÖTLANDS LÄN</t>
        </is>
      </c>
      <c r="E8194" t="inlineStr">
        <is>
          <t>NORRKÖPING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61975-2023</t>
        </is>
      </c>
      <c r="B8195" s="1" t="n">
        <v>45266</v>
      </c>
      <c r="C8195" s="1" t="n">
        <v>45710</v>
      </c>
      <c r="D8195" t="inlineStr">
        <is>
          <t>ÖSTERGÖTLANDS LÄN</t>
        </is>
      </c>
      <c r="E8195" t="inlineStr">
        <is>
          <t>NORRKÖPING</t>
        </is>
      </c>
      <c r="G8195" t="n">
        <v>5.2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62076-2023</t>
        </is>
      </c>
      <c r="B8196" s="1" t="n">
        <v>45266</v>
      </c>
      <c r="C8196" s="1" t="n">
        <v>45710</v>
      </c>
      <c r="D8196" t="inlineStr">
        <is>
          <t>ÖSTERGÖTLANDS LÄN</t>
        </is>
      </c>
      <c r="E8196" t="inlineStr">
        <is>
          <t>MOTALA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62080-2023</t>
        </is>
      </c>
      <c r="B8197" s="1" t="n">
        <v>45266</v>
      </c>
      <c r="C8197" s="1" t="n">
        <v>45710</v>
      </c>
      <c r="D8197" t="inlineStr">
        <is>
          <t>ÖSTERGÖTLANDS LÄN</t>
        </is>
      </c>
      <c r="E8197" t="inlineStr">
        <is>
          <t>MOTALA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62016-2023</t>
        </is>
      </c>
      <c r="B8198" s="1" t="n">
        <v>45266</v>
      </c>
      <c r="C8198" s="1" t="n">
        <v>45710</v>
      </c>
      <c r="D8198" t="inlineStr">
        <is>
          <t>ÖSTERGÖTLANDS LÄN</t>
        </is>
      </c>
      <c r="E8198" t="inlineStr">
        <is>
          <t>NORRKÖPING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62036-2023</t>
        </is>
      </c>
      <c r="B8199" s="1" t="n">
        <v>45266</v>
      </c>
      <c r="C8199" s="1" t="n">
        <v>45710</v>
      </c>
      <c r="D8199" t="inlineStr">
        <is>
          <t>ÖSTERGÖTLANDS LÄN</t>
        </is>
      </c>
      <c r="E8199" t="inlineStr">
        <is>
          <t>NORRKÖPING</t>
        </is>
      </c>
      <c r="G8199" t="n">
        <v>2.8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61971-2023</t>
        </is>
      </c>
      <c r="B8200" s="1" t="n">
        <v>45266</v>
      </c>
      <c r="C8200" s="1" t="n">
        <v>45710</v>
      </c>
      <c r="D8200" t="inlineStr">
        <is>
          <t>ÖSTERGÖTLANDS LÄN</t>
        </is>
      </c>
      <c r="E8200" t="inlineStr">
        <is>
          <t>NORRKÖPING</t>
        </is>
      </c>
      <c r="G8200" t="n">
        <v>3.4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61995-2023</t>
        </is>
      </c>
      <c r="B8201" s="1" t="n">
        <v>45266</v>
      </c>
      <c r="C8201" s="1" t="n">
        <v>45710</v>
      </c>
      <c r="D8201" t="inlineStr">
        <is>
          <t>ÖSTERGÖTLANDS LÄN</t>
        </is>
      </c>
      <c r="E8201" t="inlineStr">
        <is>
          <t>KINDA</t>
        </is>
      </c>
      <c r="G8201" t="n">
        <v>5.9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62044-2023</t>
        </is>
      </c>
      <c r="B8202" s="1" t="n">
        <v>45266</v>
      </c>
      <c r="C8202" s="1" t="n">
        <v>45710</v>
      </c>
      <c r="D8202" t="inlineStr">
        <is>
          <t>ÖSTERGÖTLANDS LÄN</t>
        </is>
      </c>
      <c r="E8202" t="inlineStr">
        <is>
          <t>NORRKÖPING</t>
        </is>
      </c>
      <c r="G8202" t="n">
        <v>18.9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62049-2023</t>
        </is>
      </c>
      <c r="B8203" s="1" t="n">
        <v>45266</v>
      </c>
      <c r="C8203" s="1" t="n">
        <v>45710</v>
      </c>
      <c r="D8203" t="inlineStr">
        <is>
          <t>ÖSTERGÖTLANDS LÄN</t>
        </is>
      </c>
      <c r="E8203" t="inlineStr">
        <is>
          <t>NORRKÖPING</t>
        </is>
      </c>
      <c r="G8203" t="n">
        <v>2.1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62061-2023</t>
        </is>
      </c>
      <c r="B8204" s="1" t="n">
        <v>45266</v>
      </c>
      <c r="C8204" s="1" t="n">
        <v>45710</v>
      </c>
      <c r="D8204" t="inlineStr">
        <is>
          <t>ÖSTERGÖTLANDS LÄN</t>
        </is>
      </c>
      <c r="E8204" t="inlineStr">
        <is>
          <t>NORRKÖPING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62065-2023</t>
        </is>
      </c>
      <c r="B8205" s="1" t="n">
        <v>45266</v>
      </c>
      <c r="C8205" s="1" t="n">
        <v>45710</v>
      </c>
      <c r="D8205" t="inlineStr">
        <is>
          <t>ÖSTERGÖTLANDS LÄN</t>
        </is>
      </c>
      <c r="E8205" t="inlineStr">
        <is>
          <t>MOTALA</t>
        </is>
      </c>
      <c r="G8205" t="n">
        <v>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61936-2023</t>
        </is>
      </c>
      <c r="B8206" s="1" t="n">
        <v>45266</v>
      </c>
      <c r="C8206" s="1" t="n">
        <v>45710</v>
      </c>
      <c r="D8206" t="inlineStr">
        <is>
          <t>ÖSTERGÖTLANDS LÄN</t>
        </is>
      </c>
      <c r="E8206" t="inlineStr">
        <is>
          <t>LINKÖPING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62051-2023</t>
        </is>
      </c>
      <c r="B8207" s="1" t="n">
        <v>45266</v>
      </c>
      <c r="C8207" s="1" t="n">
        <v>45710</v>
      </c>
      <c r="D8207" t="inlineStr">
        <is>
          <t>ÖSTERGÖTLANDS LÄN</t>
        </is>
      </c>
      <c r="E8207" t="inlineStr">
        <is>
          <t>NORRKÖPING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62067-2023</t>
        </is>
      </c>
      <c r="B8208" s="1" t="n">
        <v>45266</v>
      </c>
      <c r="C8208" s="1" t="n">
        <v>45710</v>
      </c>
      <c r="D8208" t="inlineStr">
        <is>
          <t>ÖSTERGÖTLANDS LÄN</t>
        </is>
      </c>
      <c r="E8208" t="inlineStr">
        <is>
          <t>LINKÖPING</t>
        </is>
      </c>
      <c r="F8208" t="inlineStr">
        <is>
          <t>Allmännings- och besparingsskogar</t>
        </is>
      </c>
      <c r="G8208" t="n">
        <v>5.3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62073-2023</t>
        </is>
      </c>
      <c r="B8209" s="1" t="n">
        <v>45266</v>
      </c>
      <c r="C8209" s="1" t="n">
        <v>45710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Allmännings- och besparingsskogar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62060-2023</t>
        </is>
      </c>
      <c r="B8210" s="1" t="n">
        <v>45266</v>
      </c>
      <c r="C8210" s="1" t="n">
        <v>45710</v>
      </c>
      <c r="D8210" t="inlineStr">
        <is>
          <t>ÖSTERGÖTLANDS LÄN</t>
        </is>
      </c>
      <c r="E8210" t="inlineStr">
        <is>
          <t>NORRKÖPING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62064-2023</t>
        </is>
      </c>
      <c r="B8211" s="1" t="n">
        <v>45266</v>
      </c>
      <c r="C8211" s="1" t="n">
        <v>45710</v>
      </c>
      <c r="D8211" t="inlineStr">
        <is>
          <t>ÖSTERGÖTLANDS LÄN</t>
        </is>
      </c>
      <c r="E8211" t="inlineStr">
        <is>
          <t>NORRKÖPING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62078-2023</t>
        </is>
      </c>
      <c r="B8212" s="1" t="n">
        <v>45266</v>
      </c>
      <c r="C8212" s="1" t="n">
        <v>45710</v>
      </c>
      <c r="D8212" t="inlineStr">
        <is>
          <t>ÖSTERGÖTLANDS LÄN</t>
        </is>
      </c>
      <c r="E8212" t="inlineStr">
        <is>
          <t>MOTALA</t>
        </is>
      </c>
      <c r="G8212" t="n">
        <v>2.9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62075-2023</t>
        </is>
      </c>
      <c r="B8213" s="1" t="n">
        <v>45266</v>
      </c>
      <c r="C8213" s="1" t="n">
        <v>45710</v>
      </c>
      <c r="D8213" t="inlineStr">
        <is>
          <t>ÖSTERGÖTLANDS LÄN</t>
        </is>
      </c>
      <c r="E8213" t="inlineStr">
        <is>
          <t>MOTALA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62079-2023</t>
        </is>
      </c>
      <c r="B8214" s="1" t="n">
        <v>45266</v>
      </c>
      <c r="C8214" s="1" t="n">
        <v>45710</v>
      </c>
      <c r="D8214" t="inlineStr">
        <is>
          <t>ÖSTERGÖTLANDS LÄN</t>
        </is>
      </c>
      <c r="E8214" t="inlineStr">
        <is>
          <t>MOTALA</t>
        </is>
      </c>
      <c r="G8214" t="n">
        <v>2.3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62077-2023</t>
        </is>
      </c>
      <c r="B8215" s="1" t="n">
        <v>45266</v>
      </c>
      <c r="C8215" s="1" t="n">
        <v>45710</v>
      </c>
      <c r="D8215" t="inlineStr">
        <is>
          <t>ÖSTERGÖTLANDS LÄN</t>
        </is>
      </c>
      <c r="E8215" t="inlineStr">
        <is>
          <t>MOTALA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62136-2023</t>
        </is>
      </c>
      <c r="B8216" s="1" t="n">
        <v>45267</v>
      </c>
      <c r="C8216" s="1" t="n">
        <v>45710</v>
      </c>
      <c r="D8216" t="inlineStr">
        <is>
          <t>ÖSTERGÖTLANDS LÄN</t>
        </is>
      </c>
      <c r="E8216" t="inlineStr">
        <is>
          <t>ÅTVIDABERG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62195-2023</t>
        </is>
      </c>
      <c r="B8217" s="1" t="n">
        <v>45267</v>
      </c>
      <c r="C8217" s="1" t="n">
        <v>45710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2.3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62286-2023</t>
        </is>
      </c>
      <c r="B8218" s="1" t="n">
        <v>45267</v>
      </c>
      <c r="C8218" s="1" t="n">
        <v>45710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62155-2023</t>
        </is>
      </c>
      <c r="B8219" s="1" t="n">
        <v>45267</v>
      </c>
      <c r="C8219" s="1" t="n">
        <v>45710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62160-2023</t>
        </is>
      </c>
      <c r="B8220" s="1" t="n">
        <v>45267</v>
      </c>
      <c r="C8220" s="1" t="n">
        <v>45710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62137-2023</t>
        </is>
      </c>
      <c r="B8221" s="1" t="n">
        <v>45267</v>
      </c>
      <c r="C8221" s="1" t="n">
        <v>45710</v>
      </c>
      <c r="D8221" t="inlineStr">
        <is>
          <t>ÖSTERGÖTLANDS LÄN</t>
        </is>
      </c>
      <c r="E8221" t="inlineStr">
        <is>
          <t>ÅTVIDABERG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62186-2023</t>
        </is>
      </c>
      <c r="B8222" s="1" t="n">
        <v>45267</v>
      </c>
      <c r="C8222" s="1" t="n">
        <v>45710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62238-2023</t>
        </is>
      </c>
      <c r="B8223" s="1" t="n">
        <v>45267</v>
      </c>
      <c r="C8223" s="1" t="n">
        <v>45710</v>
      </c>
      <c r="D8223" t="inlineStr">
        <is>
          <t>ÖSTERGÖTLANDS LÄN</t>
        </is>
      </c>
      <c r="E8223" t="inlineStr">
        <is>
          <t>MJÖLBY</t>
        </is>
      </c>
      <c r="F8223" t="inlineStr">
        <is>
          <t>Sveaskog</t>
        </is>
      </c>
      <c r="G8223" t="n">
        <v>6.9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62267-2023</t>
        </is>
      </c>
      <c r="B8224" s="1" t="n">
        <v>45267</v>
      </c>
      <c r="C8224" s="1" t="n">
        <v>45710</v>
      </c>
      <c r="D8224" t="inlineStr">
        <is>
          <t>ÖSTERGÖTLANDS LÄN</t>
        </is>
      </c>
      <c r="E8224" t="inlineStr">
        <is>
          <t>KINDA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62254-2023</t>
        </is>
      </c>
      <c r="B8225" s="1" t="n">
        <v>45267</v>
      </c>
      <c r="C8225" s="1" t="n">
        <v>45710</v>
      </c>
      <c r="D8225" t="inlineStr">
        <is>
          <t>ÖSTERGÖTLANDS LÄN</t>
        </is>
      </c>
      <c r="E8225" t="inlineStr">
        <is>
          <t>KINDA</t>
        </is>
      </c>
      <c r="F8225" t="inlineStr">
        <is>
          <t>Sveaskog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62172-2023</t>
        </is>
      </c>
      <c r="B8226" s="1" t="n">
        <v>45267</v>
      </c>
      <c r="C8226" s="1" t="n">
        <v>45710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Holmen skog AB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62233-2023</t>
        </is>
      </c>
      <c r="B8227" s="1" t="n">
        <v>45267</v>
      </c>
      <c r="C8227" s="1" t="n">
        <v>45710</v>
      </c>
      <c r="D8227" t="inlineStr">
        <is>
          <t>ÖSTERGÖTLANDS LÄN</t>
        </is>
      </c>
      <c r="E8227" t="inlineStr">
        <is>
          <t>NORRKÖPING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62245-2023</t>
        </is>
      </c>
      <c r="B8228" s="1" t="n">
        <v>45267</v>
      </c>
      <c r="C8228" s="1" t="n">
        <v>45710</v>
      </c>
      <c r="D8228" t="inlineStr">
        <is>
          <t>ÖSTERGÖTLANDS LÄN</t>
        </is>
      </c>
      <c r="E8228" t="inlineStr">
        <is>
          <t>NORRKÖPING</t>
        </is>
      </c>
      <c r="G8228" t="n">
        <v>12.5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62260-2023</t>
        </is>
      </c>
      <c r="B8229" s="1" t="n">
        <v>45267</v>
      </c>
      <c r="C8229" s="1" t="n">
        <v>45710</v>
      </c>
      <c r="D8229" t="inlineStr">
        <is>
          <t>ÖSTERGÖTLANDS LÄN</t>
        </is>
      </c>
      <c r="E8229" t="inlineStr">
        <is>
          <t>KINDA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62485-2023</t>
        </is>
      </c>
      <c r="B8230" s="1" t="n">
        <v>45267</v>
      </c>
      <c r="C8230" s="1" t="n">
        <v>45710</v>
      </c>
      <c r="D8230" t="inlineStr">
        <is>
          <t>ÖSTERGÖTLANDS LÄN</t>
        </is>
      </c>
      <c r="E8230" t="inlineStr">
        <is>
          <t>KINDA</t>
        </is>
      </c>
      <c r="G8230" t="n">
        <v>6.2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62491-2023</t>
        </is>
      </c>
      <c r="B8231" s="1" t="n">
        <v>45267</v>
      </c>
      <c r="C8231" s="1" t="n">
        <v>45710</v>
      </c>
      <c r="D8231" t="inlineStr">
        <is>
          <t>ÖSTERGÖTLANDS LÄN</t>
        </is>
      </c>
      <c r="E8231" t="inlineStr">
        <is>
          <t>KINDA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62494-2023</t>
        </is>
      </c>
      <c r="B8232" s="1" t="n">
        <v>45267</v>
      </c>
      <c r="C8232" s="1" t="n">
        <v>45710</v>
      </c>
      <c r="D8232" t="inlineStr">
        <is>
          <t>ÖSTERGÖTLANDS LÄN</t>
        </is>
      </c>
      <c r="E8232" t="inlineStr">
        <is>
          <t>KINDA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62498-2023</t>
        </is>
      </c>
      <c r="B8233" s="1" t="n">
        <v>45268</v>
      </c>
      <c r="C8233" s="1" t="n">
        <v>45710</v>
      </c>
      <c r="D8233" t="inlineStr">
        <is>
          <t>ÖSTERGÖTLANDS LÄN</t>
        </is>
      </c>
      <c r="E8233" t="inlineStr">
        <is>
          <t>LINKÖPING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62521-2023</t>
        </is>
      </c>
      <c r="B8234" s="1" t="n">
        <v>45268</v>
      </c>
      <c r="C8234" s="1" t="n">
        <v>45710</v>
      </c>
      <c r="D8234" t="inlineStr">
        <is>
          <t>ÖSTERGÖTLANDS LÄN</t>
        </is>
      </c>
      <c r="E8234" t="inlineStr">
        <is>
          <t>LINKÖPING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62528-2023</t>
        </is>
      </c>
      <c r="B8235" s="1" t="n">
        <v>45268</v>
      </c>
      <c r="C8235" s="1" t="n">
        <v>45710</v>
      </c>
      <c r="D8235" t="inlineStr">
        <is>
          <t>ÖSTERGÖTLANDS LÄN</t>
        </is>
      </c>
      <c r="E8235" t="inlineStr">
        <is>
          <t>NORRKÖPING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62488-2023</t>
        </is>
      </c>
      <c r="B8236" s="1" t="n">
        <v>45268</v>
      </c>
      <c r="C8236" s="1" t="n">
        <v>45710</v>
      </c>
      <c r="D8236" t="inlineStr">
        <is>
          <t>ÖSTERGÖTLANDS LÄN</t>
        </is>
      </c>
      <c r="E8236" t="inlineStr">
        <is>
          <t>LINKÖPING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62495-2023</t>
        </is>
      </c>
      <c r="B8237" s="1" t="n">
        <v>45268</v>
      </c>
      <c r="C8237" s="1" t="n">
        <v>45710</v>
      </c>
      <c r="D8237" t="inlineStr">
        <is>
          <t>ÖSTERGÖTLANDS LÄN</t>
        </is>
      </c>
      <c r="E8237" t="inlineStr">
        <is>
          <t>LINKÖPING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62501-2023</t>
        </is>
      </c>
      <c r="B8238" s="1" t="n">
        <v>45268</v>
      </c>
      <c r="C8238" s="1" t="n">
        <v>45710</v>
      </c>
      <c r="D8238" t="inlineStr">
        <is>
          <t>ÖSTERGÖTLANDS LÄN</t>
        </is>
      </c>
      <c r="E8238" t="inlineStr">
        <is>
          <t>LINKÖPING</t>
        </is>
      </c>
      <c r="G8238" t="n">
        <v>7.4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62529-2023</t>
        </is>
      </c>
      <c r="B8239" s="1" t="n">
        <v>45268</v>
      </c>
      <c r="C8239" s="1" t="n">
        <v>45710</v>
      </c>
      <c r="D8239" t="inlineStr">
        <is>
          <t>ÖSTERGÖTLANDS LÄN</t>
        </is>
      </c>
      <c r="E8239" t="inlineStr">
        <is>
          <t>NORRKÖPING</t>
        </is>
      </c>
      <c r="G8239" t="n">
        <v>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62475-2023</t>
        </is>
      </c>
      <c r="B8240" s="1" t="n">
        <v>45268</v>
      </c>
      <c r="C8240" s="1" t="n">
        <v>45710</v>
      </c>
      <c r="D8240" t="inlineStr">
        <is>
          <t>ÖSTERGÖTLANDS LÄN</t>
        </is>
      </c>
      <c r="E8240" t="inlineStr">
        <is>
          <t>NORRKÖPING</t>
        </is>
      </c>
      <c r="G8240" t="n">
        <v>12.5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62524-2023</t>
        </is>
      </c>
      <c r="B8241" s="1" t="n">
        <v>45268</v>
      </c>
      <c r="C8241" s="1" t="n">
        <v>45710</v>
      </c>
      <c r="D8241" t="inlineStr">
        <is>
          <t>ÖSTERGÖTLANDS LÄN</t>
        </is>
      </c>
      <c r="E8241" t="inlineStr">
        <is>
          <t>NORRKÖPING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62476-2023</t>
        </is>
      </c>
      <c r="B8242" s="1" t="n">
        <v>45268</v>
      </c>
      <c r="C8242" s="1" t="n">
        <v>45710</v>
      </c>
      <c r="D8242" t="inlineStr">
        <is>
          <t>ÖSTERGÖTLANDS LÄN</t>
        </is>
      </c>
      <c r="E8242" t="inlineStr">
        <is>
          <t>LINKÖPING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62480-2023</t>
        </is>
      </c>
      <c r="B8243" s="1" t="n">
        <v>45268</v>
      </c>
      <c r="C8243" s="1" t="n">
        <v>45710</v>
      </c>
      <c r="D8243" t="inlineStr">
        <is>
          <t>ÖSTERGÖTLANDS LÄN</t>
        </is>
      </c>
      <c r="E8243" t="inlineStr">
        <is>
          <t>LINKÖPING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62492-2023</t>
        </is>
      </c>
      <c r="B8244" s="1" t="n">
        <v>45268</v>
      </c>
      <c r="C8244" s="1" t="n">
        <v>45710</v>
      </c>
      <c r="D8244" t="inlineStr">
        <is>
          <t>ÖSTERGÖTLANDS LÄN</t>
        </is>
      </c>
      <c r="E8244" t="inlineStr">
        <is>
          <t>LINKÖPING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62570-2023</t>
        </is>
      </c>
      <c r="B8245" s="1" t="n">
        <v>45269</v>
      </c>
      <c r="C8245" s="1" t="n">
        <v>45710</v>
      </c>
      <c r="D8245" t="inlineStr">
        <is>
          <t>ÖSTERGÖTLANDS LÄN</t>
        </is>
      </c>
      <c r="E8245" t="inlineStr">
        <is>
          <t>MJÖLBY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62612-2023</t>
        </is>
      </c>
      <c r="B8246" s="1" t="n">
        <v>45271</v>
      </c>
      <c r="C8246" s="1" t="n">
        <v>45710</v>
      </c>
      <c r="D8246" t="inlineStr">
        <is>
          <t>ÖSTERGÖTLANDS LÄN</t>
        </is>
      </c>
      <c r="E8246" t="inlineStr">
        <is>
          <t>ÅTVIDABERG</t>
        </is>
      </c>
      <c r="G8246" t="n">
        <v>2.9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62686-2023</t>
        </is>
      </c>
      <c r="B8247" s="1" t="n">
        <v>45271</v>
      </c>
      <c r="C8247" s="1" t="n">
        <v>45710</v>
      </c>
      <c r="D8247" t="inlineStr">
        <is>
          <t>ÖSTERGÖTLANDS LÄN</t>
        </is>
      </c>
      <c r="E8247" t="inlineStr">
        <is>
          <t>LINKÖPING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62611-2023</t>
        </is>
      </c>
      <c r="B8248" s="1" t="n">
        <v>45271</v>
      </c>
      <c r="C8248" s="1" t="n">
        <v>45710</v>
      </c>
      <c r="D8248" t="inlineStr">
        <is>
          <t>ÖSTERGÖTLANDS LÄN</t>
        </is>
      </c>
      <c r="E8248" t="inlineStr">
        <is>
          <t>ÅTVIDABERG</t>
        </is>
      </c>
      <c r="G8248" t="n">
        <v>2.1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  <c r="U8248">
        <f>HYPERLINK("https://klasma.github.io/Logging_0561/knärot/A 62611-2023 karta knärot.png", "A 62611-2023")</f>
        <v/>
      </c>
      <c r="V8248">
        <f>HYPERLINK("https://klasma.github.io/Logging_0561/klagomål/A 62611-2023 FSC-klagomål.docx", "A 62611-2023")</f>
        <v/>
      </c>
      <c r="W8248">
        <f>HYPERLINK("https://klasma.github.io/Logging_0561/klagomålsmail/A 62611-2023 FSC-klagomål mail.docx", "A 62611-2023")</f>
        <v/>
      </c>
      <c r="X8248">
        <f>HYPERLINK("https://klasma.github.io/Logging_0561/tillsyn/A 62611-2023 tillsynsbegäran.docx", "A 62611-2023")</f>
        <v/>
      </c>
      <c r="Y8248">
        <f>HYPERLINK("https://klasma.github.io/Logging_0561/tillsynsmail/A 62611-2023 tillsynsbegäran mail.docx", "A 62611-2023")</f>
        <v/>
      </c>
    </row>
    <row r="8249" ht="15" customHeight="1">
      <c r="A8249" t="inlineStr">
        <is>
          <t>A 62748-2023</t>
        </is>
      </c>
      <c r="B8249" s="1" t="n">
        <v>45271</v>
      </c>
      <c r="C8249" s="1" t="n">
        <v>45710</v>
      </c>
      <c r="D8249" t="inlineStr">
        <is>
          <t>ÖSTERGÖTLANDS LÄN</t>
        </is>
      </c>
      <c r="E8249" t="inlineStr">
        <is>
          <t>KINDA</t>
        </is>
      </c>
      <c r="G8249" t="n">
        <v>9.800000000000001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62803-2023</t>
        </is>
      </c>
      <c r="B8250" s="1" t="n">
        <v>45271</v>
      </c>
      <c r="C8250" s="1" t="n">
        <v>45710</v>
      </c>
      <c r="D8250" t="inlineStr">
        <is>
          <t>ÖSTERGÖTLANDS LÄN</t>
        </is>
      </c>
      <c r="E8250" t="inlineStr">
        <is>
          <t>MOTALA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62914-2023</t>
        </is>
      </c>
      <c r="B8251" s="1" t="n">
        <v>45271</v>
      </c>
      <c r="C8251" s="1" t="n">
        <v>45710</v>
      </c>
      <c r="D8251" t="inlineStr">
        <is>
          <t>ÖSTERGÖTLANDS LÄN</t>
        </is>
      </c>
      <c r="E8251" t="inlineStr">
        <is>
          <t>VALDEMARSVIK</t>
        </is>
      </c>
      <c r="F8251" t="inlineStr">
        <is>
          <t>Övriga Aktiebolag</t>
        </is>
      </c>
      <c r="G8251" t="n">
        <v>11.1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62687-2023</t>
        </is>
      </c>
      <c r="B8252" s="1" t="n">
        <v>45271</v>
      </c>
      <c r="C8252" s="1" t="n">
        <v>45710</v>
      </c>
      <c r="D8252" t="inlineStr">
        <is>
          <t>ÖSTERGÖTLANDS LÄN</t>
        </is>
      </c>
      <c r="E8252" t="inlineStr">
        <is>
          <t>LINKÖPING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62723-2023</t>
        </is>
      </c>
      <c r="B8253" s="1" t="n">
        <v>45271</v>
      </c>
      <c r="C8253" s="1" t="n">
        <v>45710</v>
      </c>
      <c r="D8253" t="inlineStr">
        <is>
          <t>ÖSTERGÖTLANDS LÄN</t>
        </is>
      </c>
      <c r="E8253" t="inlineStr">
        <is>
          <t>ÖDESHÖG</t>
        </is>
      </c>
      <c r="F8253" t="inlineStr">
        <is>
          <t>Allmännings- och besparingsskogar</t>
        </is>
      </c>
      <c r="G8253" t="n">
        <v>10.2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62771-2023</t>
        </is>
      </c>
      <c r="B8254" s="1" t="n">
        <v>45271</v>
      </c>
      <c r="C8254" s="1" t="n">
        <v>45710</v>
      </c>
      <c r="D8254" t="inlineStr">
        <is>
          <t>ÖSTERGÖTLANDS LÄN</t>
        </is>
      </c>
      <c r="E8254" t="inlineStr">
        <is>
          <t>YDRE</t>
        </is>
      </c>
      <c r="G8254" t="n">
        <v>4.2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62875-2023</t>
        </is>
      </c>
      <c r="B8255" s="1" t="n">
        <v>45272</v>
      </c>
      <c r="C8255" s="1" t="n">
        <v>45710</v>
      </c>
      <c r="D8255" t="inlineStr">
        <is>
          <t>ÖSTERGÖTLANDS LÄN</t>
        </is>
      </c>
      <c r="E8255" t="inlineStr">
        <is>
          <t>NORRKÖPING</t>
        </is>
      </c>
      <c r="F8255" t="inlineStr">
        <is>
          <t>Holmen skog AB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62944-2023</t>
        </is>
      </c>
      <c r="B8256" s="1" t="n">
        <v>45272</v>
      </c>
      <c r="C8256" s="1" t="n">
        <v>45710</v>
      </c>
      <c r="D8256" t="inlineStr">
        <is>
          <t>ÖSTERGÖTLANDS LÄN</t>
        </is>
      </c>
      <c r="E8256" t="inlineStr">
        <is>
          <t>SÖDERKÖPING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62848-2023</t>
        </is>
      </c>
      <c r="B8257" s="1" t="n">
        <v>45272</v>
      </c>
      <c r="C8257" s="1" t="n">
        <v>45710</v>
      </c>
      <c r="D8257" t="inlineStr">
        <is>
          <t>ÖSTERGÖTLANDS LÄN</t>
        </is>
      </c>
      <c r="E8257" t="inlineStr">
        <is>
          <t>BOXHOLM</t>
        </is>
      </c>
      <c r="F8257" t="inlineStr">
        <is>
          <t>Övriga Aktiebolag</t>
        </is>
      </c>
      <c r="G8257" t="n">
        <v>8.1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62851-2023</t>
        </is>
      </c>
      <c r="B8258" s="1" t="n">
        <v>45272</v>
      </c>
      <c r="C8258" s="1" t="n">
        <v>45710</v>
      </c>
      <c r="D8258" t="inlineStr">
        <is>
          <t>ÖSTERGÖTLANDS LÄN</t>
        </is>
      </c>
      <c r="E8258" t="inlineStr">
        <is>
          <t>BOXHOLM</t>
        </is>
      </c>
      <c r="F8258" t="inlineStr">
        <is>
          <t>Övriga Aktiebolag</t>
        </is>
      </c>
      <c r="G8258" t="n">
        <v>6.2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62859-2023</t>
        </is>
      </c>
      <c r="B8259" s="1" t="n">
        <v>45272</v>
      </c>
      <c r="C8259" s="1" t="n">
        <v>45710</v>
      </c>
      <c r="D8259" t="inlineStr">
        <is>
          <t>ÖSTERGÖTLANDS LÄN</t>
        </is>
      </c>
      <c r="E8259" t="inlineStr">
        <is>
          <t>YDRE</t>
        </is>
      </c>
      <c r="F8259" t="inlineStr">
        <is>
          <t>Övriga Aktiebolag</t>
        </is>
      </c>
      <c r="G8259" t="n">
        <v>5.6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62988-2023</t>
        </is>
      </c>
      <c r="B8260" s="1" t="n">
        <v>45272</v>
      </c>
      <c r="C8260" s="1" t="n">
        <v>45710</v>
      </c>
      <c r="D8260" t="inlineStr">
        <is>
          <t>ÖSTERGÖTLANDS LÄN</t>
        </is>
      </c>
      <c r="E8260" t="inlineStr">
        <is>
          <t>ÖDESHÖG</t>
        </is>
      </c>
      <c r="F8260" t="inlineStr">
        <is>
          <t>Allmännings- och besparingsskogar</t>
        </is>
      </c>
      <c r="G8260" t="n">
        <v>19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63005-2023</t>
        </is>
      </c>
      <c r="B8261" s="1" t="n">
        <v>45272</v>
      </c>
      <c r="C8261" s="1" t="n">
        <v>45710</v>
      </c>
      <c r="D8261" t="inlineStr">
        <is>
          <t>ÖSTERGÖTLANDS LÄN</t>
        </is>
      </c>
      <c r="E8261" t="inlineStr">
        <is>
          <t>NORRKÖPING</t>
        </is>
      </c>
      <c r="F8261" t="inlineStr">
        <is>
          <t>Holmen skog AB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63153-2023</t>
        </is>
      </c>
      <c r="B8262" s="1" t="n">
        <v>45273</v>
      </c>
      <c r="C8262" s="1" t="n">
        <v>45710</v>
      </c>
      <c r="D8262" t="inlineStr">
        <is>
          <t>ÖSTERGÖTLANDS LÄN</t>
        </is>
      </c>
      <c r="E8262" t="inlineStr">
        <is>
          <t>VALDEMARSVIK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63198-2023</t>
        </is>
      </c>
      <c r="B8263" s="1" t="n">
        <v>45273</v>
      </c>
      <c r="C8263" s="1" t="n">
        <v>45710</v>
      </c>
      <c r="D8263" t="inlineStr">
        <is>
          <t>ÖSTERGÖTLANDS LÄN</t>
        </is>
      </c>
      <c r="E8263" t="inlineStr">
        <is>
          <t>ÅTVIDABERG</t>
        </is>
      </c>
      <c r="G8263" t="n">
        <v>13.1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63242-2023</t>
        </is>
      </c>
      <c r="B8264" s="1" t="n">
        <v>45273</v>
      </c>
      <c r="C8264" s="1" t="n">
        <v>45710</v>
      </c>
      <c r="D8264" t="inlineStr">
        <is>
          <t>ÖSTERGÖTLANDS LÄN</t>
        </is>
      </c>
      <c r="E8264" t="inlineStr">
        <is>
          <t>YDRE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63147-2023</t>
        </is>
      </c>
      <c r="B8265" s="1" t="n">
        <v>45273</v>
      </c>
      <c r="C8265" s="1" t="n">
        <v>45710</v>
      </c>
      <c r="D8265" t="inlineStr">
        <is>
          <t>ÖSTERGÖTLANDS LÄN</t>
        </is>
      </c>
      <c r="E8265" t="inlineStr">
        <is>
          <t>MOTALA</t>
        </is>
      </c>
      <c r="F8265" t="inlineStr">
        <is>
          <t>Kyrkan</t>
        </is>
      </c>
      <c r="G8265" t="n">
        <v>12.4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63155-2023</t>
        </is>
      </c>
      <c r="B8266" s="1" t="n">
        <v>45273</v>
      </c>
      <c r="C8266" s="1" t="n">
        <v>45710</v>
      </c>
      <c r="D8266" t="inlineStr">
        <is>
          <t>ÖSTERGÖTLANDS LÄN</t>
        </is>
      </c>
      <c r="E8266" t="inlineStr">
        <is>
          <t>VALDEMARSVIK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63248-2023</t>
        </is>
      </c>
      <c r="B8267" s="1" t="n">
        <v>45273</v>
      </c>
      <c r="C8267" s="1" t="n">
        <v>45710</v>
      </c>
      <c r="D8267" t="inlineStr">
        <is>
          <t>ÖSTERGÖTLANDS LÄN</t>
        </is>
      </c>
      <c r="E8267" t="inlineStr">
        <is>
          <t>YDRE</t>
        </is>
      </c>
      <c r="G8267" t="n">
        <v>5.4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63237-2023</t>
        </is>
      </c>
      <c r="B8268" s="1" t="n">
        <v>45273</v>
      </c>
      <c r="C8268" s="1" t="n">
        <v>45710</v>
      </c>
      <c r="D8268" t="inlineStr">
        <is>
          <t>ÖSTERGÖTLANDS LÄN</t>
        </is>
      </c>
      <c r="E8268" t="inlineStr">
        <is>
          <t>YDRE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63150-2023</t>
        </is>
      </c>
      <c r="B8269" s="1" t="n">
        <v>45273</v>
      </c>
      <c r="C8269" s="1" t="n">
        <v>45710</v>
      </c>
      <c r="D8269" t="inlineStr">
        <is>
          <t>ÖSTERGÖTLANDS LÄN</t>
        </is>
      </c>
      <c r="E8269" t="inlineStr">
        <is>
          <t>MOTALA</t>
        </is>
      </c>
      <c r="F8269" t="inlineStr">
        <is>
          <t>Kyrkan</t>
        </is>
      </c>
      <c r="G8269" t="n">
        <v>8.4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63154-2023</t>
        </is>
      </c>
      <c r="B8270" s="1" t="n">
        <v>45273</v>
      </c>
      <c r="C8270" s="1" t="n">
        <v>45710</v>
      </c>
      <c r="D8270" t="inlineStr">
        <is>
          <t>ÖSTERGÖTLANDS LÄN</t>
        </is>
      </c>
      <c r="E8270" t="inlineStr">
        <is>
          <t>VALDEMARSVIK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63468-2023</t>
        </is>
      </c>
      <c r="B8271" s="1" t="n">
        <v>45273</v>
      </c>
      <c r="C8271" s="1" t="n">
        <v>45710</v>
      </c>
      <c r="D8271" t="inlineStr">
        <is>
          <t>ÖSTERGÖTLANDS LÄN</t>
        </is>
      </c>
      <c r="E8271" t="inlineStr">
        <is>
          <t>NORRKÖPING</t>
        </is>
      </c>
      <c r="G8271" t="n">
        <v>4.7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63449-2023</t>
        </is>
      </c>
      <c r="B8272" s="1" t="n">
        <v>45273</v>
      </c>
      <c r="C8272" s="1" t="n">
        <v>45710</v>
      </c>
      <c r="D8272" t="inlineStr">
        <is>
          <t>ÖSTERGÖTLANDS LÄN</t>
        </is>
      </c>
      <c r="E8272" t="inlineStr">
        <is>
          <t>MJÖLBY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63467-2023</t>
        </is>
      </c>
      <c r="B8273" s="1" t="n">
        <v>45273</v>
      </c>
      <c r="C8273" s="1" t="n">
        <v>45710</v>
      </c>
      <c r="D8273" t="inlineStr">
        <is>
          <t>ÖSTERGÖTLANDS LÄN</t>
        </is>
      </c>
      <c r="E8273" t="inlineStr">
        <is>
          <t>MJÖLBY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63489-2023</t>
        </is>
      </c>
      <c r="B8274" s="1" t="n">
        <v>45274</v>
      </c>
      <c r="C8274" s="1" t="n">
        <v>45710</v>
      </c>
      <c r="D8274" t="inlineStr">
        <is>
          <t>ÖSTERGÖTLANDS LÄN</t>
        </is>
      </c>
      <c r="E8274" t="inlineStr">
        <is>
          <t>LINKÖPING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63385-2023</t>
        </is>
      </c>
      <c r="B8275" s="1" t="n">
        <v>45274</v>
      </c>
      <c r="C8275" s="1" t="n">
        <v>45710</v>
      </c>
      <c r="D8275" t="inlineStr">
        <is>
          <t>ÖSTERGÖTLANDS LÄN</t>
        </is>
      </c>
      <c r="E8275" t="inlineStr">
        <is>
          <t>ÅTVIDABERG</t>
        </is>
      </c>
      <c r="F8275" t="inlineStr">
        <is>
          <t>Övriga Aktiebolag</t>
        </is>
      </c>
      <c r="G8275" t="n">
        <v>4.2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63322-2023</t>
        </is>
      </c>
      <c r="B8276" s="1" t="n">
        <v>45274</v>
      </c>
      <c r="C8276" s="1" t="n">
        <v>45710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63346-2023</t>
        </is>
      </c>
      <c r="B8277" s="1" t="n">
        <v>45274</v>
      </c>
      <c r="C8277" s="1" t="n">
        <v>45710</v>
      </c>
      <c r="D8277" t="inlineStr">
        <is>
          <t>ÖSTERGÖTLANDS LÄN</t>
        </is>
      </c>
      <c r="E8277" t="inlineStr">
        <is>
          <t>ÅTVIDABERG</t>
        </is>
      </c>
      <c r="F8277" t="inlineStr">
        <is>
          <t>Övriga Aktiebolag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63442-2023</t>
        </is>
      </c>
      <c r="B8278" s="1" t="n">
        <v>45274</v>
      </c>
      <c r="C8278" s="1" t="n">
        <v>45710</v>
      </c>
      <c r="D8278" t="inlineStr">
        <is>
          <t>ÖSTERGÖTLANDS LÄN</t>
        </is>
      </c>
      <c r="E8278" t="inlineStr">
        <is>
          <t>KINDA</t>
        </is>
      </c>
      <c r="F8278" t="inlineStr">
        <is>
          <t>Kyrkan</t>
        </is>
      </c>
      <c r="G8278" t="n">
        <v>7.4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63487-2023</t>
        </is>
      </c>
      <c r="B8279" s="1" t="n">
        <v>45274</v>
      </c>
      <c r="C8279" s="1" t="n">
        <v>45710</v>
      </c>
      <c r="D8279" t="inlineStr">
        <is>
          <t>ÖSTERGÖTLANDS LÄN</t>
        </is>
      </c>
      <c r="E8279" t="inlineStr">
        <is>
          <t>LINKÖPING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63504-2023</t>
        </is>
      </c>
      <c r="B8280" s="1" t="n">
        <v>45274</v>
      </c>
      <c r="C8280" s="1" t="n">
        <v>45710</v>
      </c>
      <c r="D8280" t="inlineStr">
        <is>
          <t>ÖSTERGÖTLANDS LÄN</t>
        </is>
      </c>
      <c r="E8280" t="inlineStr">
        <is>
          <t>NORRKÖPING</t>
        </is>
      </c>
      <c r="F8280" t="inlineStr">
        <is>
          <t>Holmen skog AB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63417-2023</t>
        </is>
      </c>
      <c r="B8281" s="1" t="n">
        <v>45274</v>
      </c>
      <c r="C8281" s="1" t="n">
        <v>45710</v>
      </c>
      <c r="D8281" t="inlineStr">
        <is>
          <t>ÖSTERGÖTLANDS LÄN</t>
        </is>
      </c>
      <c r="E8281" t="inlineStr">
        <is>
          <t>NORRKÖPING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63461-2023</t>
        </is>
      </c>
      <c r="B8282" s="1" t="n">
        <v>45274</v>
      </c>
      <c r="C8282" s="1" t="n">
        <v>45710</v>
      </c>
      <c r="D8282" t="inlineStr">
        <is>
          <t>ÖSTERGÖTLANDS LÄN</t>
        </is>
      </c>
      <c r="E8282" t="inlineStr">
        <is>
          <t>LINKÖPING</t>
        </is>
      </c>
      <c r="G8282" t="n">
        <v>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63482-2023</t>
        </is>
      </c>
      <c r="B8283" s="1" t="n">
        <v>45274</v>
      </c>
      <c r="C8283" s="1" t="n">
        <v>45710</v>
      </c>
      <c r="D8283" t="inlineStr">
        <is>
          <t>ÖSTERGÖTLANDS LÄN</t>
        </is>
      </c>
      <c r="E8283" t="inlineStr">
        <is>
          <t>FINSPÅNG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63327-2023</t>
        </is>
      </c>
      <c r="B8284" s="1" t="n">
        <v>45274</v>
      </c>
      <c r="C8284" s="1" t="n">
        <v>45710</v>
      </c>
      <c r="D8284" t="inlineStr">
        <is>
          <t>ÖSTERGÖTLANDS LÄN</t>
        </is>
      </c>
      <c r="E8284" t="inlineStr">
        <is>
          <t>LINKÖPING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63452-2023</t>
        </is>
      </c>
      <c r="B8285" s="1" t="n">
        <v>45274</v>
      </c>
      <c r="C8285" s="1" t="n">
        <v>45710</v>
      </c>
      <c r="D8285" t="inlineStr">
        <is>
          <t>ÖSTERGÖTLANDS LÄN</t>
        </is>
      </c>
      <c r="E8285" t="inlineStr">
        <is>
          <t>KINDA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63528-2023</t>
        </is>
      </c>
      <c r="B8286" s="1" t="n">
        <v>45274</v>
      </c>
      <c r="C8286" s="1" t="n">
        <v>45710</v>
      </c>
      <c r="D8286" t="inlineStr">
        <is>
          <t>ÖSTERGÖTLANDS LÄN</t>
        </is>
      </c>
      <c r="E8286" t="inlineStr">
        <is>
          <t>LINKÖPING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63349-2023</t>
        </is>
      </c>
      <c r="B8287" s="1" t="n">
        <v>45274</v>
      </c>
      <c r="C8287" s="1" t="n">
        <v>45710</v>
      </c>
      <c r="D8287" t="inlineStr">
        <is>
          <t>ÖSTERGÖTLANDS LÄN</t>
        </is>
      </c>
      <c r="E8287" t="inlineStr">
        <is>
          <t>NORRKÖPING</t>
        </is>
      </c>
      <c r="G8287" t="n">
        <v>6.2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63549-2023</t>
        </is>
      </c>
      <c r="B8288" s="1" t="n">
        <v>45275</v>
      </c>
      <c r="C8288" s="1" t="n">
        <v>45710</v>
      </c>
      <c r="D8288" t="inlineStr">
        <is>
          <t>ÖSTERGÖTLANDS LÄN</t>
        </is>
      </c>
      <c r="E8288" t="inlineStr">
        <is>
          <t>LINKÖPING</t>
        </is>
      </c>
      <c r="G8288" t="n">
        <v>7.7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63554-2023</t>
        </is>
      </c>
      <c r="B8289" s="1" t="n">
        <v>45275</v>
      </c>
      <c r="C8289" s="1" t="n">
        <v>45710</v>
      </c>
      <c r="D8289" t="inlineStr">
        <is>
          <t>ÖSTERGÖTLANDS LÄN</t>
        </is>
      </c>
      <c r="E8289" t="inlineStr">
        <is>
          <t>LINKÖPING</t>
        </is>
      </c>
      <c r="G8289" t="n">
        <v>4.3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63559-2023</t>
        </is>
      </c>
      <c r="B8290" s="1" t="n">
        <v>45275</v>
      </c>
      <c r="C8290" s="1" t="n">
        <v>45710</v>
      </c>
      <c r="D8290" t="inlineStr">
        <is>
          <t>ÖSTERGÖTLANDS LÄN</t>
        </is>
      </c>
      <c r="E8290" t="inlineStr">
        <is>
          <t>LINKÖPING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63638-2023</t>
        </is>
      </c>
      <c r="B8291" s="1" t="n">
        <v>45275</v>
      </c>
      <c r="C8291" s="1" t="n">
        <v>45710</v>
      </c>
      <c r="D8291" t="inlineStr">
        <is>
          <t>ÖSTERGÖTLANDS LÄN</t>
        </is>
      </c>
      <c r="E8291" t="inlineStr">
        <is>
          <t>LINKÖPING</t>
        </is>
      </c>
      <c r="F8291" t="inlineStr">
        <is>
          <t>Övriga Aktiebolag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63650-2023</t>
        </is>
      </c>
      <c r="B8292" s="1" t="n">
        <v>45275</v>
      </c>
      <c r="C8292" s="1" t="n">
        <v>45710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Övriga Aktiebolag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63658-2023</t>
        </is>
      </c>
      <c r="B8293" s="1" t="n">
        <v>45275</v>
      </c>
      <c r="C8293" s="1" t="n">
        <v>45710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63565-2023</t>
        </is>
      </c>
      <c r="B8294" s="1" t="n">
        <v>45275</v>
      </c>
      <c r="C8294" s="1" t="n">
        <v>45710</v>
      </c>
      <c r="D8294" t="inlineStr">
        <is>
          <t>ÖSTERGÖTLANDS LÄN</t>
        </is>
      </c>
      <c r="E8294" t="inlineStr">
        <is>
          <t>FINSPÅNG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63555-2023</t>
        </is>
      </c>
      <c r="B8295" s="1" t="n">
        <v>45275</v>
      </c>
      <c r="C8295" s="1" t="n">
        <v>45710</v>
      </c>
      <c r="D8295" t="inlineStr">
        <is>
          <t>ÖSTERGÖTLANDS LÄN</t>
        </is>
      </c>
      <c r="E8295" t="inlineStr">
        <is>
          <t>LINKÖPING</t>
        </is>
      </c>
      <c r="G8295" t="n">
        <v>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63595-2023</t>
        </is>
      </c>
      <c r="B8296" s="1" t="n">
        <v>45275</v>
      </c>
      <c r="C8296" s="1" t="n">
        <v>45710</v>
      </c>
      <c r="D8296" t="inlineStr">
        <is>
          <t>ÖSTERGÖTLANDS LÄN</t>
        </is>
      </c>
      <c r="E8296" t="inlineStr">
        <is>
          <t>KINDA</t>
        </is>
      </c>
      <c r="F8296" t="inlineStr">
        <is>
          <t>Övriga Aktiebolag</t>
        </is>
      </c>
      <c r="G8296" t="n">
        <v>3.8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63639-2023</t>
        </is>
      </c>
      <c r="B8297" s="1" t="n">
        <v>45275</v>
      </c>
      <c r="C8297" s="1" t="n">
        <v>45710</v>
      </c>
      <c r="D8297" t="inlineStr">
        <is>
          <t>ÖSTERGÖTLANDS LÄN</t>
        </is>
      </c>
      <c r="E8297" t="inlineStr">
        <is>
          <t>ÅTVIDABERG</t>
        </is>
      </c>
      <c r="G8297" t="n">
        <v>2.9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63647-2023</t>
        </is>
      </c>
      <c r="B8298" s="1" t="n">
        <v>45275</v>
      </c>
      <c r="C8298" s="1" t="n">
        <v>45710</v>
      </c>
      <c r="D8298" t="inlineStr">
        <is>
          <t>ÖSTERGÖTLANDS LÄN</t>
        </is>
      </c>
      <c r="E8298" t="inlineStr">
        <is>
          <t>KINDA</t>
        </is>
      </c>
      <c r="F8298" t="inlineStr">
        <is>
          <t>Övriga Aktiebolag</t>
        </is>
      </c>
      <c r="G8298" t="n">
        <v>20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63651-2023</t>
        </is>
      </c>
      <c r="B8299" s="1" t="n">
        <v>45275</v>
      </c>
      <c r="C8299" s="1" t="n">
        <v>45710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63672-2023</t>
        </is>
      </c>
      <c r="B8300" s="1" t="n">
        <v>45275</v>
      </c>
      <c r="C8300" s="1" t="n">
        <v>45710</v>
      </c>
      <c r="D8300" t="inlineStr">
        <is>
          <t>ÖSTERGÖTLANDS LÄN</t>
        </is>
      </c>
      <c r="E8300" t="inlineStr">
        <is>
          <t>LINKÖPING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63585-2023</t>
        </is>
      </c>
      <c r="B8301" s="1" t="n">
        <v>45275</v>
      </c>
      <c r="C8301" s="1" t="n">
        <v>45710</v>
      </c>
      <c r="D8301" t="inlineStr">
        <is>
          <t>ÖSTERGÖTLANDS LÄN</t>
        </is>
      </c>
      <c r="E8301" t="inlineStr">
        <is>
          <t>FINSPÅNG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63633-2023</t>
        </is>
      </c>
      <c r="B8302" s="1" t="n">
        <v>45275</v>
      </c>
      <c r="C8302" s="1" t="n">
        <v>45710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63645-2023</t>
        </is>
      </c>
      <c r="B8303" s="1" t="n">
        <v>45275</v>
      </c>
      <c r="C8303" s="1" t="n">
        <v>45710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63665-2023</t>
        </is>
      </c>
      <c r="B8304" s="1" t="n">
        <v>45275</v>
      </c>
      <c r="C8304" s="1" t="n">
        <v>45710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63684-2023</t>
        </is>
      </c>
      <c r="B8305" s="1" t="n">
        <v>45275</v>
      </c>
      <c r="C8305" s="1" t="n">
        <v>45710</v>
      </c>
      <c r="D8305" t="inlineStr">
        <is>
          <t>ÖSTERGÖTLANDS LÄN</t>
        </is>
      </c>
      <c r="E8305" t="inlineStr">
        <is>
          <t>LINKÖPING</t>
        </is>
      </c>
      <c r="G8305" t="n">
        <v>0.4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63636-2023</t>
        </is>
      </c>
      <c r="B8306" s="1" t="n">
        <v>45275</v>
      </c>
      <c r="C8306" s="1" t="n">
        <v>45710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63640-2023</t>
        </is>
      </c>
      <c r="B8307" s="1" t="n">
        <v>45275</v>
      </c>
      <c r="C8307" s="1" t="n">
        <v>45710</v>
      </c>
      <c r="D8307" t="inlineStr">
        <is>
          <t>ÖSTERGÖTLANDS LÄN</t>
        </is>
      </c>
      <c r="E8307" t="inlineStr">
        <is>
          <t>LINKÖPING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63669-2023</t>
        </is>
      </c>
      <c r="B8308" s="1" t="n">
        <v>45275</v>
      </c>
      <c r="C8308" s="1" t="n">
        <v>45710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63678-2023</t>
        </is>
      </c>
      <c r="B8309" s="1" t="n">
        <v>45275</v>
      </c>
      <c r="C8309" s="1" t="n">
        <v>45710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63688-2023</t>
        </is>
      </c>
      <c r="B8310" s="1" t="n">
        <v>45275</v>
      </c>
      <c r="C8310" s="1" t="n">
        <v>45710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63691-2023</t>
        </is>
      </c>
      <c r="B8311" s="1" t="n">
        <v>45275</v>
      </c>
      <c r="C8311" s="1" t="n">
        <v>45710</v>
      </c>
      <c r="D8311" t="inlineStr">
        <is>
          <t>ÖSTERGÖTLANDS LÄN</t>
        </is>
      </c>
      <c r="E8311" t="inlineStr">
        <is>
          <t>LINKÖPING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63765-2023</t>
        </is>
      </c>
      <c r="B8312" s="1" t="n">
        <v>45278</v>
      </c>
      <c r="C8312" s="1" t="n">
        <v>45710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63830-2023</t>
        </is>
      </c>
      <c r="B8313" s="1" t="n">
        <v>45278</v>
      </c>
      <c r="C8313" s="1" t="n">
        <v>45710</v>
      </c>
      <c r="D8313" t="inlineStr">
        <is>
          <t>ÖSTERGÖTLANDS LÄN</t>
        </is>
      </c>
      <c r="E8313" t="inlineStr">
        <is>
          <t>YDRE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63961-2023</t>
        </is>
      </c>
      <c r="B8314" s="1" t="n">
        <v>45278</v>
      </c>
      <c r="C8314" s="1" t="n">
        <v>45710</v>
      </c>
      <c r="D8314" t="inlineStr">
        <is>
          <t>ÖSTERGÖTLANDS LÄN</t>
        </is>
      </c>
      <c r="E8314" t="inlineStr">
        <is>
          <t>NORRKÖPING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63973-2023</t>
        </is>
      </c>
      <c r="B8315" s="1" t="n">
        <v>45278</v>
      </c>
      <c r="C8315" s="1" t="n">
        <v>45710</v>
      </c>
      <c r="D8315" t="inlineStr">
        <is>
          <t>ÖSTERGÖTLANDS LÄN</t>
        </is>
      </c>
      <c r="E8315" t="inlineStr">
        <is>
          <t>NORRKÖPING</t>
        </is>
      </c>
      <c r="F8315" t="inlineStr">
        <is>
          <t>Holmen skog AB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63918-2023</t>
        </is>
      </c>
      <c r="B8316" s="1" t="n">
        <v>45278</v>
      </c>
      <c r="C8316" s="1" t="n">
        <v>45710</v>
      </c>
      <c r="D8316" t="inlineStr">
        <is>
          <t>ÖSTERGÖTLANDS LÄN</t>
        </is>
      </c>
      <c r="E8316" t="inlineStr">
        <is>
          <t>NORRKÖPING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63962-2023</t>
        </is>
      </c>
      <c r="B8317" s="1" t="n">
        <v>45278</v>
      </c>
      <c r="C8317" s="1" t="n">
        <v>45710</v>
      </c>
      <c r="D8317" t="inlineStr">
        <is>
          <t>ÖSTERGÖTLANDS LÄN</t>
        </is>
      </c>
      <c r="E8317" t="inlineStr">
        <is>
          <t>NORRKÖPING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63943-2023</t>
        </is>
      </c>
      <c r="B8318" s="1" t="n">
        <v>45278</v>
      </c>
      <c r="C8318" s="1" t="n">
        <v>45710</v>
      </c>
      <c r="D8318" t="inlineStr">
        <is>
          <t>ÖSTERGÖTLANDS LÄN</t>
        </is>
      </c>
      <c r="E8318" t="inlineStr">
        <is>
          <t>ÖDESHÖG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63936-2023</t>
        </is>
      </c>
      <c r="B8319" s="1" t="n">
        <v>45278</v>
      </c>
      <c r="C8319" s="1" t="n">
        <v>45710</v>
      </c>
      <c r="D8319" t="inlineStr">
        <is>
          <t>ÖSTERGÖTLANDS LÄN</t>
        </is>
      </c>
      <c r="E8319" t="inlineStr">
        <is>
          <t>ÖDESHÖG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63968-2023</t>
        </is>
      </c>
      <c r="B8320" s="1" t="n">
        <v>45278</v>
      </c>
      <c r="C8320" s="1" t="n">
        <v>45710</v>
      </c>
      <c r="D8320" t="inlineStr">
        <is>
          <t>ÖSTERGÖTLANDS LÄN</t>
        </is>
      </c>
      <c r="E8320" t="inlineStr">
        <is>
          <t>NORRKÖPING</t>
        </is>
      </c>
      <c r="F8320" t="inlineStr">
        <is>
          <t>Holmen skog AB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63976-2023</t>
        </is>
      </c>
      <c r="B8321" s="1" t="n">
        <v>45278</v>
      </c>
      <c r="C8321" s="1" t="n">
        <v>45710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64103-2023</t>
        </is>
      </c>
      <c r="B8322" s="1" t="n">
        <v>45279</v>
      </c>
      <c r="C8322" s="1" t="n">
        <v>45710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64148-2023</t>
        </is>
      </c>
      <c r="B8323" s="1" t="n">
        <v>45279</v>
      </c>
      <c r="C8323" s="1" t="n">
        <v>45710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Övriga Aktiebolag</t>
        </is>
      </c>
      <c r="G8323" t="n">
        <v>6.7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64156-2023</t>
        </is>
      </c>
      <c r="B8324" s="1" t="n">
        <v>45279</v>
      </c>
      <c r="C8324" s="1" t="n">
        <v>45710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Övriga Aktiebolag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64080-2023</t>
        </is>
      </c>
      <c r="B8325" s="1" t="n">
        <v>45279</v>
      </c>
      <c r="C8325" s="1" t="n">
        <v>45710</v>
      </c>
      <c r="D8325" t="inlineStr">
        <is>
          <t>ÖSTERGÖTLANDS LÄN</t>
        </is>
      </c>
      <c r="E8325" t="inlineStr">
        <is>
          <t>KINDA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64053-2023</t>
        </is>
      </c>
      <c r="B8326" s="1" t="n">
        <v>45279</v>
      </c>
      <c r="C8326" s="1" t="n">
        <v>45710</v>
      </c>
      <c r="D8326" t="inlineStr">
        <is>
          <t>ÖSTERGÖTLANDS LÄN</t>
        </is>
      </c>
      <c r="E8326" t="inlineStr">
        <is>
          <t>SÖDERKÖPING</t>
        </is>
      </c>
      <c r="G8326" t="n">
        <v>7.5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64153-2023</t>
        </is>
      </c>
      <c r="B8327" s="1" t="n">
        <v>45279</v>
      </c>
      <c r="C8327" s="1" t="n">
        <v>45710</v>
      </c>
      <c r="D8327" t="inlineStr">
        <is>
          <t>ÖSTERGÖTLANDS LÄN</t>
        </is>
      </c>
      <c r="E8327" t="inlineStr">
        <is>
          <t>FINSPÅNG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64170-2023</t>
        </is>
      </c>
      <c r="B8328" s="1" t="n">
        <v>45279</v>
      </c>
      <c r="C8328" s="1" t="n">
        <v>45710</v>
      </c>
      <c r="D8328" t="inlineStr">
        <is>
          <t>ÖSTERGÖTLANDS LÄN</t>
        </is>
      </c>
      <c r="E8328" t="inlineStr">
        <is>
          <t>KINDA</t>
        </is>
      </c>
      <c r="G8328" t="n">
        <v>7.3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64186-2023</t>
        </is>
      </c>
      <c r="B8329" s="1" t="n">
        <v>45279</v>
      </c>
      <c r="C8329" s="1" t="n">
        <v>45710</v>
      </c>
      <c r="D8329" t="inlineStr">
        <is>
          <t>ÖSTERGÖTLANDS LÄN</t>
        </is>
      </c>
      <c r="E8329" t="inlineStr">
        <is>
          <t>MOTALA</t>
        </is>
      </c>
      <c r="G8329" t="n">
        <v>1.9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64198-2023</t>
        </is>
      </c>
      <c r="B8330" s="1" t="n">
        <v>45279</v>
      </c>
      <c r="C8330" s="1" t="n">
        <v>45710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Övriga Aktiebolag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64210-2023</t>
        </is>
      </c>
      <c r="B8331" s="1" t="n">
        <v>45279</v>
      </c>
      <c r="C8331" s="1" t="n">
        <v>45710</v>
      </c>
      <c r="D8331" t="inlineStr">
        <is>
          <t>ÖSTERGÖTLANDS LÄN</t>
        </is>
      </c>
      <c r="E8331" t="inlineStr">
        <is>
          <t>SÖDERKÖPING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64226-2023</t>
        </is>
      </c>
      <c r="B8332" s="1" t="n">
        <v>45279</v>
      </c>
      <c r="C8332" s="1" t="n">
        <v>45710</v>
      </c>
      <c r="D8332" t="inlineStr">
        <is>
          <t>ÖSTERGÖTLANDS LÄN</t>
        </is>
      </c>
      <c r="E8332" t="inlineStr">
        <is>
          <t>KINDA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64161-2023</t>
        </is>
      </c>
      <c r="B8333" s="1" t="n">
        <v>45279</v>
      </c>
      <c r="C8333" s="1" t="n">
        <v>45710</v>
      </c>
      <c r="D8333" t="inlineStr">
        <is>
          <t>ÖSTERGÖTLANDS LÄN</t>
        </is>
      </c>
      <c r="E8333" t="inlineStr">
        <is>
          <t>MOTALA</t>
        </is>
      </c>
      <c r="G8333" t="n">
        <v>3.4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64169-2023</t>
        </is>
      </c>
      <c r="B8334" s="1" t="n">
        <v>45279</v>
      </c>
      <c r="C8334" s="1" t="n">
        <v>45710</v>
      </c>
      <c r="D8334" t="inlineStr">
        <is>
          <t>ÖSTERGÖTLANDS LÄN</t>
        </is>
      </c>
      <c r="E8334" t="inlineStr">
        <is>
          <t>MOTALA</t>
        </is>
      </c>
      <c r="G8334" t="n">
        <v>4.2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64213-2023</t>
        </is>
      </c>
      <c r="B8335" s="1" t="n">
        <v>45279</v>
      </c>
      <c r="C8335" s="1" t="n">
        <v>45710</v>
      </c>
      <c r="D8335" t="inlineStr">
        <is>
          <t>ÖSTERGÖTLANDS LÄN</t>
        </is>
      </c>
      <c r="E8335" t="inlineStr">
        <is>
          <t>SÖDERKÖPING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64175-2023</t>
        </is>
      </c>
      <c r="B8336" s="1" t="n">
        <v>45279</v>
      </c>
      <c r="C8336" s="1" t="n">
        <v>45710</v>
      </c>
      <c r="D8336" t="inlineStr">
        <is>
          <t>ÖSTERGÖTLANDS LÄN</t>
        </is>
      </c>
      <c r="E8336" t="inlineStr">
        <is>
          <t>MOTALA</t>
        </is>
      </c>
      <c r="G8336" t="n">
        <v>0.2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64225-2023</t>
        </is>
      </c>
      <c r="B8337" s="1" t="n">
        <v>45279</v>
      </c>
      <c r="C8337" s="1" t="n">
        <v>45710</v>
      </c>
      <c r="D8337" t="inlineStr">
        <is>
          <t>ÖSTERGÖTLANDS LÄN</t>
        </is>
      </c>
      <c r="E8337" t="inlineStr">
        <is>
          <t>KINDA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64164-2023</t>
        </is>
      </c>
      <c r="B8338" s="1" t="n">
        <v>45279</v>
      </c>
      <c r="C8338" s="1" t="n">
        <v>45710</v>
      </c>
      <c r="D8338" t="inlineStr">
        <is>
          <t>ÖSTERGÖTLANDS LÄN</t>
        </is>
      </c>
      <c r="E8338" t="inlineStr">
        <is>
          <t>MOTALA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64168-2023</t>
        </is>
      </c>
      <c r="B8339" s="1" t="n">
        <v>45279</v>
      </c>
      <c r="C8339" s="1" t="n">
        <v>45710</v>
      </c>
      <c r="D8339" t="inlineStr">
        <is>
          <t>ÖSTERGÖTLANDS LÄN</t>
        </is>
      </c>
      <c r="E8339" t="inlineStr">
        <is>
          <t>KINDA</t>
        </is>
      </c>
      <c r="G8339" t="n">
        <v>5.9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64184-2023</t>
        </is>
      </c>
      <c r="B8340" s="1" t="n">
        <v>45279</v>
      </c>
      <c r="C8340" s="1" t="n">
        <v>45710</v>
      </c>
      <c r="D8340" t="inlineStr">
        <is>
          <t>ÖSTERGÖTLANDS LÄN</t>
        </is>
      </c>
      <c r="E8340" t="inlineStr">
        <is>
          <t>MOTALA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64188-2023</t>
        </is>
      </c>
      <c r="B8341" s="1" t="n">
        <v>45279</v>
      </c>
      <c r="C8341" s="1" t="n">
        <v>45710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4.1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64199-2023</t>
        </is>
      </c>
      <c r="B8342" s="1" t="n">
        <v>45279</v>
      </c>
      <c r="C8342" s="1" t="n">
        <v>45710</v>
      </c>
      <c r="D8342" t="inlineStr">
        <is>
          <t>ÖSTERGÖTLANDS LÄN</t>
        </is>
      </c>
      <c r="E8342" t="inlineStr">
        <is>
          <t>SÖDERKÖPING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64211-2023</t>
        </is>
      </c>
      <c r="B8343" s="1" t="n">
        <v>45279</v>
      </c>
      <c r="C8343" s="1" t="n">
        <v>45710</v>
      </c>
      <c r="D8343" t="inlineStr">
        <is>
          <t>ÖSTERGÖTLANDS LÄN</t>
        </is>
      </c>
      <c r="E8343" t="inlineStr">
        <is>
          <t>SÖDERKÖPING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64227-2023</t>
        </is>
      </c>
      <c r="B8344" s="1" t="n">
        <v>45279</v>
      </c>
      <c r="C8344" s="1" t="n">
        <v>45710</v>
      </c>
      <c r="D8344" t="inlineStr">
        <is>
          <t>ÖSTERGÖTLANDS LÄN</t>
        </is>
      </c>
      <c r="E8344" t="inlineStr">
        <is>
          <t>KINDA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64228-2023</t>
        </is>
      </c>
      <c r="B8345" s="1" t="n">
        <v>45279</v>
      </c>
      <c r="C8345" s="1" t="n">
        <v>45710</v>
      </c>
      <c r="D8345" t="inlineStr">
        <is>
          <t>ÖSTERGÖTLANDS LÄN</t>
        </is>
      </c>
      <c r="E8345" t="inlineStr">
        <is>
          <t>KINDA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64408-2023</t>
        </is>
      </c>
      <c r="B8346" s="1" t="n">
        <v>45280</v>
      </c>
      <c r="C8346" s="1" t="n">
        <v>45710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Övriga Aktiebolag</t>
        </is>
      </c>
      <c r="G8346" t="n">
        <v>13.6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64420-2023</t>
        </is>
      </c>
      <c r="B8347" s="1" t="n">
        <v>45280</v>
      </c>
      <c r="C8347" s="1" t="n">
        <v>45710</v>
      </c>
      <c r="D8347" t="inlineStr">
        <is>
          <t>ÖSTERGÖTLANDS LÄN</t>
        </is>
      </c>
      <c r="E8347" t="inlineStr">
        <is>
          <t>NORRKÖPING</t>
        </is>
      </c>
      <c r="G8347" t="n">
        <v>4.7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64436-2023</t>
        </is>
      </c>
      <c r="B8348" s="1" t="n">
        <v>45280</v>
      </c>
      <c r="C8348" s="1" t="n">
        <v>45710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64311-2023</t>
        </is>
      </c>
      <c r="B8349" s="1" t="n">
        <v>45280</v>
      </c>
      <c r="C8349" s="1" t="n">
        <v>45710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64320-2023</t>
        </is>
      </c>
      <c r="B8350" s="1" t="n">
        <v>45280</v>
      </c>
      <c r="C8350" s="1" t="n">
        <v>45710</v>
      </c>
      <c r="D8350" t="inlineStr">
        <is>
          <t>ÖSTERGÖTLANDS LÄN</t>
        </is>
      </c>
      <c r="E8350" t="inlineStr">
        <is>
          <t>NORRKÖPING</t>
        </is>
      </c>
      <c r="F8350" t="inlineStr">
        <is>
          <t>Holmen skog AB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64376-2023</t>
        </is>
      </c>
      <c r="B8351" s="1" t="n">
        <v>45280</v>
      </c>
      <c r="C8351" s="1" t="n">
        <v>45710</v>
      </c>
      <c r="D8351" t="inlineStr">
        <is>
          <t>ÖSTERGÖTLANDS LÄN</t>
        </is>
      </c>
      <c r="E8351" t="inlineStr">
        <is>
          <t>LINKÖPING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64388-2023</t>
        </is>
      </c>
      <c r="B8352" s="1" t="n">
        <v>45280</v>
      </c>
      <c r="C8352" s="1" t="n">
        <v>45710</v>
      </c>
      <c r="D8352" t="inlineStr">
        <is>
          <t>ÖSTERGÖTLANDS LÄN</t>
        </is>
      </c>
      <c r="E8352" t="inlineStr">
        <is>
          <t>ÖDESHÖG</t>
        </is>
      </c>
      <c r="G8352" t="n">
        <v>6.1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64442-2023</t>
        </is>
      </c>
      <c r="B8353" s="1" t="n">
        <v>45280</v>
      </c>
      <c r="C8353" s="1" t="n">
        <v>45710</v>
      </c>
      <c r="D8353" t="inlineStr">
        <is>
          <t>ÖSTERGÖTLANDS LÄN</t>
        </is>
      </c>
      <c r="E8353" t="inlineStr">
        <is>
          <t>ÖDESHÖG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64458-2023</t>
        </is>
      </c>
      <c r="B8354" s="1" t="n">
        <v>45280</v>
      </c>
      <c r="C8354" s="1" t="n">
        <v>45710</v>
      </c>
      <c r="D8354" t="inlineStr">
        <is>
          <t>ÖSTERGÖTLANDS LÄN</t>
        </is>
      </c>
      <c r="E8354" t="inlineStr">
        <is>
          <t>SÖDERKÖPING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64405-2023</t>
        </is>
      </c>
      <c r="B8355" s="1" t="n">
        <v>45280</v>
      </c>
      <c r="C8355" s="1" t="n">
        <v>45710</v>
      </c>
      <c r="D8355" t="inlineStr">
        <is>
          <t>ÖSTERGÖTLANDS LÄN</t>
        </is>
      </c>
      <c r="E8355" t="inlineStr">
        <is>
          <t>ÖDESHÖG</t>
        </is>
      </c>
      <c r="G8355" t="n">
        <v>5.9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64457-2023</t>
        </is>
      </c>
      <c r="B8356" s="1" t="n">
        <v>45280</v>
      </c>
      <c r="C8356" s="1" t="n">
        <v>45710</v>
      </c>
      <c r="D8356" t="inlineStr">
        <is>
          <t>ÖSTERGÖTLANDS LÄN</t>
        </is>
      </c>
      <c r="E8356" t="inlineStr">
        <is>
          <t>SÖDERKÖPING</t>
        </is>
      </c>
      <c r="G8356" t="n">
        <v>2.8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64536-2023</t>
        </is>
      </c>
      <c r="B8357" s="1" t="n">
        <v>45281</v>
      </c>
      <c r="C8357" s="1" t="n">
        <v>45710</v>
      </c>
      <c r="D8357" t="inlineStr">
        <is>
          <t>ÖSTERGÖTLANDS LÄN</t>
        </is>
      </c>
      <c r="E8357" t="inlineStr">
        <is>
          <t>KINDA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64530-2023</t>
        </is>
      </c>
      <c r="B8358" s="1" t="n">
        <v>45281</v>
      </c>
      <c r="C8358" s="1" t="n">
        <v>45710</v>
      </c>
      <c r="D8358" t="inlineStr">
        <is>
          <t>ÖSTERGÖTLANDS LÄN</t>
        </is>
      </c>
      <c r="E8358" t="inlineStr">
        <is>
          <t>MOTALA</t>
        </is>
      </c>
      <c r="F8358" t="inlineStr">
        <is>
          <t>Sveaskog</t>
        </is>
      </c>
      <c r="G8358" t="n">
        <v>2.6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64618-2023</t>
        </is>
      </c>
      <c r="B8359" s="1" t="n">
        <v>45281</v>
      </c>
      <c r="C8359" s="1" t="n">
        <v>45710</v>
      </c>
      <c r="D8359" t="inlineStr">
        <is>
          <t>ÖSTERGÖTLANDS LÄN</t>
        </is>
      </c>
      <c r="E8359" t="inlineStr">
        <is>
          <t>ÅTVIDABERG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64527-2023</t>
        </is>
      </c>
      <c r="B8360" s="1" t="n">
        <v>45281</v>
      </c>
      <c r="C8360" s="1" t="n">
        <v>45710</v>
      </c>
      <c r="D8360" t="inlineStr">
        <is>
          <t>ÖSTERGÖTLANDS LÄN</t>
        </is>
      </c>
      <c r="E8360" t="inlineStr">
        <is>
          <t>MOTALA</t>
        </is>
      </c>
      <c r="F8360" t="inlineStr">
        <is>
          <t>Sveaskog</t>
        </is>
      </c>
      <c r="G8360" t="n">
        <v>7.5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64657-2023</t>
        </is>
      </c>
      <c r="B8361" s="1" t="n">
        <v>45281</v>
      </c>
      <c r="C8361" s="1" t="n">
        <v>45710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64694-2023</t>
        </is>
      </c>
      <c r="B8362" s="1" t="n">
        <v>45281</v>
      </c>
      <c r="C8362" s="1" t="n">
        <v>45710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Övriga statliga verk och myndigheter</t>
        </is>
      </c>
      <c r="G8362" t="n">
        <v>4.9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64702-2023</t>
        </is>
      </c>
      <c r="B8363" s="1" t="n">
        <v>45281</v>
      </c>
      <c r="C8363" s="1" t="n">
        <v>45710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Övriga statliga verk och myndigheter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64710-2023</t>
        </is>
      </c>
      <c r="B8364" s="1" t="n">
        <v>45281</v>
      </c>
      <c r="C8364" s="1" t="n">
        <v>45710</v>
      </c>
      <c r="D8364" t="inlineStr">
        <is>
          <t>ÖSTERGÖTLANDS LÄN</t>
        </is>
      </c>
      <c r="E8364" t="inlineStr">
        <is>
          <t>ÖDESHÖG</t>
        </is>
      </c>
      <c r="G8364" t="n">
        <v>0.1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64709-2023</t>
        </is>
      </c>
      <c r="B8365" s="1" t="n">
        <v>45281</v>
      </c>
      <c r="C8365" s="1" t="n">
        <v>45710</v>
      </c>
      <c r="D8365" t="inlineStr">
        <is>
          <t>ÖSTERGÖTLANDS LÄN</t>
        </is>
      </c>
      <c r="E8365" t="inlineStr">
        <is>
          <t>ÖDESHÖG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64754-2023</t>
        </is>
      </c>
      <c r="B8366" s="1" t="n">
        <v>45281</v>
      </c>
      <c r="C8366" s="1" t="n">
        <v>45710</v>
      </c>
      <c r="D8366" t="inlineStr">
        <is>
          <t>ÖSTERGÖTLANDS LÄN</t>
        </is>
      </c>
      <c r="E8366" t="inlineStr">
        <is>
          <t>NORRKÖPING</t>
        </is>
      </c>
      <c r="G8366" t="n">
        <v>3.8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64798-2023</t>
        </is>
      </c>
      <c r="B8367" s="1" t="n">
        <v>45282</v>
      </c>
      <c r="C8367" s="1" t="n">
        <v>45710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64821-2023</t>
        </is>
      </c>
      <c r="B8368" s="1" t="n">
        <v>45282</v>
      </c>
      <c r="C8368" s="1" t="n">
        <v>45710</v>
      </c>
      <c r="D8368" t="inlineStr">
        <is>
          <t>ÖSTERGÖTLANDS LÄN</t>
        </is>
      </c>
      <c r="E8368" t="inlineStr">
        <is>
          <t>SÖDERKÖPING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64828-2023</t>
        </is>
      </c>
      <c r="B8369" s="1" t="n">
        <v>45282</v>
      </c>
      <c r="C8369" s="1" t="n">
        <v>45710</v>
      </c>
      <c r="D8369" t="inlineStr">
        <is>
          <t>ÖSTERGÖTLANDS LÄN</t>
        </is>
      </c>
      <c r="E8369" t="inlineStr">
        <is>
          <t>SÖDERKÖPING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64825-2023</t>
        </is>
      </c>
      <c r="B8370" s="1" t="n">
        <v>45282</v>
      </c>
      <c r="C8370" s="1" t="n">
        <v>45710</v>
      </c>
      <c r="D8370" t="inlineStr">
        <is>
          <t>ÖSTERGÖTLANDS LÄN</t>
        </is>
      </c>
      <c r="E8370" t="inlineStr">
        <is>
          <t>SÖDERKÖPING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64928-2023</t>
        </is>
      </c>
      <c r="B8371" s="1" t="n">
        <v>45282</v>
      </c>
      <c r="C8371" s="1" t="n">
        <v>45710</v>
      </c>
      <c r="D8371" t="inlineStr">
        <is>
          <t>ÖSTERGÖTLANDS LÄN</t>
        </is>
      </c>
      <c r="E8371" t="inlineStr">
        <is>
          <t>MJÖLBY</t>
        </is>
      </c>
      <c r="G8371" t="n">
        <v>3.3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64930-2023</t>
        </is>
      </c>
      <c r="B8372" s="1" t="n">
        <v>45282</v>
      </c>
      <c r="C8372" s="1" t="n">
        <v>45710</v>
      </c>
      <c r="D8372" t="inlineStr">
        <is>
          <t>ÖSTERGÖTLANDS LÄN</t>
        </is>
      </c>
      <c r="E8372" t="inlineStr">
        <is>
          <t>MJÖLBY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64934-2023</t>
        </is>
      </c>
      <c r="B8373" s="1" t="n">
        <v>45282</v>
      </c>
      <c r="C8373" s="1" t="n">
        <v>45710</v>
      </c>
      <c r="D8373" t="inlineStr">
        <is>
          <t>ÖSTERGÖTLANDS LÄN</t>
        </is>
      </c>
      <c r="E8373" t="inlineStr">
        <is>
          <t>MJÖLBY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64927-2023</t>
        </is>
      </c>
      <c r="B8374" s="1" t="n">
        <v>45282</v>
      </c>
      <c r="C8374" s="1" t="n">
        <v>45710</v>
      </c>
      <c r="D8374" t="inlineStr">
        <is>
          <t>ÖSTERGÖTLANDS LÄN</t>
        </is>
      </c>
      <c r="E8374" t="inlineStr">
        <is>
          <t>MJÖLBY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64935-2023</t>
        </is>
      </c>
      <c r="B8375" s="1" t="n">
        <v>45282</v>
      </c>
      <c r="C8375" s="1" t="n">
        <v>45710</v>
      </c>
      <c r="D8375" t="inlineStr">
        <is>
          <t>ÖSTERGÖTLANDS LÄN</t>
        </is>
      </c>
      <c r="E8375" t="inlineStr">
        <is>
          <t>MJÖLBY</t>
        </is>
      </c>
      <c r="G8375" t="n">
        <v>2.5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64820-2023</t>
        </is>
      </c>
      <c r="B8376" s="1" t="n">
        <v>45282</v>
      </c>
      <c r="C8376" s="1" t="n">
        <v>45710</v>
      </c>
      <c r="D8376" t="inlineStr">
        <is>
          <t>ÖSTERGÖTLANDS LÄN</t>
        </is>
      </c>
      <c r="E8376" t="inlineStr">
        <is>
          <t>SÖDERKÖPING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64833-2023</t>
        </is>
      </c>
      <c r="B8377" s="1" t="n">
        <v>45282</v>
      </c>
      <c r="C8377" s="1" t="n">
        <v>45710</v>
      </c>
      <c r="D8377" t="inlineStr">
        <is>
          <t>ÖSTERGÖTLANDS LÄN</t>
        </is>
      </c>
      <c r="E8377" t="inlineStr">
        <is>
          <t>SÖDERKÖPING</t>
        </is>
      </c>
      <c r="G8377" t="n">
        <v>6.7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64929-2023</t>
        </is>
      </c>
      <c r="B8378" s="1" t="n">
        <v>45282</v>
      </c>
      <c r="C8378" s="1" t="n">
        <v>45710</v>
      </c>
      <c r="D8378" t="inlineStr">
        <is>
          <t>ÖSTERGÖTLANDS LÄN</t>
        </is>
      </c>
      <c r="E8378" t="inlineStr">
        <is>
          <t>MJÖLBY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64932-2023</t>
        </is>
      </c>
      <c r="B8379" s="1" t="n">
        <v>45282</v>
      </c>
      <c r="C8379" s="1" t="n">
        <v>45710</v>
      </c>
      <c r="D8379" t="inlineStr">
        <is>
          <t>ÖSTERGÖTLANDS LÄN</t>
        </is>
      </c>
      <c r="E8379" t="inlineStr">
        <is>
          <t>MJÖLBY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65113-2023</t>
        </is>
      </c>
      <c r="B8380" s="1" t="n">
        <v>45287</v>
      </c>
      <c r="C8380" s="1" t="n">
        <v>45710</v>
      </c>
      <c r="D8380" t="inlineStr">
        <is>
          <t>ÖSTERGÖTLANDS LÄN</t>
        </is>
      </c>
      <c r="E8380" t="inlineStr">
        <is>
          <t>VALDEMARSVIK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65252-2023</t>
        </is>
      </c>
      <c r="B8381" s="1" t="n">
        <v>45290</v>
      </c>
      <c r="C8381" s="1" t="n">
        <v>45710</v>
      </c>
      <c r="D8381" t="inlineStr">
        <is>
          <t>ÖSTERGÖTLANDS LÄN</t>
        </is>
      </c>
      <c r="E8381" t="inlineStr">
        <is>
          <t>KINDA</t>
        </is>
      </c>
      <c r="G8381" t="n">
        <v>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62-2024</t>
        </is>
      </c>
      <c r="B8382" s="1" t="n">
        <v>45293</v>
      </c>
      <c r="C8382" s="1" t="n">
        <v>45710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70-2024</t>
        </is>
      </c>
      <c r="B8383" s="1" t="n">
        <v>45293</v>
      </c>
      <c r="C8383" s="1" t="n">
        <v>45710</v>
      </c>
      <c r="D8383" t="inlineStr">
        <is>
          <t>ÖSTERGÖTLANDS LÄN</t>
        </is>
      </c>
      <c r="E8383" t="inlineStr">
        <is>
          <t>LINKÖPING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48-2024</t>
        </is>
      </c>
      <c r="B8384" s="1" t="n">
        <v>45293</v>
      </c>
      <c r="C8384" s="1" t="n">
        <v>45710</v>
      </c>
      <c r="D8384" t="inlineStr">
        <is>
          <t>ÖSTERGÖTLANDS LÄN</t>
        </is>
      </c>
      <c r="E8384" t="inlineStr">
        <is>
          <t>LINKÖPING</t>
        </is>
      </c>
      <c r="G8384" t="n">
        <v>4.6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68-2024</t>
        </is>
      </c>
      <c r="B8385" s="1" t="n">
        <v>45293</v>
      </c>
      <c r="C8385" s="1" t="n">
        <v>45710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0.6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72-2024</t>
        </is>
      </c>
      <c r="B8386" s="1" t="n">
        <v>45293</v>
      </c>
      <c r="C8386" s="1" t="n">
        <v>45710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76-2024</t>
        </is>
      </c>
      <c r="B8387" s="1" t="n">
        <v>45293</v>
      </c>
      <c r="C8387" s="1" t="n">
        <v>45710</v>
      </c>
      <c r="D8387" t="inlineStr">
        <is>
          <t>ÖSTERGÖTLANDS LÄN</t>
        </is>
      </c>
      <c r="E8387" t="inlineStr">
        <is>
          <t>SÖDERKÖPING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65-2024</t>
        </is>
      </c>
      <c r="B8388" s="1" t="n">
        <v>45293</v>
      </c>
      <c r="C8388" s="1" t="n">
        <v>45710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73-2024</t>
        </is>
      </c>
      <c r="B8389" s="1" t="n">
        <v>45293</v>
      </c>
      <c r="C8389" s="1" t="n">
        <v>45710</v>
      </c>
      <c r="D8389" t="inlineStr">
        <is>
          <t>ÖSTERGÖTLANDS LÄN</t>
        </is>
      </c>
      <c r="E8389" t="inlineStr">
        <is>
          <t>SÖDERKÖPING</t>
        </is>
      </c>
      <c r="G8389" t="n">
        <v>23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77-2024</t>
        </is>
      </c>
      <c r="B8390" s="1" t="n">
        <v>45293</v>
      </c>
      <c r="C8390" s="1" t="n">
        <v>45710</v>
      </c>
      <c r="D8390" t="inlineStr">
        <is>
          <t>ÖSTERGÖTLANDS LÄN</t>
        </is>
      </c>
      <c r="E8390" t="inlineStr">
        <is>
          <t>SÖDERKÖPING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89-2024</t>
        </is>
      </c>
      <c r="B8391" s="1" t="n">
        <v>45293</v>
      </c>
      <c r="C8391" s="1" t="n">
        <v>45710</v>
      </c>
      <c r="D8391" t="inlineStr">
        <is>
          <t>ÖSTERGÖTLANDS LÄN</t>
        </is>
      </c>
      <c r="E8391" t="inlineStr">
        <is>
          <t>LINKÖPING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71-2024</t>
        </is>
      </c>
      <c r="B8392" s="1" t="n">
        <v>45293</v>
      </c>
      <c r="C8392" s="1" t="n">
        <v>45710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75-2024</t>
        </is>
      </c>
      <c r="B8393" s="1" t="n">
        <v>45293</v>
      </c>
      <c r="C8393" s="1" t="n">
        <v>45710</v>
      </c>
      <c r="D8393" t="inlineStr">
        <is>
          <t>ÖSTERGÖTLANDS LÄN</t>
        </is>
      </c>
      <c r="E8393" t="inlineStr">
        <is>
          <t>SÖDERKÖPING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79-2024</t>
        </is>
      </c>
      <c r="B8394" s="1" t="n">
        <v>45293</v>
      </c>
      <c r="C8394" s="1" t="n">
        <v>45710</v>
      </c>
      <c r="D8394" t="inlineStr">
        <is>
          <t>ÖSTERGÖTLANDS LÄN</t>
        </is>
      </c>
      <c r="E8394" t="inlineStr">
        <is>
          <t>MJÖLBY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220-2024</t>
        </is>
      </c>
      <c r="B8395" s="1" t="n">
        <v>45293</v>
      </c>
      <c r="C8395" s="1" t="n">
        <v>45710</v>
      </c>
      <c r="D8395" t="inlineStr">
        <is>
          <t>ÖSTERGÖTLANDS LÄN</t>
        </is>
      </c>
      <c r="E8395" t="inlineStr">
        <is>
          <t>FINSPÅNG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222-2024</t>
        </is>
      </c>
      <c r="B8396" s="1" t="n">
        <v>45293</v>
      </c>
      <c r="C8396" s="1" t="n">
        <v>45710</v>
      </c>
      <c r="D8396" t="inlineStr">
        <is>
          <t>ÖSTERGÖTLANDS LÄN</t>
        </is>
      </c>
      <c r="E8396" t="inlineStr">
        <is>
          <t>FINSPÅNG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225-2024</t>
        </is>
      </c>
      <c r="B8397" s="1" t="n">
        <v>45293</v>
      </c>
      <c r="C8397" s="1" t="n">
        <v>45710</v>
      </c>
      <c r="D8397" t="inlineStr">
        <is>
          <t>ÖSTERGÖTLANDS LÄN</t>
        </is>
      </c>
      <c r="E8397" t="inlineStr">
        <is>
          <t>FINSPÅNG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221-2024</t>
        </is>
      </c>
      <c r="B8398" s="1" t="n">
        <v>45293</v>
      </c>
      <c r="C8398" s="1" t="n">
        <v>45710</v>
      </c>
      <c r="D8398" t="inlineStr">
        <is>
          <t>ÖSTERGÖTLANDS LÄN</t>
        </is>
      </c>
      <c r="E8398" t="inlineStr">
        <is>
          <t>FINSPÅNG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133-2024</t>
        </is>
      </c>
      <c r="B8399" s="1" t="n">
        <v>45294</v>
      </c>
      <c r="C8399" s="1" t="n">
        <v>45710</v>
      </c>
      <c r="D8399" t="inlineStr">
        <is>
          <t>ÖSTERGÖTLANDS LÄN</t>
        </is>
      </c>
      <c r="E8399" t="inlineStr">
        <is>
          <t>KINDA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170-2024</t>
        </is>
      </c>
      <c r="B8400" s="1" t="n">
        <v>45294</v>
      </c>
      <c r="C8400" s="1" t="n">
        <v>45710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Allmännings- och besparingsskogar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130-2024</t>
        </is>
      </c>
      <c r="B8401" s="1" t="n">
        <v>45294</v>
      </c>
      <c r="C8401" s="1" t="n">
        <v>45710</v>
      </c>
      <c r="D8401" t="inlineStr">
        <is>
          <t>ÖSTERGÖTLANDS LÄN</t>
        </is>
      </c>
      <c r="E8401" t="inlineStr">
        <is>
          <t>MOTALA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168-2024</t>
        </is>
      </c>
      <c r="B8402" s="1" t="n">
        <v>45294</v>
      </c>
      <c r="C8402" s="1" t="n">
        <v>45710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Allmännings- och besparingsskogar</t>
        </is>
      </c>
      <c r="G8402" t="n">
        <v>8.9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185-2024</t>
        </is>
      </c>
      <c r="B8403" s="1" t="n">
        <v>45294</v>
      </c>
      <c r="C8403" s="1" t="n">
        <v>45710</v>
      </c>
      <c r="D8403" t="inlineStr">
        <is>
          <t>ÖSTERGÖTLANDS LÄN</t>
        </is>
      </c>
      <c r="E8403" t="inlineStr">
        <is>
          <t>MOTALA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224-2024</t>
        </is>
      </c>
      <c r="B8404" s="1" t="n">
        <v>45294</v>
      </c>
      <c r="C8404" s="1" t="n">
        <v>45710</v>
      </c>
      <c r="D8404" t="inlineStr">
        <is>
          <t>ÖSTERGÖTLANDS LÄN</t>
        </is>
      </c>
      <c r="E8404" t="inlineStr">
        <is>
          <t>LINKÖPING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271-2024</t>
        </is>
      </c>
      <c r="B8405" s="1" t="n">
        <v>45294</v>
      </c>
      <c r="C8405" s="1" t="n">
        <v>45710</v>
      </c>
      <c r="D8405" t="inlineStr">
        <is>
          <t>ÖSTERGÖTLANDS LÄN</t>
        </is>
      </c>
      <c r="E8405" t="inlineStr">
        <is>
          <t>LINKÖPING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223-2024</t>
        </is>
      </c>
      <c r="B8406" s="1" t="n">
        <v>45294</v>
      </c>
      <c r="C8406" s="1" t="n">
        <v>45710</v>
      </c>
      <c r="D8406" t="inlineStr">
        <is>
          <t>ÖSTERGÖTLANDS LÄN</t>
        </is>
      </c>
      <c r="E8406" t="inlineStr">
        <is>
          <t>LINKÖPING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167-2024</t>
        </is>
      </c>
      <c r="B8407" s="1" t="n">
        <v>45294</v>
      </c>
      <c r="C8407" s="1" t="n">
        <v>45710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Allmännings- och besparingsskogar</t>
        </is>
      </c>
      <c r="G8407" t="n">
        <v>11.6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184-2024</t>
        </is>
      </c>
      <c r="B8408" s="1" t="n">
        <v>45294</v>
      </c>
      <c r="C8408" s="1" t="n">
        <v>45710</v>
      </c>
      <c r="D8408" t="inlineStr">
        <is>
          <t>ÖSTERGÖTLANDS LÄN</t>
        </is>
      </c>
      <c r="E8408" t="inlineStr">
        <is>
          <t>MOTALA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227-2024</t>
        </is>
      </c>
      <c r="B8409" s="1" t="n">
        <v>45294</v>
      </c>
      <c r="C8409" s="1" t="n">
        <v>45710</v>
      </c>
      <c r="D8409" t="inlineStr">
        <is>
          <t>ÖSTERGÖTLANDS LÄN</t>
        </is>
      </c>
      <c r="E8409" t="inlineStr">
        <is>
          <t>LINKÖPING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279-2024</t>
        </is>
      </c>
      <c r="B8410" s="1" t="n">
        <v>45294</v>
      </c>
      <c r="C8410" s="1" t="n">
        <v>45710</v>
      </c>
      <c r="D8410" t="inlineStr">
        <is>
          <t>ÖSTERGÖTLANDS LÄN</t>
        </is>
      </c>
      <c r="E8410" t="inlineStr">
        <is>
          <t>MJÖLBY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312-2024</t>
        </is>
      </c>
      <c r="B8411" s="1" t="n">
        <v>45295</v>
      </c>
      <c r="C8411" s="1" t="n">
        <v>45710</v>
      </c>
      <c r="D8411" t="inlineStr">
        <is>
          <t>ÖSTERGÖTLANDS LÄN</t>
        </is>
      </c>
      <c r="E8411" t="inlineStr">
        <is>
          <t>SÖDERKÖPING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309-2024</t>
        </is>
      </c>
      <c r="B8412" s="1" t="n">
        <v>45295</v>
      </c>
      <c r="C8412" s="1" t="n">
        <v>45710</v>
      </c>
      <c r="D8412" t="inlineStr">
        <is>
          <t>ÖSTERGÖTLANDS LÄN</t>
        </is>
      </c>
      <c r="E8412" t="inlineStr">
        <is>
          <t>SÖDERKÖPING</t>
        </is>
      </c>
      <c r="G8412" t="n">
        <v>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313-2024</t>
        </is>
      </c>
      <c r="B8413" s="1" t="n">
        <v>45295</v>
      </c>
      <c r="C8413" s="1" t="n">
        <v>45710</v>
      </c>
      <c r="D8413" t="inlineStr">
        <is>
          <t>ÖSTERGÖTLANDS LÄN</t>
        </is>
      </c>
      <c r="E8413" t="inlineStr">
        <is>
          <t>SÖDERKÖPING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306-2024</t>
        </is>
      </c>
      <c r="B8414" s="1" t="n">
        <v>45295</v>
      </c>
      <c r="C8414" s="1" t="n">
        <v>45710</v>
      </c>
      <c r="D8414" t="inlineStr">
        <is>
          <t>ÖSTERGÖTLANDS LÄN</t>
        </is>
      </c>
      <c r="E8414" t="inlineStr">
        <is>
          <t>SÖDERKÖPING</t>
        </is>
      </c>
      <c r="G8414" t="n">
        <v>8.6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310-2024</t>
        </is>
      </c>
      <c r="B8415" s="1" t="n">
        <v>45295</v>
      </c>
      <c r="C8415" s="1" t="n">
        <v>45710</v>
      </c>
      <c r="D8415" t="inlineStr">
        <is>
          <t>ÖSTERGÖTLANDS LÄN</t>
        </is>
      </c>
      <c r="E8415" t="inlineStr">
        <is>
          <t>SÖDERKÖPING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354-2024</t>
        </is>
      </c>
      <c r="B8416" s="1" t="n">
        <v>45295</v>
      </c>
      <c r="C8416" s="1" t="n">
        <v>45710</v>
      </c>
      <c r="D8416" t="inlineStr">
        <is>
          <t>ÖSTERGÖTLANDS LÄN</t>
        </is>
      </c>
      <c r="E8416" t="inlineStr">
        <is>
          <t>SÖDERKÖPING</t>
        </is>
      </c>
      <c r="G8416" t="n">
        <v>10.2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356-2024</t>
        </is>
      </c>
      <c r="B8417" s="1" t="n">
        <v>45295</v>
      </c>
      <c r="C8417" s="1" t="n">
        <v>45710</v>
      </c>
      <c r="D8417" t="inlineStr">
        <is>
          <t>ÖSTERGÖTLANDS LÄN</t>
        </is>
      </c>
      <c r="E8417" t="inlineStr">
        <is>
          <t>SÖDERKÖPING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357-2024</t>
        </is>
      </c>
      <c r="B8418" s="1" t="n">
        <v>45295</v>
      </c>
      <c r="C8418" s="1" t="n">
        <v>45710</v>
      </c>
      <c r="D8418" t="inlineStr">
        <is>
          <t>ÖSTERGÖTLANDS LÄN</t>
        </is>
      </c>
      <c r="E8418" t="inlineStr">
        <is>
          <t>LINKÖPING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399-2024</t>
        </is>
      </c>
      <c r="B8419" s="1" t="n">
        <v>45296</v>
      </c>
      <c r="C8419" s="1" t="n">
        <v>45710</v>
      </c>
      <c r="D8419" t="inlineStr">
        <is>
          <t>ÖSTERGÖTLANDS LÄN</t>
        </is>
      </c>
      <c r="E8419" t="inlineStr">
        <is>
          <t>ÅTVIDABERG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396-2024</t>
        </is>
      </c>
      <c r="B8420" s="1" t="n">
        <v>45296</v>
      </c>
      <c r="C8420" s="1" t="n">
        <v>45710</v>
      </c>
      <c r="D8420" t="inlineStr">
        <is>
          <t>ÖSTERGÖTLANDS LÄN</t>
        </is>
      </c>
      <c r="E8420" t="inlineStr">
        <is>
          <t>ÅTVIDABERG</t>
        </is>
      </c>
      <c r="G8420" t="n">
        <v>6.1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400-2024</t>
        </is>
      </c>
      <c r="B8421" s="1" t="n">
        <v>45296</v>
      </c>
      <c r="C8421" s="1" t="n">
        <v>45710</v>
      </c>
      <c r="D8421" t="inlineStr">
        <is>
          <t>ÖSTERGÖTLANDS LÄN</t>
        </is>
      </c>
      <c r="E8421" t="inlineStr">
        <is>
          <t>ÅTVIDABERG</t>
        </is>
      </c>
      <c r="G8421" t="n">
        <v>4.1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398-2024</t>
        </is>
      </c>
      <c r="B8422" s="1" t="n">
        <v>45296</v>
      </c>
      <c r="C8422" s="1" t="n">
        <v>45710</v>
      </c>
      <c r="D8422" t="inlineStr">
        <is>
          <t>ÖSTERGÖTLANDS LÄN</t>
        </is>
      </c>
      <c r="E8422" t="inlineStr">
        <is>
          <t>ÅTVIDABERG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397-2024</t>
        </is>
      </c>
      <c r="B8423" s="1" t="n">
        <v>45296</v>
      </c>
      <c r="C8423" s="1" t="n">
        <v>45710</v>
      </c>
      <c r="D8423" t="inlineStr">
        <is>
          <t>ÖSTERGÖTLANDS LÄN</t>
        </is>
      </c>
      <c r="E8423" t="inlineStr">
        <is>
          <t>ÅTVIDABERG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421-2024</t>
        </is>
      </c>
      <c r="B8424" s="1" t="n">
        <v>45296</v>
      </c>
      <c r="C8424" s="1" t="n">
        <v>45710</v>
      </c>
      <c r="D8424" t="inlineStr">
        <is>
          <t>ÖSTERGÖTLANDS LÄN</t>
        </is>
      </c>
      <c r="E8424" t="inlineStr">
        <is>
          <t>LINKÖPING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459-2024</t>
        </is>
      </c>
      <c r="B8425" s="1" t="n">
        <v>45297</v>
      </c>
      <c r="C8425" s="1" t="n">
        <v>45710</v>
      </c>
      <c r="D8425" t="inlineStr">
        <is>
          <t>ÖSTERGÖTLANDS LÄN</t>
        </is>
      </c>
      <c r="E8425" t="inlineStr">
        <is>
          <t>SÖDERKÖPING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458-2024</t>
        </is>
      </c>
      <c r="B8426" s="1" t="n">
        <v>45297</v>
      </c>
      <c r="C8426" s="1" t="n">
        <v>45710</v>
      </c>
      <c r="D8426" t="inlineStr">
        <is>
          <t>ÖSTERGÖTLANDS LÄN</t>
        </is>
      </c>
      <c r="E8426" t="inlineStr">
        <is>
          <t>SÖDERKÖPING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506-2024</t>
        </is>
      </c>
      <c r="B8427" s="1" t="n">
        <v>45299</v>
      </c>
      <c r="C8427" s="1" t="n">
        <v>45710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Sveaskog</t>
        </is>
      </c>
      <c r="G8427" t="n">
        <v>2.9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499-2024</t>
        </is>
      </c>
      <c r="B8428" s="1" t="n">
        <v>45299</v>
      </c>
      <c r="C8428" s="1" t="n">
        <v>45710</v>
      </c>
      <c r="D8428" t="inlineStr">
        <is>
          <t>ÖSTERGÖTLANDS LÄN</t>
        </is>
      </c>
      <c r="E8428" t="inlineStr">
        <is>
          <t>FINSPÅNG</t>
        </is>
      </c>
      <c r="G8428" t="n">
        <v>5.3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504-2024</t>
        </is>
      </c>
      <c r="B8429" s="1" t="n">
        <v>45299</v>
      </c>
      <c r="C8429" s="1" t="n">
        <v>45710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518-2024</t>
        </is>
      </c>
      <c r="B8430" s="1" t="n">
        <v>45299</v>
      </c>
      <c r="C8430" s="1" t="n">
        <v>45710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Sveaskog</t>
        </is>
      </c>
      <c r="G8430" t="n">
        <v>3.3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631-2024</t>
        </is>
      </c>
      <c r="B8431" s="1" t="n">
        <v>45299</v>
      </c>
      <c r="C8431" s="1" t="n">
        <v>45710</v>
      </c>
      <c r="D8431" t="inlineStr">
        <is>
          <t>ÖSTERGÖTLANDS LÄN</t>
        </is>
      </c>
      <c r="E8431" t="inlineStr">
        <is>
          <t>LINKÖPING</t>
        </is>
      </c>
      <c r="G8431" t="n">
        <v>2.7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635-2024</t>
        </is>
      </c>
      <c r="B8432" s="1" t="n">
        <v>45299</v>
      </c>
      <c r="C8432" s="1" t="n">
        <v>45710</v>
      </c>
      <c r="D8432" t="inlineStr">
        <is>
          <t>ÖSTERGÖTLANDS LÄN</t>
        </is>
      </c>
      <c r="E8432" t="inlineStr">
        <is>
          <t>LINKÖPING</t>
        </is>
      </c>
      <c r="G8432" t="n">
        <v>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517-2024</t>
        </is>
      </c>
      <c r="B8433" s="1" t="n">
        <v>45299</v>
      </c>
      <c r="C8433" s="1" t="n">
        <v>45710</v>
      </c>
      <c r="D8433" t="inlineStr">
        <is>
          <t>ÖSTERGÖTLANDS LÄN</t>
        </is>
      </c>
      <c r="E8433" t="inlineStr">
        <is>
          <t>MOTALA</t>
        </is>
      </c>
      <c r="F8433" t="inlineStr">
        <is>
          <t>Sveaskog</t>
        </is>
      </c>
      <c r="G8433" t="n">
        <v>3.7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554-2024</t>
        </is>
      </c>
      <c r="B8434" s="1" t="n">
        <v>45299</v>
      </c>
      <c r="C8434" s="1" t="n">
        <v>45710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507-2024</t>
        </is>
      </c>
      <c r="B8435" s="1" t="n">
        <v>45299</v>
      </c>
      <c r="C8435" s="1" t="n">
        <v>45710</v>
      </c>
      <c r="D8435" t="inlineStr">
        <is>
          <t>ÖSTERGÖTLANDS LÄN</t>
        </is>
      </c>
      <c r="E8435" t="inlineStr">
        <is>
          <t>FINSPÅNG</t>
        </is>
      </c>
      <c r="G8435" t="n">
        <v>3.6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552-2024</t>
        </is>
      </c>
      <c r="B8436" s="1" t="n">
        <v>45299</v>
      </c>
      <c r="C8436" s="1" t="n">
        <v>45710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2.2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564-2024</t>
        </is>
      </c>
      <c r="B8437" s="1" t="n">
        <v>45299</v>
      </c>
      <c r="C8437" s="1" t="n">
        <v>45710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606-2024</t>
        </is>
      </c>
      <c r="B8438" s="1" t="n">
        <v>45299</v>
      </c>
      <c r="C8438" s="1" t="n">
        <v>45710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Övriga statliga verk och myndigheter</t>
        </is>
      </c>
      <c r="G8438" t="n">
        <v>3.9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622-2024</t>
        </is>
      </c>
      <c r="B8439" s="1" t="n">
        <v>45299</v>
      </c>
      <c r="C8439" s="1" t="n">
        <v>45710</v>
      </c>
      <c r="D8439" t="inlineStr">
        <is>
          <t>ÖSTERGÖTLANDS LÄN</t>
        </is>
      </c>
      <c r="E8439" t="inlineStr">
        <is>
          <t>LINKÖPING</t>
        </is>
      </c>
      <c r="G8439" t="n">
        <v>8.699999999999999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626-2024</t>
        </is>
      </c>
      <c r="B8440" s="1" t="n">
        <v>45299</v>
      </c>
      <c r="C8440" s="1" t="n">
        <v>45710</v>
      </c>
      <c r="D8440" t="inlineStr">
        <is>
          <t>ÖSTERGÖTLANDS LÄN</t>
        </is>
      </c>
      <c r="E8440" t="inlineStr">
        <is>
          <t>LINKÖPING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630-2024</t>
        </is>
      </c>
      <c r="B8441" s="1" t="n">
        <v>45299</v>
      </c>
      <c r="C8441" s="1" t="n">
        <v>45710</v>
      </c>
      <c r="D8441" t="inlineStr">
        <is>
          <t>ÖSTERGÖTLANDS LÄN</t>
        </is>
      </c>
      <c r="E8441" t="inlineStr">
        <is>
          <t>LINKÖPING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617-2024</t>
        </is>
      </c>
      <c r="B8442" s="1" t="n">
        <v>45299</v>
      </c>
      <c r="C8442" s="1" t="n">
        <v>45710</v>
      </c>
      <c r="D8442" t="inlineStr">
        <is>
          <t>ÖSTERGÖTLANDS LÄN</t>
        </is>
      </c>
      <c r="E8442" t="inlineStr">
        <is>
          <t>LINKÖPING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625-2024</t>
        </is>
      </c>
      <c r="B8443" s="1" t="n">
        <v>45299</v>
      </c>
      <c r="C8443" s="1" t="n">
        <v>45710</v>
      </c>
      <c r="D8443" t="inlineStr">
        <is>
          <t>ÖSTERGÖTLANDS LÄN</t>
        </is>
      </c>
      <c r="E8443" t="inlineStr">
        <is>
          <t>LINKÖPING</t>
        </is>
      </c>
      <c r="G8443" t="n">
        <v>0.5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633-2024</t>
        </is>
      </c>
      <c r="B8444" s="1" t="n">
        <v>45299</v>
      </c>
      <c r="C8444" s="1" t="n">
        <v>45710</v>
      </c>
      <c r="D8444" t="inlineStr">
        <is>
          <t>ÖSTERGÖTLANDS LÄN</t>
        </is>
      </c>
      <c r="E8444" t="inlineStr">
        <is>
          <t>LINKÖPING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637-2024</t>
        </is>
      </c>
      <c r="B8445" s="1" t="n">
        <v>45299</v>
      </c>
      <c r="C8445" s="1" t="n">
        <v>45710</v>
      </c>
      <c r="D8445" t="inlineStr">
        <is>
          <t>ÖSTERGÖTLANDS LÄN</t>
        </is>
      </c>
      <c r="E8445" t="inlineStr">
        <is>
          <t>KINDA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632-2024</t>
        </is>
      </c>
      <c r="B8446" s="1" t="n">
        <v>45299</v>
      </c>
      <c r="C8446" s="1" t="n">
        <v>45710</v>
      </c>
      <c r="D8446" t="inlineStr">
        <is>
          <t>ÖSTERGÖTLANDS LÄN</t>
        </is>
      </c>
      <c r="E8446" t="inlineStr">
        <is>
          <t>LINKÖPING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670-2024</t>
        </is>
      </c>
      <c r="B8447" s="1" t="n">
        <v>45300</v>
      </c>
      <c r="C8447" s="1" t="n">
        <v>45710</v>
      </c>
      <c r="D8447" t="inlineStr">
        <is>
          <t>ÖSTERGÖTLANDS LÄN</t>
        </is>
      </c>
      <c r="E8447" t="inlineStr">
        <is>
          <t>LINKÖPING</t>
        </is>
      </c>
      <c r="F8447" t="inlineStr">
        <is>
          <t>Sveaskog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672-2024</t>
        </is>
      </c>
      <c r="B8448" s="1" t="n">
        <v>45300</v>
      </c>
      <c r="C8448" s="1" t="n">
        <v>45710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Sveaskog</t>
        </is>
      </c>
      <c r="G8448" t="n">
        <v>4.5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835-2024</t>
        </is>
      </c>
      <c r="B8449" s="1" t="n">
        <v>45300</v>
      </c>
      <c r="C8449" s="1" t="n">
        <v>45710</v>
      </c>
      <c r="D8449" t="inlineStr">
        <is>
          <t>ÖSTERGÖTLANDS LÄN</t>
        </is>
      </c>
      <c r="E8449" t="inlineStr">
        <is>
          <t>FINSPÅNG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836-2024</t>
        </is>
      </c>
      <c r="B8450" s="1" t="n">
        <v>45300</v>
      </c>
      <c r="C8450" s="1" t="n">
        <v>45710</v>
      </c>
      <c r="D8450" t="inlineStr">
        <is>
          <t>ÖSTERGÖTLANDS LÄN</t>
        </is>
      </c>
      <c r="E8450" t="inlineStr">
        <is>
          <t>FINSPÅNG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674-2024</t>
        </is>
      </c>
      <c r="B8451" s="1" t="n">
        <v>45300</v>
      </c>
      <c r="C8451" s="1" t="n">
        <v>45710</v>
      </c>
      <c r="D8451" t="inlineStr">
        <is>
          <t>ÖSTERGÖTLANDS LÄN</t>
        </is>
      </c>
      <c r="E8451" t="inlineStr">
        <is>
          <t>LINKÖPING</t>
        </is>
      </c>
      <c r="F8451" t="inlineStr">
        <is>
          <t>Sveaskog</t>
        </is>
      </c>
      <c r="G8451" t="n">
        <v>2.9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931-2024</t>
        </is>
      </c>
      <c r="B8452" s="1" t="n">
        <v>45301</v>
      </c>
      <c r="C8452" s="1" t="n">
        <v>45710</v>
      </c>
      <c r="D8452" t="inlineStr">
        <is>
          <t>ÖSTERGÖTLANDS LÄN</t>
        </is>
      </c>
      <c r="E8452" t="inlineStr">
        <is>
          <t>BOXHOLM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935-2024</t>
        </is>
      </c>
      <c r="B8453" s="1" t="n">
        <v>45301</v>
      </c>
      <c r="C8453" s="1" t="n">
        <v>45710</v>
      </c>
      <c r="D8453" t="inlineStr">
        <is>
          <t>ÖSTERGÖTLANDS LÄN</t>
        </is>
      </c>
      <c r="E8453" t="inlineStr">
        <is>
          <t>BOXHOLM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871-2024</t>
        </is>
      </c>
      <c r="B8454" s="1" t="n">
        <v>45301</v>
      </c>
      <c r="C8454" s="1" t="n">
        <v>45710</v>
      </c>
      <c r="D8454" t="inlineStr">
        <is>
          <t>ÖSTERGÖTLANDS LÄN</t>
        </is>
      </c>
      <c r="E8454" t="inlineStr">
        <is>
          <t>KINDA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915-2024</t>
        </is>
      </c>
      <c r="B8455" s="1" t="n">
        <v>45301</v>
      </c>
      <c r="C8455" s="1" t="n">
        <v>45710</v>
      </c>
      <c r="D8455" t="inlineStr">
        <is>
          <t>ÖSTERGÖTLANDS LÄN</t>
        </is>
      </c>
      <c r="E8455" t="inlineStr">
        <is>
          <t>KINDA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920-2024</t>
        </is>
      </c>
      <c r="B8456" s="1" t="n">
        <v>45301</v>
      </c>
      <c r="C8456" s="1" t="n">
        <v>45710</v>
      </c>
      <c r="D8456" t="inlineStr">
        <is>
          <t>ÖSTERGÖTLANDS LÄN</t>
        </is>
      </c>
      <c r="E8456" t="inlineStr">
        <is>
          <t>ÅTVIDABERG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940-2024</t>
        </is>
      </c>
      <c r="B8457" s="1" t="n">
        <v>45301</v>
      </c>
      <c r="C8457" s="1" t="n">
        <v>45710</v>
      </c>
      <c r="D8457" t="inlineStr">
        <is>
          <t>ÖSTERGÖTLANDS LÄN</t>
        </is>
      </c>
      <c r="E8457" t="inlineStr">
        <is>
          <t>YDRE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956-2024</t>
        </is>
      </c>
      <c r="B8458" s="1" t="n">
        <v>45301</v>
      </c>
      <c r="C8458" s="1" t="n">
        <v>45710</v>
      </c>
      <c r="D8458" t="inlineStr">
        <is>
          <t>ÖSTERGÖTLANDS LÄN</t>
        </is>
      </c>
      <c r="E8458" t="inlineStr">
        <is>
          <t>BOXHOLM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960-2024</t>
        </is>
      </c>
      <c r="B8459" s="1" t="n">
        <v>45301</v>
      </c>
      <c r="C8459" s="1" t="n">
        <v>45710</v>
      </c>
      <c r="D8459" t="inlineStr">
        <is>
          <t>ÖSTERGÖTLANDS LÄN</t>
        </is>
      </c>
      <c r="E8459" t="inlineStr">
        <is>
          <t>BOXHOLM</t>
        </is>
      </c>
      <c r="G8459" t="n">
        <v>2.2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975-2024</t>
        </is>
      </c>
      <c r="B8460" s="1" t="n">
        <v>45301</v>
      </c>
      <c r="C8460" s="1" t="n">
        <v>45710</v>
      </c>
      <c r="D8460" t="inlineStr">
        <is>
          <t>ÖSTERGÖTLANDS LÄN</t>
        </is>
      </c>
      <c r="E8460" t="inlineStr">
        <is>
          <t>MOTALA</t>
        </is>
      </c>
      <c r="G8460" t="n">
        <v>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929-2024</t>
        </is>
      </c>
      <c r="B8461" s="1" t="n">
        <v>45301</v>
      </c>
      <c r="C8461" s="1" t="n">
        <v>45710</v>
      </c>
      <c r="D8461" t="inlineStr">
        <is>
          <t>ÖSTERGÖTLANDS LÄN</t>
        </is>
      </c>
      <c r="E8461" t="inlineStr">
        <is>
          <t>BOXHOLM</t>
        </is>
      </c>
      <c r="G8461" t="n">
        <v>5.7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933-2024</t>
        </is>
      </c>
      <c r="B8462" s="1" t="n">
        <v>45301</v>
      </c>
      <c r="C8462" s="1" t="n">
        <v>45710</v>
      </c>
      <c r="D8462" t="inlineStr">
        <is>
          <t>ÖSTERGÖTLANDS LÄN</t>
        </is>
      </c>
      <c r="E8462" t="inlineStr">
        <is>
          <t>BOXHOLM</t>
        </is>
      </c>
      <c r="G8462" t="n">
        <v>1.9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937-2024</t>
        </is>
      </c>
      <c r="B8463" s="1" t="n">
        <v>45301</v>
      </c>
      <c r="C8463" s="1" t="n">
        <v>45710</v>
      </c>
      <c r="D8463" t="inlineStr">
        <is>
          <t>ÖSTERGÖTLANDS LÄN</t>
        </is>
      </c>
      <c r="E8463" t="inlineStr">
        <is>
          <t>KINDA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957-2024</t>
        </is>
      </c>
      <c r="B8464" s="1" t="n">
        <v>45301</v>
      </c>
      <c r="C8464" s="1" t="n">
        <v>45710</v>
      </c>
      <c r="D8464" t="inlineStr">
        <is>
          <t>ÖSTERGÖTLANDS LÄN</t>
        </is>
      </c>
      <c r="E8464" t="inlineStr">
        <is>
          <t>BOXHOLM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961-2024</t>
        </is>
      </c>
      <c r="B8465" s="1" t="n">
        <v>45301</v>
      </c>
      <c r="C8465" s="1" t="n">
        <v>45710</v>
      </c>
      <c r="D8465" t="inlineStr">
        <is>
          <t>ÖSTERGÖTLANDS LÄN</t>
        </is>
      </c>
      <c r="E8465" t="inlineStr">
        <is>
          <t>MJÖLBY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965-2024</t>
        </is>
      </c>
      <c r="B8466" s="1" t="n">
        <v>45301</v>
      </c>
      <c r="C8466" s="1" t="n">
        <v>45710</v>
      </c>
      <c r="D8466" t="inlineStr">
        <is>
          <t>ÖSTERGÖTLANDS LÄN</t>
        </is>
      </c>
      <c r="E8466" t="inlineStr">
        <is>
          <t>BOXHOLM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981-2024</t>
        </is>
      </c>
      <c r="B8467" s="1" t="n">
        <v>45301</v>
      </c>
      <c r="C8467" s="1" t="n">
        <v>45710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993-2024</t>
        </is>
      </c>
      <c r="B8468" s="1" t="n">
        <v>45301</v>
      </c>
      <c r="C8468" s="1" t="n">
        <v>45710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1029-2024</t>
        </is>
      </c>
      <c r="B8469" s="1" t="n">
        <v>45301</v>
      </c>
      <c r="C8469" s="1" t="n">
        <v>45710</v>
      </c>
      <c r="D8469" t="inlineStr">
        <is>
          <t>ÖSTERGÖTLANDS LÄN</t>
        </is>
      </c>
      <c r="E8469" t="inlineStr">
        <is>
          <t>YDRE</t>
        </is>
      </c>
      <c r="G8469" t="n">
        <v>2.4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912-2024</t>
        </is>
      </c>
      <c r="B8470" s="1" t="n">
        <v>45301</v>
      </c>
      <c r="C8470" s="1" t="n">
        <v>45710</v>
      </c>
      <c r="D8470" t="inlineStr">
        <is>
          <t>ÖSTERGÖTLANDS LÄN</t>
        </is>
      </c>
      <c r="E8470" t="inlineStr">
        <is>
          <t>KINDA</t>
        </is>
      </c>
      <c r="G8470" t="n">
        <v>3.9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926-2024</t>
        </is>
      </c>
      <c r="B8471" s="1" t="n">
        <v>45301</v>
      </c>
      <c r="C8471" s="1" t="n">
        <v>45710</v>
      </c>
      <c r="D8471" t="inlineStr">
        <is>
          <t>ÖSTERGÖTLANDS LÄN</t>
        </is>
      </c>
      <c r="E8471" t="inlineStr">
        <is>
          <t>ÅTVIDABERG</t>
        </is>
      </c>
      <c r="G8471" t="n">
        <v>0.4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954-2024</t>
        </is>
      </c>
      <c r="B8472" s="1" t="n">
        <v>45301</v>
      </c>
      <c r="C8472" s="1" t="n">
        <v>45710</v>
      </c>
      <c r="D8472" t="inlineStr">
        <is>
          <t>ÖSTERGÖTLANDS LÄN</t>
        </is>
      </c>
      <c r="E8472" t="inlineStr">
        <is>
          <t>BOXHOLM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966-2024</t>
        </is>
      </c>
      <c r="B8473" s="1" t="n">
        <v>45301</v>
      </c>
      <c r="C8473" s="1" t="n">
        <v>45710</v>
      </c>
      <c r="D8473" t="inlineStr">
        <is>
          <t>ÖSTERGÖTLANDS LÄN</t>
        </is>
      </c>
      <c r="E8473" t="inlineStr">
        <is>
          <t>BOXHOLM</t>
        </is>
      </c>
      <c r="G8473" t="n">
        <v>2.8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1020-2024</t>
        </is>
      </c>
      <c r="B8474" s="1" t="n">
        <v>45301</v>
      </c>
      <c r="C8474" s="1" t="n">
        <v>45710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1172-2024</t>
        </is>
      </c>
      <c r="B8475" s="1" t="n">
        <v>45302</v>
      </c>
      <c r="C8475" s="1" t="n">
        <v>45710</v>
      </c>
      <c r="D8475" t="inlineStr">
        <is>
          <t>ÖSTERGÖTLANDS LÄN</t>
        </is>
      </c>
      <c r="E8475" t="inlineStr">
        <is>
          <t>MOTALA</t>
        </is>
      </c>
      <c r="F8475" t="inlineStr">
        <is>
          <t>Övriga statliga verk och myndigheter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1222-2024</t>
        </is>
      </c>
      <c r="B8476" s="1" t="n">
        <v>45302</v>
      </c>
      <c r="C8476" s="1" t="n">
        <v>45710</v>
      </c>
      <c r="D8476" t="inlineStr">
        <is>
          <t>ÖSTERGÖTLANDS LÄN</t>
        </is>
      </c>
      <c r="E8476" t="inlineStr">
        <is>
          <t>YDRE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1263-2024</t>
        </is>
      </c>
      <c r="B8477" s="1" t="n">
        <v>45302</v>
      </c>
      <c r="C8477" s="1" t="n">
        <v>45710</v>
      </c>
      <c r="D8477" t="inlineStr">
        <is>
          <t>ÖSTERGÖTLANDS LÄN</t>
        </is>
      </c>
      <c r="E8477" t="inlineStr">
        <is>
          <t>LINKÖPING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1137-2024</t>
        </is>
      </c>
      <c r="B8478" s="1" t="n">
        <v>45302</v>
      </c>
      <c r="C8478" s="1" t="n">
        <v>45710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1153-2024</t>
        </is>
      </c>
      <c r="B8479" s="1" t="n">
        <v>45302</v>
      </c>
      <c r="C8479" s="1" t="n">
        <v>45710</v>
      </c>
      <c r="D8479" t="inlineStr">
        <is>
          <t>ÖSTERGÖTLANDS LÄN</t>
        </is>
      </c>
      <c r="E8479" t="inlineStr">
        <is>
          <t>KINDA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1157-2024</t>
        </is>
      </c>
      <c r="B8480" s="1" t="n">
        <v>45302</v>
      </c>
      <c r="C8480" s="1" t="n">
        <v>45710</v>
      </c>
      <c r="D8480" t="inlineStr">
        <is>
          <t>ÖSTERGÖTLANDS LÄN</t>
        </is>
      </c>
      <c r="E8480" t="inlineStr">
        <is>
          <t>KINDA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1131-2024</t>
        </is>
      </c>
      <c r="B8481" s="1" t="n">
        <v>45302</v>
      </c>
      <c r="C8481" s="1" t="n">
        <v>45710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1178-2024</t>
        </is>
      </c>
      <c r="B8482" s="1" t="n">
        <v>45302</v>
      </c>
      <c r="C8482" s="1" t="n">
        <v>45710</v>
      </c>
      <c r="D8482" t="inlineStr">
        <is>
          <t>ÖSTERGÖTLANDS LÄN</t>
        </is>
      </c>
      <c r="E8482" t="inlineStr">
        <is>
          <t>MOTALA</t>
        </is>
      </c>
      <c r="F8482" t="inlineStr">
        <is>
          <t>Övriga statliga verk och myndigheter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1195-2024</t>
        </is>
      </c>
      <c r="B8483" s="1" t="n">
        <v>45302</v>
      </c>
      <c r="C8483" s="1" t="n">
        <v>45710</v>
      </c>
      <c r="D8483" t="inlineStr">
        <is>
          <t>ÖSTERGÖTLANDS LÄN</t>
        </is>
      </c>
      <c r="E8483" t="inlineStr">
        <is>
          <t>BOXHOLM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1224-2024</t>
        </is>
      </c>
      <c r="B8484" s="1" t="n">
        <v>45302</v>
      </c>
      <c r="C8484" s="1" t="n">
        <v>45710</v>
      </c>
      <c r="D8484" t="inlineStr">
        <is>
          <t>ÖSTERGÖTLANDS LÄN</t>
        </is>
      </c>
      <c r="E8484" t="inlineStr">
        <is>
          <t>YDRE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1219-2024</t>
        </is>
      </c>
      <c r="B8485" s="1" t="n">
        <v>45302</v>
      </c>
      <c r="C8485" s="1" t="n">
        <v>45710</v>
      </c>
      <c r="D8485" t="inlineStr">
        <is>
          <t>ÖSTERGÖTLANDS LÄN</t>
        </is>
      </c>
      <c r="E8485" t="inlineStr">
        <is>
          <t>YDRE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1223-2024</t>
        </is>
      </c>
      <c r="B8486" s="1" t="n">
        <v>45302</v>
      </c>
      <c r="C8486" s="1" t="n">
        <v>45710</v>
      </c>
      <c r="D8486" t="inlineStr">
        <is>
          <t>ÖSTERGÖTLANDS LÄN</t>
        </is>
      </c>
      <c r="E8486" t="inlineStr">
        <is>
          <t>YDRE</t>
        </is>
      </c>
      <c r="G8486" t="n">
        <v>3.6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1402-2024</t>
        </is>
      </c>
      <c r="B8487" s="1" t="n">
        <v>45303</v>
      </c>
      <c r="C8487" s="1" t="n">
        <v>45710</v>
      </c>
      <c r="D8487" t="inlineStr">
        <is>
          <t>ÖSTERGÖTLANDS LÄN</t>
        </is>
      </c>
      <c r="E8487" t="inlineStr">
        <is>
          <t>NORRKÖPING</t>
        </is>
      </c>
      <c r="F8487" t="inlineStr">
        <is>
          <t>Holmen skog AB</t>
        </is>
      </c>
      <c r="G8487" t="n">
        <v>3.9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1369-2024</t>
        </is>
      </c>
      <c r="B8488" s="1" t="n">
        <v>45303</v>
      </c>
      <c r="C8488" s="1" t="n">
        <v>45710</v>
      </c>
      <c r="D8488" t="inlineStr">
        <is>
          <t>ÖSTERGÖTLANDS LÄN</t>
        </is>
      </c>
      <c r="E8488" t="inlineStr">
        <is>
          <t>KINDA</t>
        </is>
      </c>
      <c r="G8488" t="n">
        <v>9.4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1391-2024</t>
        </is>
      </c>
      <c r="B8489" s="1" t="n">
        <v>45303</v>
      </c>
      <c r="C8489" s="1" t="n">
        <v>45710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1512-2024</t>
        </is>
      </c>
      <c r="B8490" s="1" t="n">
        <v>45306</v>
      </c>
      <c r="C8490" s="1" t="n">
        <v>45710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1513-2024</t>
        </is>
      </c>
      <c r="B8491" s="1" t="n">
        <v>45306</v>
      </c>
      <c r="C8491" s="1" t="n">
        <v>45710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1545-2024</t>
        </is>
      </c>
      <c r="B8492" s="1" t="n">
        <v>45306</v>
      </c>
      <c r="C8492" s="1" t="n">
        <v>45710</v>
      </c>
      <c r="D8492" t="inlineStr">
        <is>
          <t>ÖSTERGÖTLANDS LÄN</t>
        </is>
      </c>
      <c r="E8492" t="inlineStr">
        <is>
          <t>YDRE</t>
        </is>
      </c>
      <c r="G8492" t="n">
        <v>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1597-2024</t>
        </is>
      </c>
      <c r="B8493" s="1" t="n">
        <v>45306</v>
      </c>
      <c r="C8493" s="1" t="n">
        <v>45710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Sveaskog</t>
        </is>
      </c>
      <c r="G8493" t="n">
        <v>4.7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1613-2024</t>
        </is>
      </c>
      <c r="B8494" s="1" t="n">
        <v>45306</v>
      </c>
      <c r="C8494" s="1" t="n">
        <v>45710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1657-2024</t>
        </is>
      </c>
      <c r="B8495" s="1" t="n">
        <v>45306</v>
      </c>
      <c r="C8495" s="1" t="n">
        <v>45710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1760-2024</t>
        </is>
      </c>
      <c r="B8496" s="1" t="n">
        <v>45307</v>
      </c>
      <c r="C8496" s="1" t="n">
        <v>45710</v>
      </c>
      <c r="D8496" t="inlineStr">
        <is>
          <t>ÖSTERGÖTLANDS LÄN</t>
        </is>
      </c>
      <c r="E8496" t="inlineStr">
        <is>
          <t>KINDA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1698-2024</t>
        </is>
      </c>
      <c r="B8497" s="1" t="n">
        <v>45307</v>
      </c>
      <c r="C8497" s="1" t="n">
        <v>45710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5.6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1723-2024</t>
        </is>
      </c>
      <c r="B8498" s="1" t="n">
        <v>45307</v>
      </c>
      <c r="C8498" s="1" t="n">
        <v>45710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1739-2024</t>
        </is>
      </c>
      <c r="B8499" s="1" t="n">
        <v>45307</v>
      </c>
      <c r="C8499" s="1" t="n">
        <v>45710</v>
      </c>
      <c r="D8499" t="inlineStr">
        <is>
          <t>ÖSTERGÖTLANDS LÄN</t>
        </is>
      </c>
      <c r="E8499" t="inlineStr">
        <is>
          <t>KINDA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1773-2024</t>
        </is>
      </c>
      <c r="B8500" s="1" t="n">
        <v>45307</v>
      </c>
      <c r="C8500" s="1" t="n">
        <v>45710</v>
      </c>
      <c r="D8500" t="inlineStr">
        <is>
          <t>ÖSTERGÖTLANDS LÄN</t>
        </is>
      </c>
      <c r="E8500" t="inlineStr">
        <is>
          <t>VALDEMARSVIK</t>
        </is>
      </c>
      <c r="G8500" t="n">
        <v>8.199999999999999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1894-2024</t>
        </is>
      </c>
      <c r="B8501" s="1" t="n">
        <v>45308</v>
      </c>
      <c r="C8501" s="1" t="n">
        <v>45710</v>
      </c>
      <c r="D8501" t="inlineStr">
        <is>
          <t>ÖSTERGÖTLANDS LÄN</t>
        </is>
      </c>
      <c r="E8501" t="inlineStr">
        <is>
          <t>KINDA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1924-2024</t>
        </is>
      </c>
      <c r="B8502" s="1" t="n">
        <v>45308</v>
      </c>
      <c r="C8502" s="1" t="n">
        <v>45710</v>
      </c>
      <c r="D8502" t="inlineStr">
        <is>
          <t>ÖSTERGÖTLANDS LÄN</t>
        </is>
      </c>
      <c r="E8502" t="inlineStr">
        <is>
          <t>LINKÖPING</t>
        </is>
      </c>
      <c r="F8502" t="inlineStr">
        <is>
          <t>Övriga Aktiebolag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1968-2024</t>
        </is>
      </c>
      <c r="B8503" s="1" t="n">
        <v>45308</v>
      </c>
      <c r="C8503" s="1" t="n">
        <v>45710</v>
      </c>
      <c r="D8503" t="inlineStr">
        <is>
          <t>ÖSTERGÖTLANDS LÄN</t>
        </is>
      </c>
      <c r="E8503" t="inlineStr">
        <is>
          <t>VALDEMARSVIK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1972-2024</t>
        </is>
      </c>
      <c r="B8504" s="1" t="n">
        <v>45308</v>
      </c>
      <c r="C8504" s="1" t="n">
        <v>45710</v>
      </c>
      <c r="D8504" t="inlineStr">
        <is>
          <t>ÖSTERGÖTLANDS LÄN</t>
        </is>
      </c>
      <c r="E8504" t="inlineStr">
        <is>
          <t>KINDA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1976-2024</t>
        </is>
      </c>
      <c r="B8505" s="1" t="n">
        <v>45308</v>
      </c>
      <c r="C8505" s="1" t="n">
        <v>45710</v>
      </c>
      <c r="D8505" t="inlineStr">
        <is>
          <t>ÖSTERGÖTLANDS LÄN</t>
        </is>
      </c>
      <c r="E8505" t="inlineStr">
        <is>
          <t>KINDA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1896-2024</t>
        </is>
      </c>
      <c r="B8506" s="1" t="n">
        <v>45308</v>
      </c>
      <c r="C8506" s="1" t="n">
        <v>45710</v>
      </c>
      <c r="D8506" t="inlineStr">
        <is>
          <t>ÖSTERGÖTLANDS LÄN</t>
        </is>
      </c>
      <c r="E8506" t="inlineStr">
        <is>
          <t>KINDA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1974-2024</t>
        </is>
      </c>
      <c r="B8507" s="1" t="n">
        <v>45308</v>
      </c>
      <c r="C8507" s="1" t="n">
        <v>45710</v>
      </c>
      <c r="D8507" t="inlineStr">
        <is>
          <t>ÖSTERGÖTLANDS LÄN</t>
        </is>
      </c>
      <c r="E8507" t="inlineStr">
        <is>
          <t>KINDA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2026-2024</t>
        </is>
      </c>
      <c r="B8508" s="1" t="n">
        <v>45308</v>
      </c>
      <c r="C8508" s="1" t="n">
        <v>45710</v>
      </c>
      <c r="D8508" t="inlineStr">
        <is>
          <t>ÖSTERGÖTLANDS LÄN</t>
        </is>
      </c>
      <c r="E8508" t="inlineStr">
        <is>
          <t>ÅTVIDABERG</t>
        </is>
      </c>
      <c r="G8508" t="n">
        <v>3.1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2030-2024</t>
        </is>
      </c>
      <c r="B8509" s="1" t="n">
        <v>45308</v>
      </c>
      <c r="C8509" s="1" t="n">
        <v>45710</v>
      </c>
      <c r="D8509" t="inlineStr">
        <is>
          <t>ÖSTERGÖTLANDS LÄN</t>
        </is>
      </c>
      <c r="E8509" t="inlineStr">
        <is>
          <t>ÅTVIDABERG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1999-2024</t>
        </is>
      </c>
      <c r="B8510" s="1" t="n">
        <v>45308</v>
      </c>
      <c r="C8510" s="1" t="n">
        <v>45710</v>
      </c>
      <c r="D8510" t="inlineStr">
        <is>
          <t>ÖSTERGÖTLANDS LÄN</t>
        </is>
      </c>
      <c r="E8510" t="inlineStr">
        <is>
          <t>MOTALA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2019-2024</t>
        </is>
      </c>
      <c r="B8511" s="1" t="n">
        <v>45308</v>
      </c>
      <c r="C8511" s="1" t="n">
        <v>45710</v>
      </c>
      <c r="D8511" t="inlineStr">
        <is>
          <t>ÖSTERGÖTLANDS LÄN</t>
        </is>
      </c>
      <c r="E8511" t="inlineStr">
        <is>
          <t>ÅTVIDABERG</t>
        </is>
      </c>
      <c r="G8511" t="n">
        <v>4.1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2031-2024</t>
        </is>
      </c>
      <c r="B8512" s="1" t="n">
        <v>45308</v>
      </c>
      <c r="C8512" s="1" t="n">
        <v>45710</v>
      </c>
      <c r="D8512" t="inlineStr">
        <is>
          <t>ÖSTERGÖTLANDS LÄN</t>
        </is>
      </c>
      <c r="E8512" t="inlineStr">
        <is>
          <t>ÅTVIDABERG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2047-2024</t>
        </is>
      </c>
      <c r="B8513" s="1" t="n">
        <v>45308</v>
      </c>
      <c r="C8513" s="1" t="n">
        <v>45710</v>
      </c>
      <c r="D8513" t="inlineStr">
        <is>
          <t>ÖSTERGÖTLANDS LÄN</t>
        </is>
      </c>
      <c r="E8513" t="inlineStr">
        <is>
          <t>FINSPÅNG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2021-2024</t>
        </is>
      </c>
      <c r="B8514" s="1" t="n">
        <v>45308</v>
      </c>
      <c r="C8514" s="1" t="n">
        <v>45710</v>
      </c>
      <c r="D8514" t="inlineStr">
        <is>
          <t>ÖSTERGÖTLANDS LÄN</t>
        </is>
      </c>
      <c r="E8514" t="inlineStr">
        <is>
          <t>ÅTVIDABERG</t>
        </is>
      </c>
      <c r="G8514" t="n">
        <v>6.5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2029-2024</t>
        </is>
      </c>
      <c r="B8515" s="1" t="n">
        <v>45308</v>
      </c>
      <c r="C8515" s="1" t="n">
        <v>45710</v>
      </c>
      <c r="D8515" t="inlineStr">
        <is>
          <t>ÖSTERGÖTLANDS LÄN</t>
        </is>
      </c>
      <c r="E8515" t="inlineStr">
        <is>
          <t>ÅTVIDABERG</t>
        </is>
      </c>
      <c r="G8515" t="n">
        <v>3.5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2028-2024</t>
        </is>
      </c>
      <c r="B8516" s="1" t="n">
        <v>45308</v>
      </c>
      <c r="C8516" s="1" t="n">
        <v>45710</v>
      </c>
      <c r="D8516" t="inlineStr">
        <is>
          <t>ÖSTERGÖTLANDS LÄN</t>
        </is>
      </c>
      <c r="E8516" t="inlineStr">
        <is>
          <t>ÅTVIDABERG</t>
        </is>
      </c>
      <c r="G8516" t="n">
        <v>3.6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2032-2024</t>
        </is>
      </c>
      <c r="B8517" s="1" t="n">
        <v>45308</v>
      </c>
      <c r="C8517" s="1" t="n">
        <v>45710</v>
      </c>
      <c r="D8517" t="inlineStr">
        <is>
          <t>ÖSTERGÖTLANDS LÄN</t>
        </is>
      </c>
      <c r="E8517" t="inlineStr">
        <is>
          <t>ÅTVIDABERG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2048-2024</t>
        </is>
      </c>
      <c r="B8518" s="1" t="n">
        <v>45308</v>
      </c>
      <c r="C8518" s="1" t="n">
        <v>45710</v>
      </c>
      <c r="D8518" t="inlineStr">
        <is>
          <t>ÖSTERGÖTLANDS LÄN</t>
        </is>
      </c>
      <c r="E8518" t="inlineStr">
        <is>
          <t>FINSPÅNG</t>
        </is>
      </c>
      <c r="G8518" t="n">
        <v>3.3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2174-2024</t>
        </is>
      </c>
      <c r="B8519" s="1" t="n">
        <v>45309</v>
      </c>
      <c r="C8519" s="1" t="n">
        <v>45710</v>
      </c>
      <c r="D8519" t="inlineStr">
        <is>
          <t>ÖSTERGÖTLANDS LÄN</t>
        </is>
      </c>
      <c r="E8519" t="inlineStr">
        <is>
          <t>FINSPÅNG</t>
        </is>
      </c>
      <c r="G8519" t="n">
        <v>7.4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2151-2024</t>
        </is>
      </c>
      <c r="B8520" s="1" t="n">
        <v>45309</v>
      </c>
      <c r="C8520" s="1" t="n">
        <v>45710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2145-2024</t>
        </is>
      </c>
      <c r="B8521" s="1" t="n">
        <v>45309</v>
      </c>
      <c r="C8521" s="1" t="n">
        <v>45710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2076-2024</t>
        </is>
      </c>
      <c r="B8522" s="1" t="n">
        <v>45309</v>
      </c>
      <c r="C8522" s="1" t="n">
        <v>45710</v>
      </c>
      <c r="D8522" t="inlineStr">
        <is>
          <t>ÖSTERGÖTLANDS LÄN</t>
        </is>
      </c>
      <c r="E8522" t="inlineStr">
        <is>
          <t>ÖDESHÖG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2080-2024</t>
        </is>
      </c>
      <c r="B8523" s="1" t="n">
        <v>45309</v>
      </c>
      <c r="C8523" s="1" t="n">
        <v>45710</v>
      </c>
      <c r="D8523" t="inlineStr">
        <is>
          <t>ÖSTERGÖTLANDS LÄN</t>
        </is>
      </c>
      <c r="E8523" t="inlineStr">
        <is>
          <t>FINSPÅNG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2078-2024</t>
        </is>
      </c>
      <c r="B8524" s="1" t="n">
        <v>45309</v>
      </c>
      <c r="C8524" s="1" t="n">
        <v>45710</v>
      </c>
      <c r="D8524" t="inlineStr">
        <is>
          <t>ÖSTERGÖTLANDS LÄN</t>
        </is>
      </c>
      <c r="E8524" t="inlineStr">
        <is>
          <t>LINKÖPING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2152-2024</t>
        </is>
      </c>
      <c r="B8525" s="1" t="n">
        <v>45309</v>
      </c>
      <c r="C8525" s="1" t="n">
        <v>45710</v>
      </c>
      <c r="D8525" t="inlineStr">
        <is>
          <t>ÖSTERGÖTLANDS LÄN</t>
        </is>
      </c>
      <c r="E8525" t="inlineStr">
        <is>
          <t>FINSPÅNG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2164-2024</t>
        </is>
      </c>
      <c r="B8526" s="1" t="n">
        <v>45309</v>
      </c>
      <c r="C8526" s="1" t="n">
        <v>45710</v>
      </c>
      <c r="D8526" t="inlineStr">
        <is>
          <t>ÖSTERGÖTLANDS LÄN</t>
        </is>
      </c>
      <c r="E8526" t="inlineStr">
        <is>
          <t>FINSPÅNG</t>
        </is>
      </c>
      <c r="G8526" t="n">
        <v>15.1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2085-2024</t>
        </is>
      </c>
      <c r="B8527" s="1" t="n">
        <v>45309</v>
      </c>
      <c r="C8527" s="1" t="n">
        <v>45710</v>
      </c>
      <c r="D8527" t="inlineStr">
        <is>
          <t>ÖSTERGÖTLANDS LÄN</t>
        </is>
      </c>
      <c r="E8527" t="inlineStr">
        <is>
          <t>LINKÖPING</t>
        </is>
      </c>
      <c r="G8527" t="n">
        <v>4.5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2283-2024</t>
        </is>
      </c>
      <c r="B8528" s="1" t="n">
        <v>45310</v>
      </c>
      <c r="C8528" s="1" t="n">
        <v>45710</v>
      </c>
      <c r="D8528" t="inlineStr">
        <is>
          <t>ÖSTERGÖTLANDS LÄN</t>
        </is>
      </c>
      <c r="E8528" t="inlineStr">
        <is>
          <t>NORRKÖPING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2291-2024</t>
        </is>
      </c>
      <c r="B8529" s="1" t="n">
        <v>45310</v>
      </c>
      <c r="C8529" s="1" t="n">
        <v>45710</v>
      </c>
      <c r="D8529" t="inlineStr">
        <is>
          <t>ÖSTERGÖTLANDS LÄN</t>
        </is>
      </c>
      <c r="E8529" t="inlineStr">
        <is>
          <t>NORRKÖPING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2295-2024</t>
        </is>
      </c>
      <c r="B8530" s="1" t="n">
        <v>45310</v>
      </c>
      <c r="C8530" s="1" t="n">
        <v>45710</v>
      </c>
      <c r="D8530" t="inlineStr">
        <is>
          <t>ÖSTERGÖTLANDS LÄN</t>
        </is>
      </c>
      <c r="E8530" t="inlineStr">
        <is>
          <t>LINKÖPING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2307-2024</t>
        </is>
      </c>
      <c r="B8531" s="1" t="n">
        <v>45310</v>
      </c>
      <c r="C8531" s="1" t="n">
        <v>45710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2285-2024</t>
        </is>
      </c>
      <c r="B8532" s="1" t="n">
        <v>45310</v>
      </c>
      <c r="C8532" s="1" t="n">
        <v>45710</v>
      </c>
      <c r="D8532" t="inlineStr">
        <is>
          <t>ÖSTERGÖTLANDS LÄN</t>
        </is>
      </c>
      <c r="E8532" t="inlineStr">
        <is>
          <t>NORRKÖPING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2289-2024</t>
        </is>
      </c>
      <c r="B8533" s="1" t="n">
        <v>45310</v>
      </c>
      <c r="C8533" s="1" t="n">
        <v>45710</v>
      </c>
      <c r="D8533" t="inlineStr">
        <is>
          <t>ÖSTERGÖTLANDS LÄN</t>
        </is>
      </c>
      <c r="E8533" t="inlineStr">
        <is>
          <t>NORRKÖPING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2305-2024</t>
        </is>
      </c>
      <c r="B8534" s="1" t="n">
        <v>45310</v>
      </c>
      <c r="C8534" s="1" t="n">
        <v>45710</v>
      </c>
      <c r="D8534" t="inlineStr">
        <is>
          <t>ÖSTERGÖTLANDS LÄN</t>
        </is>
      </c>
      <c r="E8534" t="inlineStr">
        <is>
          <t>LINKÖPING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2288-2024</t>
        </is>
      </c>
      <c r="B8535" s="1" t="n">
        <v>45310</v>
      </c>
      <c r="C8535" s="1" t="n">
        <v>45710</v>
      </c>
      <c r="D8535" t="inlineStr">
        <is>
          <t>ÖSTERGÖTLANDS LÄN</t>
        </is>
      </c>
      <c r="E8535" t="inlineStr">
        <is>
          <t>NORRKÖPING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2278-2024</t>
        </is>
      </c>
      <c r="B8536" s="1" t="n">
        <v>45310</v>
      </c>
      <c r="C8536" s="1" t="n">
        <v>45710</v>
      </c>
      <c r="D8536" t="inlineStr">
        <is>
          <t>ÖSTERGÖTLANDS LÄN</t>
        </is>
      </c>
      <c r="E8536" t="inlineStr">
        <is>
          <t>KINDA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2314-2024</t>
        </is>
      </c>
      <c r="B8537" s="1" t="n">
        <v>45310</v>
      </c>
      <c r="C8537" s="1" t="n">
        <v>45710</v>
      </c>
      <c r="D8537" t="inlineStr">
        <is>
          <t>ÖSTERGÖTLANDS LÄN</t>
        </is>
      </c>
      <c r="E8537" t="inlineStr">
        <is>
          <t>LINKÖPING</t>
        </is>
      </c>
      <c r="G8537" t="n">
        <v>2.4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2336-2024</t>
        </is>
      </c>
      <c r="B8538" s="1" t="n">
        <v>45310</v>
      </c>
      <c r="C8538" s="1" t="n">
        <v>45710</v>
      </c>
      <c r="D8538" t="inlineStr">
        <is>
          <t>ÖSTERGÖTLANDS LÄN</t>
        </is>
      </c>
      <c r="E8538" t="inlineStr">
        <is>
          <t>VALDEMARSVIK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2347-2024</t>
        </is>
      </c>
      <c r="B8539" s="1" t="n">
        <v>45310</v>
      </c>
      <c r="C8539" s="1" t="n">
        <v>45710</v>
      </c>
      <c r="D8539" t="inlineStr">
        <is>
          <t>ÖSTERGÖTLANDS LÄN</t>
        </is>
      </c>
      <c r="E8539" t="inlineStr">
        <is>
          <t>YDRE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2352-2024</t>
        </is>
      </c>
      <c r="B8540" s="1" t="n">
        <v>45310</v>
      </c>
      <c r="C8540" s="1" t="n">
        <v>45710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2355-2024</t>
        </is>
      </c>
      <c r="B8541" s="1" t="n">
        <v>45310</v>
      </c>
      <c r="C8541" s="1" t="n">
        <v>45710</v>
      </c>
      <c r="D8541" t="inlineStr">
        <is>
          <t>ÖSTERGÖTLANDS LÄN</t>
        </is>
      </c>
      <c r="E8541" t="inlineStr">
        <is>
          <t>YDRE</t>
        </is>
      </c>
      <c r="G8541" t="n">
        <v>2.5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2320-2024</t>
        </is>
      </c>
      <c r="B8542" s="1" t="n">
        <v>45310</v>
      </c>
      <c r="C8542" s="1" t="n">
        <v>45710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2469-2024</t>
        </is>
      </c>
      <c r="B8543" s="1" t="n">
        <v>45313</v>
      </c>
      <c r="C8543" s="1" t="n">
        <v>45710</v>
      </c>
      <c r="D8543" t="inlineStr">
        <is>
          <t>ÖSTERGÖTLANDS LÄN</t>
        </is>
      </c>
      <c r="E8543" t="inlineStr">
        <is>
          <t>FINSPÅNG</t>
        </is>
      </c>
      <c r="F8543" t="inlineStr">
        <is>
          <t>Holmen skog AB</t>
        </is>
      </c>
      <c r="G8543" t="n">
        <v>4.5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2512-2024</t>
        </is>
      </c>
      <c r="B8544" s="1" t="n">
        <v>45313</v>
      </c>
      <c r="C8544" s="1" t="n">
        <v>45710</v>
      </c>
      <c r="D8544" t="inlineStr">
        <is>
          <t>ÖSTERGÖTLANDS LÄN</t>
        </is>
      </c>
      <c r="E8544" t="inlineStr">
        <is>
          <t>ÖDESHÖG</t>
        </is>
      </c>
      <c r="G8544" t="n">
        <v>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2535-2024</t>
        </is>
      </c>
      <c r="B8545" s="1" t="n">
        <v>45313</v>
      </c>
      <c r="C8545" s="1" t="n">
        <v>45710</v>
      </c>
      <c r="D8545" t="inlineStr">
        <is>
          <t>ÖSTERGÖTLANDS LÄN</t>
        </is>
      </c>
      <c r="E8545" t="inlineStr">
        <is>
          <t>LINKÖPING</t>
        </is>
      </c>
      <c r="G8545" t="n">
        <v>17.6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2540-2024</t>
        </is>
      </c>
      <c r="B8546" s="1" t="n">
        <v>45313</v>
      </c>
      <c r="C8546" s="1" t="n">
        <v>45710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Holmen skog AB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2638-2024</t>
        </is>
      </c>
      <c r="B8547" s="1" t="n">
        <v>45314</v>
      </c>
      <c r="C8547" s="1" t="n">
        <v>45710</v>
      </c>
      <c r="D8547" t="inlineStr">
        <is>
          <t>ÖSTERGÖTLANDS LÄN</t>
        </is>
      </c>
      <c r="E8547" t="inlineStr">
        <is>
          <t>KINDA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2731-2024</t>
        </is>
      </c>
      <c r="B8548" s="1" t="n">
        <v>45314</v>
      </c>
      <c r="C8548" s="1" t="n">
        <v>45710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Holmen skog AB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2738-2024</t>
        </is>
      </c>
      <c r="B8549" s="1" t="n">
        <v>45314</v>
      </c>
      <c r="C8549" s="1" t="n">
        <v>45710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2758-2024</t>
        </is>
      </c>
      <c r="B8550" s="1" t="n">
        <v>45314</v>
      </c>
      <c r="C8550" s="1" t="n">
        <v>45710</v>
      </c>
      <c r="D8550" t="inlineStr">
        <is>
          <t>ÖSTERGÖTLANDS LÄN</t>
        </is>
      </c>
      <c r="E8550" t="inlineStr">
        <is>
          <t>KINDA</t>
        </is>
      </c>
      <c r="G8550" t="n">
        <v>9.699999999999999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2744-2024</t>
        </is>
      </c>
      <c r="B8551" s="1" t="n">
        <v>45314</v>
      </c>
      <c r="C8551" s="1" t="n">
        <v>45710</v>
      </c>
      <c r="D8551" t="inlineStr">
        <is>
          <t>ÖSTERGÖTLANDS LÄN</t>
        </is>
      </c>
      <c r="E8551" t="inlineStr">
        <is>
          <t>FINSPÅNG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2752-2024</t>
        </is>
      </c>
      <c r="B8552" s="1" t="n">
        <v>45314</v>
      </c>
      <c r="C8552" s="1" t="n">
        <v>45710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Allmännings- och besparingsskogar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2747-2024</t>
        </is>
      </c>
      <c r="B8553" s="1" t="n">
        <v>45314</v>
      </c>
      <c r="C8553" s="1" t="n">
        <v>45710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Allmännings- och besparingsskogar</t>
        </is>
      </c>
      <c r="G8553" t="n">
        <v>6.2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2755-2024</t>
        </is>
      </c>
      <c r="B8554" s="1" t="n">
        <v>45314</v>
      </c>
      <c r="C8554" s="1" t="n">
        <v>45710</v>
      </c>
      <c r="D8554" t="inlineStr">
        <is>
          <t>ÖSTERGÖTLANDS LÄN</t>
        </is>
      </c>
      <c r="E8554" t="inlineStr">
        <is>
          <t>KINDA</t>
        </is>
      </c>
      <c r="G8554" t="n">
        <v>6.5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2759-2024</t>
        </is>
      </c>
      <c r="B8555" s="1" t="n">
        <v>45314</v>
      </c>
      <c r="C8555" s="1" t="n">
        <v>45710</v>
      </c>
      <c r="D8555" t="inlineStr">
        <is>
          <t>ÖSTERGÖTLANDS LÄN</t>
        </is>
      </c>
      <c r="E8555" t="inlineStr">
        <is>
          <t>KINDA</t>
        </is>
      </c>
      <c r="G8555" t="n">
        <v>4.4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2720-2024</t>
        </is>
      </c>
      <c r="B8556" s="1" t="n">
        <v>45314</v>
      </c>
      <c r="C8556" s="1" t="n">
        <v>45710</v>
      </c>
      <c r="D8556" t="inlineStr">
        <is>
          <t>ÖSTERGÖTLANDS LÄN</t>
        </is>
      </c>
      <c r="E8556" t="inlineStr">
        <is>
          <t>NORRKÖPING</t>
        </is>
      </c>
      <c r="G8556" t="n">
        <v>2.7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2737-2024</t>
        </is>
      </c>
      <c r="B8557" s="1" t="n">
        <v>45314</v>
      </c>
      <c r="C8557" s="1" t="n">
        <v>45710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Övriga Aktiebolag</t>
        </is>
      </c>
      <c r="G8557" t="n">
        <v>7.6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2741-2024</t>
        </is>
      </c>
      <c r="B8558" s="1" t="n">
        <v>45314</v>
      </c>
      <c r="C8558" s="1" t="n">
        <v>45710</v>
      </c>
      <c r="D8558" t="inlineStr">
        <is>
          <t>ÖSTERGÖTLANDS LÄN</t>
        </is>
      </c>
      <c r="E8558" t="inlineStr">
        <is>
          <t>FINSPÅNG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2745-2024</t>
        </is>
      </c>
      <c r="B8559" s="1" t="n">
        <v>45314</v>
      </c>
      <c r="C8559" s="1" t="n">
        <v>45710</v>
      </c>
      <c r="D8559" t="inlineStr">
        <is>
          <t>ÖSTERGÖTLANDS LÄN</t>
        </is>
      </c>
      <c r="E8559" t="inlineStr">
        <is>
          <t>MJÖLBY</t>
        </is>
      </c>
      <c r="G8559" t="n">
        <v>3.2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2749-2024</t>
        </is>
      </c>
      <c r="B8560" s="1" t="n">
        <v>45314</v>
      </c>
      <c r="C8560" s="1" t="n">
        <v>45710</v>
      </c>
      <c r="D8560" t="inlineStr">
        <is>
          <t>ÖSTERGÖTLANDS LÄN</t>
        </is>
      </c>
      <c r="E8560" t="inlineStr">
        <is>
          <t>MJÖLBY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2753-2024</t>
        </is>
      </c>
      <c r="B8561" s="1" t="n">
        <v>45314</v>
      </c>
      <c r="C8561" s="1" t="n">
        <v>45710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2761-2024</t>
        </is>
      </c>
      <c r="B8562" s="1" t="n">
        <v>45314</v>
      </c>
      <c r="C8562" s="1" t="n">
        <v>45710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2.6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2765-2024</t>
        </is>
      </c>
      <c r="B8563" s="1" t="n">
        <v>45314</v>
      </c>
      <c r="C8563" s="1" t="n">
        <v>45710</v>
      </c>
      <c r="D8563" t="inlineStr">
        <is>
          <t>ÖSTERGÖTLANDS LÄN</t>
        </is>
      </c>
      <c r="E8563" t="inlineStr">
        <is>
          <t>KINDA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2846-2024</t>
        </is>
      </c>
      <c r="B8564" s="1" t="n">
        <v>45315</v>
      </c>
      <c r="C8564" s="1" t="n">
        <v>45710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5.8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2886-2024</t>
        </is>
      </c>
      <c r="B8565" s="1" t="n">
        <v>45315</v>
      </c>
      <c r="C8565" s="1" t="n">
        <v>45710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2897-2024</t>
        </is>
      </c>
      <c r="B8566" s="1" t="n">
        <v>45315</v>
      </c>
      <c r="C8566" s="1" t="n">
        <v>45710</v>
      </c>
      <c r="D8566" t="inlineStr">
        <is>
          <t>ÖSTERGÖTLANDS LÄN</t>
        </is>
      </c>
      <c r="E8566" t="inlineStr">
        <is>
          <t>KINDA</t>
        </is>
      </c>
      <c r="G8566" t="n">
        <v>4.1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2944-2024</t>
        </is>
      </c>
      <c r="B8567" s="1" t="n">
        <v>45315</v>
      </c>
      <c r="C8567" s="1" t="n">
        <v>45710</v>
      </c>
      <c r="D8567" t="inlineStr">
        <is>
          <t>ÖSTERGÖTLANDS LÄN</t>
        </is>
      </c>
      <c r="E8567" t="inlineStr">
        <is>
          <t>ÅTVIDABERG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2957-2024</t>
        </is>
      </c>
      <c r="B8568" s="1" t="n">
        <v>45315</v>
      </c>
      <c r="C8568" s="1" t="n">
        <v>45710</v>
      </c>
      <c r="D8568" t="inlineStr">
        <is>
          <t>ÖSTERGÖTLANDS LÄN</t>
        </is>
      </c>
      <c r="E8568" t="inlineStr">
        <is>
          <t>KINDA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2951-2024</t>
        </is>
      </c>
      <c r="B8569" s="1" t="n">
        <v>45315</v>
      </c>
      <c r="C8569" s="1" t="n">
        <v>45710</v>
      </c>
      <c r="D8569" t="inlineStr">
        <is>
          <t>ÖSTERGÖTLANDS LÄN</t>
        </is>
      </c>
      <c r="E8569" t="inlineStr">
        <is>
          <t>SÖDERKÖPING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2967-2024</t>
        </is>
      </c>
      <c r="B8570" s="1" t="n">
        <v>45315</v>
      </c>
      <c r="C8570" s="1" t="n">
        <v>45710</v>
      </c>
      <c r="D8570" t="inlineStr">
        <is>
          <t>ÖSTERGÖTLANDS LÄN</t>
        </is>
      </c>
      <c r="E8570" t="inlineStr">
        <is>
          <t>KINDA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2956-2024</t>
        </is>
      </c>
      <c r="B8571" s="1" t="n">
        <v>45315</v>
      </c>
      <c r="C8571" s="1" t="n">
        <v>45710</v>
      </c>
      <c r="D8571" t="inlineStr">
        <is>
          <t>ÖSTERGÖTLANDS LÄN</t>
        </is>
      </c>
      <c r="E8571" t="inlineStr">
        <is>
          <t>SÖDERKÖPING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2969-2024</t>
        </is>
      </c>
      <c r="B8572" s="1" t="n">
        <v>45315</v>
      </c>
      <c r="C8572" s="1" t="n">
        <v>45710</v>
      </c>
      <c r="D8572" t="inlineStr">
        <is>
          <t>ÖSTERGÖTLANDS LÄN</t>
        </is>
      </c>
      <c r="E8572" t="inlineStr">
        <is>
          <t>KINDA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2952-2024</t>
        </is>
      </c>
      <c r="B8573" s="1" t="n">
        <v>45315</v>
      </c>
      <c r="C8573" s="1" t="n">
        <v>45710</v>
      </c>
      <c r="D8573" t="inlineStr">
        <is>
          <t>ÖSTERGÖTLANDS LÄN</t>
        </is>
      </c>
      <c r="E8573" t="inlineStr">
        <is>
          <t>KINDA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2966-2024</t>
        </is>
      </c>
      <c r="B8574" s="1" t="n">
        <v>45315</v>
      </c>
      <c r="C8574" s="1" t="n">
        <v>45710</v>
      </c>
      <c r="D8574" t="inlineStr">
        <is>
          <t>ÖSTERGÖTLANDS LÄN</t>
        </is>
      </c>
      <c r="E8574" t="inlineStr">
        <is>
          <t>KINDA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2954-2024</t>
        </is>
      </c>
      <c r="B8575" s="1" t="n">
        <v>45315</v>
      </c>
      <c r="C8575" s="1" t="n">
        <v>45710</v>
      </c>
      <c r="D8575" t="inlineStr">
        <is>
          <t>ÖSTERGÖTLANDS LÄN</t>
        </is>
      </c>
      <c r="E8575" t="inlineStr">
        <is>
          <t>BOXHOLM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2937-2024</t>
        </is>
      </c>
      <c r="B8576" s="1" t="n">
        <v>45315</v>
      </c>
      <c r="C8576" s="1" t="n">
        <v>45710</v>
      </c>
      <c r="D8576" t="inlineStr">
        <is>
          <t>ÖSTERGÖTLANDS LÄN</t>
        </is>
      </c>
      <c r="E8576" t="inlineStr">
        <is>
          <t>ÅTVIDABERG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3042-2024</t>
        </is>
      </c>
      <c r="B8577" s="1" t="n">
        <v>45316</v>
      </c>
      <c r="C8577" s="1" t="n">
        <v>45710</v>
      </c>
      <c r="D8577" t="inlineStr">
        <is>
          <t>ÖSTERGÖTLANDS LÄN</t>
        </is>
      </c>
      <c r="E8577" t="inlineStr">
        <is>
          <t>LINKÖPING</t>
        </is>
      </c>
      <c r="G8577" t="n">
        <v>3.1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3043-2024</t>
        </is>
      </c>
      <c r="B8578" s="1" t="n">
        <v>45316</v>
      </c>
      <c r="C8578" s="1" t="n">
        <v>45710</v>
      </c>
      <c r="D8578" t="inlineStr">
        <is>
          <t>ÖSTERGÖTLANDS LÄN</t>
        </is>
      </c>
      <c r="E8578" t="inlineStr">
        <is>
          <t>LINKÖPING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3033-2024</t>
        </is>
      </c>
      <c r="B8579" s="1" t="n">
        <v>45316</v>
      </c>
      <c r="C8579" s="1" t="n">
        <v>45710</v>
      </c>
      <c r="D8579" t="inlineStr">
        <is>
          <t>ÖSTERGÖTLANDS LÄN</t>
        </is>
      </c>
      <c r="E8579" t="inlineStr">
        <is>
          <t>MOTALA</t>
        </is>
      </c>
      <c r="G8579" t="n">
        <v>1.3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3041-2024</t>
        </is>
      </c>
      <c r="B8580" s="1" t="n">
        <v>45316</v>
      </c>
      <c r="C8580" s="1" t="n">
        <v>45710</v>
      </c>
      <c r="D8580" t="inlineStr">
        <is>
          <t>ÖSTERGÖTLANDS LÄN</t>
        </is>
      </c>
      <c r="E8580" t="inlineStr">
        <is>
          <t>LINKÖPING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3062-2024</t>
        </is>
      </c>
      <c r="B8581" s="1" t="n">
        <v>45316</v>
      </c>
      <c r="C8581" s="1" t="n">
        <v>45710</v>
      </c>
      <c r="D8581" t="inlineStr">
        <is>
          <t>ÖSTERGÖTLANDS LÄN</t>
        </is>
      </c>
      <c r="E8581" t="inlineStr">
        <is>
          <t>LINKÖPING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3119-2024</t>
        </is>
      </c>
      <c r="B8582" s="1" t="n">
        <v>45316</v>
      </c>
      <c r="C8582" s="1" t="n">
        <v>45710</v>
      </c>
      <c r="D8582" t="inlineStr">
        <is>
          <t>ÖSTERGÖTLANDS LÄN</t>
        </is>
      </c>
      <c r="E8582" t="inlineStr">
        <is>
          <t>MJÖLBY</t>
        </is>
      </c>
      <c r="G8582" t="n">
        <v>8.4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3200-2024</t>
        </is>
      </c>
      <c r="B8583" s="1" t="n">
        <v>45316</v>
      </c>
      <c r="C8583" s="1" t="n">
        <v>45710</v>
      </c>
      <c r="D8583" t="inlineStr">
        <is>
          <t>ÖSTERGÖTLANDS LÄN</t>
        </is>
      </c>
      <c r="E8583" t="inlineStr">
        <is>
          <t>ÅTVIDABERG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3071-2024</t>
        </is>
      </c>
      <c r="B8584" s="1" t="n">
        <v>45316</v>
      </c>
      <c r="C8584" s="1" t="n">
        <v>45710</v>
      </c>
      <c r="D8584" t="inlineStr">
        <is>
          <t>ÖSTERGÖTLANDS LÄN</t>
        </is>
      </c>
      <c r="E8584" t="inlineStr">
        <is>
          <t>LINKÖPING</t>
        </is>
      </c>
      <c r="G8584" t="n">
        <v>12.5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3030-2024</t>
        </is>
      </c>
      <c r="B8585" s="1" t="n">
        <v>45316</v>
      </c>
      <c r="C8585" s="1" t="n">
        <v>45710</v>
      </c>
      <c r="D8585" t="inlineStr">
        <is>
          <t>ÖSTERGÖTLANDS LÄN</t>
        </is>
      </c>
      <c r="E8585" t="inlineStr">
        <is>
          <t>MOTALA</t>
        </is>
      </c>
      <c r="G8585" t="n">
        <v>4.2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3208-2024</t>
        </is>
      </c>
      <c r="B8586" s="1" t="n">
        <v>45316</v>
      </c>
      <c r="C8586" s="1" t="n">
        <v>45710</v>
      </c>
      <c r="D8586" t="inlineStr">
        <is>
          <t>ÖSTERGÖTLANDS LÄN</t>
        </is>
      </c>
      <c r="E8586" t="inlineStr">
        <is>
          <t>ÅTVIDABERG</t>
        </is>
      </c>
      <c r="G8586" t="n">
        <v>3.6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3104-2024</t>
        </is>
      </c>
      <c r="B8587" s="1" t="n">
        <v>45316</v>
      </c>
      <c r="C8587" s="1" t="n">
        <v>45710</v>
      </c>
      <c r="D8587" t="inlineStr">
        <is>
          <t>ÖSTERGÖTLANDS LÄN</t>
        </is>
      </c>
      <c r="E8587" t="inlineStr">
        <is>
          <t>MJÖLBY</t>
        </is>
      </c>
      <c r="G8587" t="n">
        <v>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3124-2024</t>
        </is>
      </c>
      <c r="B8588" s="1" t="n">
        <v>45316</v>
      </c>
      <c r="C8588" s="1" t="n">
        <v>45710</v>
      </c>
      <c r="D8588" t="inlineStr">
        <is>
          <t>ÖSTERGÖTLANDS LÄN</t>
        </is>
      </c>
      <c r="E8588" t="inlineStr">
        <is>
          <t>LINKÖPING</t>
        </is>
      </c>
      <c r="G8588" t="n">
        <v>4.7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3052-2024</t>
        </is>
      </c>
      <c r="B8589" s="1" t="n">
        <v>45316</v>
      </c>
      <c r="C8589" s="1" t="n">
        <v>45710</v>
      </c>
      <c r="D8589" t="inlineStr">
        <is>
          <t>ÖSTERGÖTLANDS LÄN</t>
        </is>
      </c>
      <c r="E8589" t="inlineStr">
        <is>
          <t>LINKÖPING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3056-2024</t>
        </is>
      </c>
      <c r="B8590" s="1" t="n">
        <v>45316</v>
      </c>
      <c r="C8590" s="1" t="n">
        <v>45710</v>
      </c>
      <c r="D8590" t="inlineStr">
        <is>
          <t>ÖSTERGÖTLANDS LÄN</t>
        </is>
      </c>
      <c r="E8590" t="inlineStr">
        <is>
          <t>LINKÖPING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3073-2024</t>
        </is>
      </c>
      <c r="B8591" s="1" t="n">
        <v>45316</v>
      </c>
      <c r="C8591" s="1" t="n">
        <v>45710</v>
      </c>
      <c r="D8591" t="inlineStr">
        <is>
          <t>ÖSTERGÖTLANDS LÄN</t>
        </is>
      </c>
      <c r="E8591" t="inlineStr">
        <is>
          <t>LINKÖPING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3184-2024</t>
        </is>
      </c>
      <c r="B8592" s="1" t="n">
        <v>45316</v>
      </c>
      <c r="C8592" s="1" t="n">
        <v>45710</v>
      </c>
      <c r="D8592" t="inlineStr">
        <is>
          <t>ÖSTERGÖTLANDS LÄN</t>
        </is>
      </c>
      <c r="E8592" t="inlineStr">
        <is>
          <t>ÅTVIDABERG</t>
        </is>
      </c>
      <c r="G8592" t="n">
        <v>3.8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3217-2024</t>
        </is>
      </c>
      <c r="B8593" s="1" t="n">
        <v>45316</v>
      </c>
      <c r="C8593" s="1" t="n">
        <v>45710</v>
      </c>
      <c r="D8593" t="inlineStr">
        <is>
          <t>ÖSTERGÖTLANDS LÄN</t>
        </is>
      </c>
      <c r="E8593" t="inlineStr">
        <is>
          <t>ÅTVIDABERG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3149-2024</t>
        </is>
      </c>
      <c r="B8594" s="1" t="n">
        <v>45316</v>
      </c>
      <c r="C8594" s="1" t="n">
        <v>45710</v>
      </c>
      <c r="D8594" t="inlineStr">
        <is>
          <t>ÖSTERGÖTLANDS LÄN</t>
        </is>
      </c>
      <c r="E8594" t="inlineStr">
        <is>
          <t>ÖDESHÖG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3169-2024</t>
        </is>
      </c>
      <c r="B8595" s="1" t="n">
        <v>45316</v>
      </c>
      <c r="C8595" s="1" t="n">
        <v>45710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Övriga Aktiebolag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3198-2024</t>
        </is>
      </c>
      <c r="B8596" s="1" t="n">
        <v>45316</v>
      </c>
      <c r="C8596" s="1" t="n">
        <v>45710</v>
      </c>
      <c r="D8596" t="inlineStr">
        <is>
          <t>ÖSTERGÖTLANDS LÄN</t>
        </is>
      </c>
      <c r="E8596" t="inlineStr">
        <is>
          <t>ÖDESHÖG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3216-2024</t>
        </is>
      </c>
      <c r="B8597" s="1" t="n">
        <v>45316</v>
      </c>
      <c r="C8597" s="1" t="n">
        <v>45710</v>
      </c>
      <c r="D8597" t="inlineStr">
        <is>
          <t>ÖSTERGÖTLANDS LÄN</t>
        </is>
      </c>
      <c r="E8597" t="inlineStr">
        <is>
          <t>ÅTVIDABERG</t>
        </is>
      </c>
      <c r="G8597" t="n">
        <v>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3263-2024</t>
        </is>
      </c>
      <c r="B8598" s="1" t="n">
        <v>45317</v>
      </c>
      <c r="C8598" s="1" t="n">
        <v>45710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3327-2024</t>
        </is>
      </c>
      <c r="B8599" s="1" t="n">
        <v>45317</v>
      </c>
      <c r="C8599" s="1" t="n">
        <v>45710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3276-2024</t>
        </is>
      </c>
      <c r="B8600" s="1" t="n">
        <v>45317</v>
      </c>
      <c r="C8600" s="1" t="n">
        <v>45710</v>
      </c>
      <c r="D8600" t="inlineStr">
        <is>
          <t>ÖSTERGÖTLANDS LÄN</t>
        </is>
      </c>
      <c r="E8600" t="inlineStr">
        <is>
          <t>VALDEMARSVIK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3247-2024</t>
        </is>
      </c>
      <c r="B8601" s="1" t="n">
        <v>45317</v>
      </c>
      <c r="C8601" s="1" t="n">
        <v>45710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3275-2024</t>
        </is>
      </c>
      <c r="B8602" s="1" t="n">
        <v>45317</v>
      </c>
      <c r="C8602" s="1" t="n">
        <v>45710</v>
      </c>
      <c r="D8602" t="inlineStr">
        <is>
          <t>ÖSTERGÖTLANDS LÄN</t>
        </is>
      </c>
      <c r="E8602" t="inlineStr">
        <is>
          <t>VALDEMARSVIK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3325-2024</t>
        </is>
      </c>
      <c r="B8603" s="1" t="n">
        <v>45317</v>
      </c>
      <c r="C8603" s="1" t="n">
        <v>45710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3329-2024</t>
        </is>
      </c>
      <c r="B8604" s="1" t="n">
        <v>45317</v>
      </c>
      <c r="C8604" s="1" t="n">
        <v>45710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3363-2024</t>
        </is>
      </c>
      <c r="B8605" s="1" t="n">
        <v>45317</v>
      </c>
      <c r="C8605" s="1" t="n">
        <v>45710</v>
      </c>
      <c r="D8605" t="inlineStr">
        <is>
          <t>ÖSTERGÖTLANDS LÄN</t>
        </is>
      </c>
      <c r="E8605" t="inlineStr">
        <is>
          <t>YDRE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3379-2024</t>
        </is>
      </c>
      <c r="B8606" s="1" t="n">
        <v>45317</v>
      </c>
      <c r="C8606" s="1" t="n">
        <v>45710</v>
      </c>
      <c r="D8606" t="inlineStr">
        <is>
          <t>ÖSTERGÖTLANDS LÄN</t>
        </is>
      </c>
      <c r="E8606" t="inlineStr">
        <is>
          <t>KINDA</t>
        </is>
      </c>
      <c r="G8606" t="n">
        <v>5.1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3380-2024</t>
        </is>
      </c>
      <c r="B8607" s="1" t="n">
        <v>45317</v>
      </c>
      <c r="C8607" s="1" t="n">
        <v>45710</v>
      </c>
      <c r="D8607" t="inlineStr">
        <is>
          <t>ÖSTERGÖTLANDS LÄN</t>
        </is>
      </c>
      <c r="E8607" t="inlineStr">
        <is>
          <t>KINDA</t>
        </is>
      </c>
      <c r="G8607" t="n">
        <v>3.6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3415-2024</t>
        </is>
      </c>
      <c r="B8608" s="1" t="n">
        <v>45319</v>
      </c>
      <c r="C8608" s="1" t="n">
        <v>45710</v>
      </c>
      <c r="D8608" t="inlineStr">
        <is>
          <t>ÖSTERGÖTLANDS LÄN</t>
        </is>
      </c>
      <c r="E8608" t="inlineStr">
        <is>
          <t>ÖDESHÖG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3533-2024</t>
        </is>
      </c>
      <c r="B8609" s="1" t="n">
        <v>45320</v>
      </c>
      <c r="C8609" s="1" t="n">
        <v>45710</v>
      </c>
      <c r="D8609" t="inlineStr">
        <is>
          <t>ÖSTERGÖTLANDS LÄN</t>
        </is>
      </c>
      <c r="E8609" t="inlineStr">
        <is>
          <t>LINKÖPING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3569-2024</t>
        </is>
      </c>
      <c r="B8610" s="1" t="n">
        <v>45320</v>
      </c>
      <c r="C8610" s="1" t="n">
        <v>45710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Övriga Aktiebolag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3496-2024</t>
        </is>
      </c>
      <c r="B8611" s="1" t="n">
        <v>45320</v>
      </c>
      <c r="C8611" s="1" t="n">
        <v>45710</v>
      </c>
      <c r="D8611" t="inlineStr">
        <is>
          <t>ÖSTERGÖTLANDS LÄN</t>
        </is>
      </c>
      <c r="E8611" t="inlineStr">
        <is>
          <t>ÖDESHÖG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3505-2024</t>
        </is>
      </c>
      <c r="B8612" s="1" t="n">
        <v>45320</v>
      </c>
      <c r="C8612" s="1" t="n">
        <v>45710</v>
      </c>
      <c r="D8612" t="inlineStr">
        <is>
          <t>ÖSTERGÖTLANDS LÄN</t>
        </is>
      </c>
      <c r="E8612" t="inlineStr">
        <is>
          <t>KINDA</t>
        </is>
      </c>
      <c r="G8612" t="n">
        <v>2.4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3530-2024</t>
        </is>
      </c>
      <c r="B8613" s="1" t="n">
        <v>45320</v>
      </c>
      <c r="C8613" s="1" t="n">
        <v>45710</v>
      </c>
      <c r="D8613" t="inlineStr">
        <is>
          <t>ÖSTERGÖTLANDS LÄN</t>
        </is>
      </c>
      <c r="E8613" t="inlineStr">
        <is>
          <t>LINKÖPING</t>
        </is>
      </c>
      <c r="G8613" t="n">
        <v>1.5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3592-2024</t>
        </is>
      </c>
      <c r="B8614" s="1" t="n">
        <v>45320</v>
      </c>
      <c r="C8614" s="1" t="n">
        <v>45710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3586-2024</t>
        </is>
      </c>
      <c r="B8615" s="1" t="n">
        <v>45320</v>
      </c>
      <c r="C8615" s="1" t="n">
        <v>45710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3674-2024</t>
        </is>
      </c>
      <c r="B8616" s="1" t="n">
        <v>45321</v>
      </c>
      <c r="C8616" s="1" t="n">
        <v>45710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3710-2024</t>
        </is>
      </c>
      <c r="B8617" s="1" t="n">
        <v>45321</v>
      </c>
      <c r="C8617" s="1" t="n">
        <v>45710</v>
      </c>
      <c r="D8617" t="inlineStr">
        <is>
          <t>ÖSTERGÖTLANDS LÄN</t>
        </is>
      </c>
      <c r="E8617" t="inlineStr">
        <is>
          <t>BOXHOLM</t>
        </is>
      </c>
      <c r="G8617" t="n">
        <v>1.3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3677-2024</t>
        </is>
      </c>
      <c r="B8618" s="1" t="n">
        <v>45321</v>
      </c>
      <c r="C8618" s="1" t="n">
        <v>45710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3705-2024</t>
        </is>
      </c>
      <c r="B8619" s="1" t="n">
        <v>45321</v>
      </c>
      <c r="C8619" s="1" t="n">
        <v>45710</v>
      </c>
      <c r="D8619" t="inlineStr">
        <is>
          <t>ÖSTERGÖTLANDS LÄN</t>
        </is>
      </c>
      <c r="E8619" t="inlineStr">
        <is>
          <t>MJÖLBY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3761-2024</t>
        </is>
      </c>
      <c r="B8620" s="1" t="n">
        <v>45321</v>
      </c>
      <c r="C8620" s="1" t="n">
        <v>45710</v>
      </c>
      <c r="D8620" t="inlineStr">
        <is>
          <t>ÖSTERGÖTLANDS LÄN</t>
        </is>
      </c>
      <c r="E8620" t="inlineStr">
        <is>
          <t>KINDA</t>
        </is>
      </c>
      <c r="G8620" t="n">
        <v>4.7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3765-2024</t>
        </is>
      </c>
      <c r="B8621" s="1" t="n">
        <v>45321</v>
      </c>
      <c r="C8621" s="1" t="n">
        <v>45710</v>
      </c>
      <c r="D8621" t="inlineStr">
        <is>
          <t>ÖSTERGÖTLANDS LÄN</t>
        </is>
      </c>
      <c r="E8621" t="inlineStr">
        <is>
          <t>KINDA</t>
        </is>
      </c>
      <c r="G8621" t="n">
        <v>10.2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3667-2024</t>
        </is>
      </c>
      <c r="B8622" s="1" t="n">
        <v>45321</v>
      </c>
      <c r="C8622" s="1" t="n">
        <v>45710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3823-2024</t>
        </is>
      </c>
      <c r="B8623" s="1" t="n">
        <v>45321</v>
      </c>
      <c r="C8623" s="1" t="n">
        <v>45710</v>
      </c>
      <c r="D8623" t="inlineStr">
        <is>
          <t>ÖSTERGÖTLANDS LÄN</t>
        </is>
      </c>
      <c r="E8623" t="inlineStr">
        <is>
          <t>KINDA</t>
        </is>
      </c>
      <c r="G8623" t="n">
        <v>4.9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3820-2024</t>
        </is>
      </c>
      <c r="B8624" s="1" t="n">
        <v>45321</v>
      </c>
      <c r="C8624" s="1" t="n">
        <v>45710</v>
      </c>
      <c r="D8624" t="inlineStr">
        <is>
          <t>ÖSTERGÖTLANDS LÄN</t>
        </is>
      </c>
      <c r="E8624" t="inlineStr">
        <is>
          <t>KINDA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3971-2024</t>
        </is>
      </c>
      <c r="B8625" s="1" t="n">
        <v>45322</v>
      </c>
      <c r="C8625" s="1" t="n">
        <v>45710</v>
      </c>
      <c r="D8625" t="inlineStr">
        <is>
          <t>ÖSTERGÖTLANDS LÄN</t>
        </is>
      </c>
      <c r="E8625" t="inlineStr">
        <is>
          <t>SÖDERKÖPING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3908-2024</t>
        </is>
      </c>
      <c r="B8626" s="1" t="n">
        <v>45322</v>
      </c>
      <c r="C8626" s="1" t="n">
        <v>45710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Övriga Aktiebolag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3965-2024</t>
        </is>
      </c>
      <c r="B8627" s="1" t="n">
        <v>45322</v>
      </c>
      <c r="C8627" s="1" t="n">
        <v>45710</v>
      </c>
      <c r="D8627" t="inlineStr">
        <is>
          <t>ÖSTERGÖTLANDS LÄN</t>
        </is>
      </c>
      <c r="E8627" t="inlineStr">
        <is>
          <t>SÖDERKÖPING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3981-2024</t>
        </is>
      </c>
      <c r="B8628" s="1" t="n">
        <v>45322</v>
      </c>
      <c r="C8628" s="1" t="n">
        <v>45710</v>
      </c>
      <c r="D8628" t="inlineStr">
        <is>
          <t>ÖSTERGÖTLANDS LÄN</t>
        </is>
      </c>
      <c r="E8628" t="inlineStr">
        <is>
          <t>YDRE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4083-2024</t>
        </is>
      </c>
      <c r="B8629" s="1" t="n">
        <v>45323</v>
      </c>
      <c r="C8629" s="1" t="n">
        <v>45710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0.3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4041-2024</t>
        </is>
      </c>
      <c r="B8630" s="1" t="n">
        <v>45323</v>
      </c>
      <c r="C8630" s="1" t="n">
        <v>45710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4004-2024</t>
        </is>
      </c>
      <c r="B8631" s="1" t="n">
        <v>45323</v>
      </c>
      <c r="C8631" s="1" t="n">
        <v>45710</v>
      </c>
      <c r="D8631" t="inlineStr">
        <is>
          <t>ÖSTERGÖTLANDS LÄN</t>
        </is>
      </c>
      <c r="E8631" t="inlineStr">
        <is>
          <t>ÅTVIDABERG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4007-2024</t>
        </is>
      </c>
      <c r="B8632" s="1" t="n">
        <v>45323</v>
      </c>
      <c r="C8632" s="1" t="n">
        <v>45710</v>
      </c>
      <c r="D8632" t="inlineStr">
        <is>
          <t>ÖSTERGÖTLANDS LÄN</t>
        </is>
      </c>
      <c r="E8632" t="inlineStr">
        <is>
          <t>ÅTVIDABERG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4071-2024</t>
        </is>
      </c>
      <c r="B8633" s="1" t="n">
        <v>45323</v>
      </c>
      <c r="C8633" s="1" t="n">
        <v>45710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4108-2024</t>
        </is>
      </c>
      <c r="B8634" s="1" t="n">
        <v>45323</v>
      </c>
      <c r="C8634" s="1" t="n">
        <v>45710</v>
      </c>
      <c r="D8634" t="inlineStr">
        <is>
          <t>ÖSTERGÖTLANDS LÄN</t>
        </is>
      </c>
      <c r="E8634" t="inlineStr">
        <is>
          <t>MOTALA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4148-2024</t>
        </is>
      </c>
      <c r="B8635" s="1" t="n">
        <v>45323</v>
      </c>
      <c r="C8635" s="1" t="n">
        <v>45710</v>
      </c>
      <c r="D8635" t="inlineStr">
        <is>
          <t>ÖSTERGÖTLANDS LÄN</t>
        </is>
      </c>
      <c r="E8635" t="inlineStr">
        <is>
          <t>VALDEMARSVIK</t>
        </is>
      </c>
      <c r="G8635" t="n">
        <v>2.4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4153-2024</t>
        </is>
      </c>
      <c r="B8636" s="1" t="n">
        <v>45323</v>
      </c>
      <c r="C8636" s="1" t="n">
        <v>45710</v>
      </c>
      <c r="D8636" t="inlineStr">
        <is>
          <t>ÖSTERGÖTLANDS LÄN</t>
        </is>
      </c>
      <c r="E8636" t="inlineStr">
        <is>
          <t>KINDA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4190-2024</t>
        </is>
      </c>
      <c r="B8637" s="1" t="n">
        <v>45324</v>
      </c>
      <c r="C8637" s="1" t="n">
        <v>45710</v>
      </c>
      <c r="D8637" t="inlineStr">
        <is>
          <t>ÖSTERGÖTLANDS LÄN</t>
        </is>
      </c>
      <c r="E8637" t="inlineStr">
        <is>
          <t>BOXHOLM</t>
        </is>
      </c>
      <c r="F8637" t="inlineStr">
        <is>
          <t>Övriga Aktiebolag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4236-2024</t>
        </is>
      </c>
      <c r="B8638" s="1" t="n">
        <v>45324</v>
      </c>
      <c r="C8638" s="1" t="n">
        <v>45710</v>
      </c>
      <c r="D8638" t="inlineStr">
        <is>
          <t>ÖSTERGÖTLANDS LÄN</t>
        </is>
      </c>
      <c r="E8638" t="inlineStr">
        <is>
          <t>KINDA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4314-2024</t>
        </is>
      </c>
      <c r="B8639" s="1" t="n">
        <v>45324</v>
      </c>
      <c r="C8639" s="1" t="n">
        <v>45710</v>
      </c>
      <c r="D8639" t="inlineStr">
        <is>
          <t>ÖSTERGÖTLANDS LÄN</t>
        </is>
      </c>
      <c r="E8639" t="inlineStr">
        <is>
          <t>MJÖLBY</t>
        </is>
      </c>
      <c r="F8639" t="inlineStr">
        <is>
          <t>Kyrkan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4322-2024</t>
        </is>
      </c>
      <c r="B8640" s="1" t="n">
        <v>45324</v>
      </c>
      <c r="C8640" s="1" t="n">
        <v>45710</v>
      </c>
      <c r="D8640" t="inlineStr">
        <is>
          <t>ÖSTERGÖTLANDS LÄN</t>
        </is>
      </c>
      <c r="E8640" t="inlineStr">
        <is>
          <t>ÅTVIDABERG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4276-2024</t>
        </is>
      </c>
      <c r="B8641" s="1" t="n">
        <v>45324</v>
      </c>
      <c r="C8641" s="1" t="n">
        <v>45710</v>
      </c>
      <c r="D8641" t="inlineStr">
        <is>
          <t>ÖSTERGÖTLANDS LÄN</t>
        </is>
      </c>
      <c r="E8641" t="inlineStr">
        <is>
          <t>YDRE</t>
        </is>
      </c>
      <c r="G8641" t="n">
        <v>3.9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4328-2024</t>
        </is>
      </c>
      <c r="B8642" s="1" t="n">
        <v>45324</v>
      </c>
      <c r="C8642" s="1" t="n">
        <v>45710</v>
      </c>
      <c r="D8642" t="inlineStr">
        <is>
          <t>ÖSTERGÖTLANDS LÄN</t>
        </is>
      </c>
      <c r="E8642" t="inlineStr">
        <is>
          <t>LINKÖPING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4317-2024</t>
        </is>
      </c>
      <c r="B8643" s="1" t="n">
        <v>45324</v>
      </c>
      <c r="C8643" s="1" t="n">
        <v>45710</v>
      </c>
      <c r="D8643" t="inlineStr">
        <is>
          <t>ÖSTERGÖTLANDS LÄN</t>
        </is>
      </c>
      <c r="E8643" t="inlineStr">
        <is>
          <t>ÅTVIDABERG</t>
        </is>
      </c>
      <c r="G8643" t="n">
        <v>3.6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4325-2024</t>
        </is>
      </c>
      <c r="B8644" s="1" t="n">
        <v>45324</v>
      </c>
      <c r="C8644" s="1" t="n">
        <v>45710</v>
      </c>
      <c r="D8644" t="inlineStr">
        <is>
          <t>ÖSTERGÖTLANDS LÄN</t>
        </is>
      </c>
      <c r="E8644" t="inlineStr">
        <is>
          <t>ÅTVIDABERG</t>
        </is>
      </c>
      <c r="G8644" t="n">
        <v>9.1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4329-2024</t>
        </is>
      </c>
      <c r="B8645" s="1" t="n">
        <v>45324</v>
      </c>
      <c r="C8645" s="1" t="n">
        <v>45710</v>
      </c>
      <c r="D8645" t="inlineStr">
        <is>
          <t>ÖSTERGÖTLANDS LÄN</t>
        </is>
      </c>
      <c r="E8645" t="inlineStr">
        <is>
          <t>LINKÖPING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4332-2024</t>
        </is>
      </c>
      <c r="B8646" s="1" t="n">
        <v>45324</v>
      </c>
      <c r="C8646" s="1" t="n">
        <v>45710</v>
      </c>
      <c r="D8646" t="inlineStr">
        <is>
          <t>ÖSTERGÖTLANDS LÄN</t>
        </is>
      </c>
      <c r="E8646" t="inlineStr">
        <is>
          <t>SÖDERKÖPING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4327-2024</t>
        </is>
      </c>
      <c r="B8647" s="1" t="n">
        <v>45324</v>
      </c>
      <c r="C8647" s="1" t="n">
        <v>45710</v>
      </c>
      <c r="D8647" t="inlineStr">
        <is>
          <t>ÖSTERGÖTLANDS LÄN</t>
        </is>
      </c>
      <c r="E8647" t="inlineStr">
        <is>
          <t>ÅTVIDABERG</t>
        </is>
      </c>
      <c r="G8647" t="n">
        <v>4.4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4331-2024</t>
        </is>
      </c>
      <c r="B8648" s="1" t="n">
        <v>45324</v>
      </c>
      <c r="C8648" s="1" t="n">
        <v>45710</v>
      </c>
      <c r="D8648" t="inlineStr">
        <is>
          <t>ÖSTERGÖTLANDS LÄN</t>
        </is>
      </c>
      <c r="E8648" t="inlineStr">
        <is>
          <t>SÖDERKÖPING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4398-2024</t>
        </is>
      </c>
      <c r="B8649" s="1" t="n">
        <v>45327</v>
      </c>
      <c r="C8649" s="1" t="n">
        <v>45710</v>
      </c>
      <c r="D8649" t="inlineStr">
        <is>
          <t>ÖSTERGÖTLANDS LÄN</t>
        </is>
      </c>
      <c r="E8649" t="inlineStr">
        <is>
          <t>BOXHOLM</t>
        </is>
      </c>
      <c r="F8649" t="inlineStr">
        <is>
          <t>Allmännings- och besparingsskogar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4428-2024</t>
        </is>
      </c>
      <c r="B8650" s="1" t="n">
        <v>45327</v>
      </c>
      <c r="C8650" s="1" t="n">
        <v>45710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Allmännings- och besparingsskogar</t>
        </is>
      </c>
      <c r="G8650" t="n">
        <v>2.9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4432-2024</t>
        </is>
      </c>
      <c r="B8651" s="1" t="n">
        <v>45327</v>
      </c>
      <c r="C8651" s="1" t="n">
        <v>45710</v>
      </c>
      <c r="D8651" t="inlineStr">
        <is>
          <t>ÖSTERGÖTLANDS LÄN</t>
        </is>
      </c>
      <c r="E8651" t="inlineStr">
        <is>
          <t>KINDA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4429-2024</t>
        </is>
      </c>
      <c r="B8652" s="1" t="n">
        <v>45327</v>
      </c>
      <c r="C8652" s="1" t="n">
        <v>45710</v>
      </c>
      <c r="D8652" t="inlineStr">
        <is>
          <t>ÖSTERGÖTLANDS LÄN</t>
        </is>
      </c>
      <c r="E8652" t="inlineStr">
        <is>
          <t>ÅTVIDABERG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4433-2024</t>
        </is>
      </c>
      <c r="B8653" s="1" t="n">
        <v>45327</v>
      </c>
      <c r="C8653" s="1" t="n">
        <v>45710</v>
      </c>
      <c r="D8653" t="inlineStr">
        <is>
          <t>ÖSTERGÖTLANDS LÄN</t>
        </is>
      </c>
      <c r="E8653" t="inlineStr">
        <is>
          <t>KINDA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4409-2024</t>
        </is>
      </c>
      <c r="B8654" s="1" t="n">
        <v>45327</v>
      </c>
      <c r="C8654" s="1" t="n">
        <v>45710</v>
      </c>
      <c r="D8654" t="inlineStr">
        <is>
          <t>ÖSTERGÖTLANDS LÄN</t>
        </is>
      </c>
      <c r="E8654" t="inlineStr">
        <is>
          <t>BOXHOLM</t>
        </is>
      </c>
      <c r="F8654" t="inlineStr">
        <is>
          <t>Allmännings- och besparingsskogar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4460-2024</t>
        </is>
      </c>
      <c r="B8655" s="1" t="n">
        <v>45327</v>
      </c>
      <c r="C8655" s="1" t="n">
        <v>45710</v>
      </c>
      <c r="D8655" t="inlineStr">
        <is>
          <t>ÖSTERGÖTLANDS LÄN</t>
        </is>
      </c>
      <c r="E8655" t="inlineStr">
        <is>
          <t>ÅTVIDABERG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4471-2024</t>
        </is>
      </c>
      <c r="B8656" s="1" t="n">
        <v>45327</v>
      </c>
      <c r="C8656" s="1" t="n">
        <v>45710</v>
      </c>
      <c r="D8656" t="inlineStr">
        <is>
          <t>ÖSTERGÖTLANDS LÄN</t>
        </is>
      </c>
      <c r="E8656" t="inlineStr">
        <is>
          <t>ÅTVIDABERG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4456-2024</t>
        </is>
      </c>
      <c r="B8657" s="1" t="n">
        <v>45327</v>
      </c>
      <c r="C8657" s="1" t="n">
        <v>45710</v>
      </c>
      <c r="D8657" t="inlineStr">
        <is>
          <t>ÖSTERGÖTLANDS LÄN</t>
        </is>
      </c>
      <c r="E8657" t="inlineStr">
        <is>
          <t>LINKÖPING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4476-2024</t>
        </is>
      </c>
      <c r="B8658" s="1" t="n">
        <v>45327</v>
      </c>
      <c r="C8658" s="1" t="n">
        <v>45710</v>
      </c>
      <c r="D8658" t="inlineStr">
        <is>
          <t>ÖSTERGÖTLANDS LÄN</t>
        </is>
      </c>
      <c r="E8658" t="inlineStr">
        <is>
          <t>ÅTVIDABERG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4457-2024</t>
        </is>
      </c>
      <c r="B8659" s="1" t="n">
        <v>45327</v>
      </c>
      <c r="C8659" s="1" t="n">
        <v>45710</v>
      </c>
      <c r="D8659" t="inlineStr">
        <is>
          <t>ÖSTERGÖTLANDS LÄN</t>
        </is>
      </c>
      <c r="E8659" t="inlineStr">
        <is>
          <t>LINKÖPING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4384-2024</t>
        </is>
      </c>
      <c r="B8660" s="1" t="n">
        <v>45327</v>
      </c>
      <c r="C8660" s="1" t="n">
        <v>45710</v>
      </c>
      <c r="D8660" t="inlineStr">
        <is>
          <t>ÖSTERGÖTLANDS LÄN</t>
        </is>
      </c>
      <c r="E8660" t="inlineStr">
        <is>
          <t>LINKÖPING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4415-2024</t>
        </is>
      </c>
      <c r="B8661" s="1" t="n">
        <v>45327</v>
      </c>
      <c r="C8661" s="1" t="n">
        <v>45710</v>
      </c>
      <c r="D8661" t="inlineStr">
        <is>
          <t>ÖSTERGÖTLANDS LÄN</t>
        </is>
      </c>
      <c r="E8661" t="inlineStr">
        <is>
          <t>BOXHOLM</t>
        </is>
      </c>
      <c r="F8661" t="inlineStr">
        <is>
          <t>Allmännings- och besparingsskogar</t>
        </is>
      </c>
      <c r="G8661" t="n">
        <v>6.4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4515-2024</t>
        </is>
      </c>
      <c r="B8662" s="1" t="n">
        <v>45327</v>
      </c>
      <c r="C8662" s="1" t="n">
        <v>45710</v>
      </c>
      <c r="D8662" t="inlineStr">
        <is>
          <t>ÖSTERGÖTLANDS LÄN</t>
        </is>
      </c>
      <c r="E8662" t="inlineStr">
        <is>
          <t>MOTALA</t>
        </is>
      </c>
      <c r="F8662" t="inlineStr">
        <is>
          <t>Allmännings- och besparingsskogar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4535-2024</t>
        </is>
      </c>
      <c r="B8663" s="1" t="n">
        <v>45327</v>
      </c>
      <c r="C8663" s="1" t="n">
        <v>45710</v>
      </c>
      <c r="D8663" t="inlineStr">
        <is>
          <t>ÖSTERGÖTLANDS LÄN</t>
        </is>
      </c>
      <c r="E8663" t="inlineStr">
        <is>
          <t>FINSPÅNG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4431-2024</t>
        </is>
      </c>
      <c r="B8664" s="1" t="n">
        <v>45327</v>
      </c>
      <c r="C8664" s="1" t="n">
        <v>45710</v>
      </c>
      <c r="D8664" t="inlineStr">
        <is>
          <t>ÖSTERGÖTLANDS LÄN</t>
        </is>
      </c>
      <c r="E8664" t="inlineStr">
        <is>
          <t>ÅTVIDABERG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4459-2024</t>
        </is>
      </c>
      <c r="B8665" s="1" t="n">
        <v>45327</v>
      </c>
      <c r="C8665" s="1" t="n">
        <v>45710</v>
      </c>
      <c r="D8665" t="inlineStr">
        <is>
          <t>ÖSTERGÖTLANDS LÄN</t>
        </is>
      </c>
      <c r="E8665" t="inlineStr">
        <is>
          <t>LINKÖPING</t>
        </is>
      </c>
      <c r="G8665" t="n">
        <v>2.7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4506-2024</t>
        </is>
      </c>
      <c r="B8666" s="1" t="n">
        <v>45327</v>
      </c>
      <c r="C8666" s="1" t="n">
        <v>45710</v>
      </c>
      <c r="D8666" t="inlineStr">
        <is>
          <t>ÖSTERGÖTLANDS LÄN</t>
        </is>
      </c>
      <c r="E8666" t="inlineStr">
        <is>
          <t>MOTALA</t>
        </is>
      </c>
      <c r="F8666" t="inlineStr">
        <is>
          <t>Allmännings- och besparingsskogar</t>
        </is>
      </c>
      <c r="G8666" t="n">
        <v>15.7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4530-2024</t>
        </is>
      </c>
      <c r="B8667" s="1" t="n">
        <v>45327</v>
      </c>
      <c r="C8667" s="1" t="n">
        <v>45710</v>
      </c>
      <c r="D8667" t="inlineStr">
        <is>
          <t>ÖSTERGÖTLANDS LÄN</t>
        </is>
      </c>
      <c r="E8667" t="inlineStr">
        <is>
          <t>FINSPÅNG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4538-2024</t>
        </is>
      </c>
      <c r="B8668" s="1" t="n">
        <v>45327</v>
      </c>
      <c r="C8668" s="1" t="n">
        <v>45710</v>
      </c>
      <c r="D8668" t="inlineStr">
        <is>
          <t>ÖSTERGÖTLANDS LÄN</t>
        </is>
      </c>
      <c r="E8668" t="inlineStr">
        <is>
          <t>FINSPÅNG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4547-2024</t>
        </is>
      </c>
      <c r="B8669" s="1" t="n">
        <v>45327</v>
      </c>
      <c r="C8669" s="1" t="n">
        <v>45710</v>
      </c>
      <c r="D8669" t="inlineStr">
        <is>
          <t>ÖSTERGÖTLANDS LÄN</t>
        </is>
      </c>
      <c r="E8669" t="inlineStr">
        <is>
          <t>FINSPÅNG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4541-2024</t>
        </is>
      </c>
      <c r="B8670" s="1" t="n">
        <v>45327</v>
      </c>
      <c r="C8670" s="1" t="n">
        <v>45710</v>
      </c>
      <c r="D8670" t="inlineStr">
        <is>
          <t>ÖSTERGÖTLANDS LÄN</t>
        </is>
      </c>
      <c r="E8670" t="inlineStr">
        <is>
          <t>FINSPÅNG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4562-2024</t>
        </is>
      </c>
      <c r="B8671" s="1" t="n">
        <v>45327</v>
      </c>
      <c r="C8671" s="1" t="n">
        <v>45710</v>
      </c>
      <c r="D8671" t="inlineStr">
        <is>
          <t>ÖSTERGÖTLANDS LÄN</t>
        </is>
      </c>
      <c r="E8671" t="inlineStr">
        <is>
          <t>VALDEMARSVIK</t>
        </is>
      </c>
      <c r="G8671" t="n">
        <v>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4597-2024</t>
        </is>
      </c>
      <c r="B8672" s="1" t="n">
        <v>45328</v>
      </c>
      <c r="C8672" s="1" t="n">
        <v>45710</v>
      </c>
      <c r="D8672" t="inlineStr">
        <is>
          <t>ÖSTERGÖTLANDS LÄN</t>
        </is>
      </c>
      <c r="E8672" t="inlineStr">
        <is>
          <t>YDRE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4640-2024</t>
        </is>
      </c>
      <c r="B8673" s="1" t="n">
        <v>45328</v>
      </c>
      <c r="C8673" s="1" t="n">
        <v>45710</v>
      </c>
      <c r="D8673" t="inlineStr">
        <is>
          <t>ÖSTERGÖTLANDS LÄN</t>
        </is>
      </c>
      <c r="E8673" t="inlineStr">
        <is>
          <t>ÖDESHÖG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4674-2024</t>
        </is>
      </c>
      <c r="B8674" s="1" t="n">
        <v>45328</v>
      </c>
      <c r="C8674" s="1" t="n">
        <v>45710</v>
      </c>
      <c r="D8674" t="inlineStr">
        <is>
          <t>ÖSTERGÖTLANDS LÄN</t>
        </is>
      </c>
      <c r="E8674" t="inlineStr">
        <is>
          <t>ÖDESHÖG</t>
        </is>
      </c>
      <c r="G8674" t="n">
        <v>5.7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4678-2024</t>
        </is>
      </c>
      <c r="B8675" s="1" t="n">
        <v>45328</v>
      </c>
      <c r="C8675" s="1" t="n">
        <v>45710</v>
      </c>
      <c r="D8675" t="inlineStr">
        <is>
          <t>ÖSTERGÖTLANDS LÄN</t>
        </is>
      </c>
      <c r="E8675" t="inlineStr">
        <is>
          <t>ÖDESHÖG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4621-2024</t>
        </is>
      </c>
      <c r="B8676" s="1" t="n">
        <v>45328</v>
      </c>
      <c r="C8676" s="1" t="n">
        <v>45710</v>
      </c>
      <c r="D8676" t="inlineStr">
        <is>
          <t>ÖSTERGÖTLANDS LÄN</t>
        </is>
      </c>
      <c r="E8676" t="inlineStr">
        <is>
          <t>LINKÖPING</t>
        </is>
      </c>
      <c r="G8676" t="n">
        <v>7.1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4634-2024</t>
        </is>
      </c>
      <c r="B8677" s="1" t="n">
        <v>45328</v>
      </c>
      <c r="C8677" s="1" t="n">
        <v>45710</v>
      </c>
      <c r="D8677" t="inlineStr">
        <is>
          <t>ÖSTERGÖTLANDS LÄN</t>
        </is>
      </c>
      <c r="E8677" t="inlineStr">
        <is>
          <t>BOXHOLM</t>
        </is>
      </c>
      <c r="F8677" t="inlineStr">
        <is>
          <t>Allmännings- och besparingsskogar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4638-2024</t>
        </is>
      </c>
      <c r="B8678" s="1" t="n">
        <v>45328</v>
      </c>
      <c r="C8678" s="1" t="n">
        <v>45710</v>
      </c>
      <c r="D8678" t="inlineStr">
        <is>
          <t>ÖSTERGÖTLANDS LÄN</t>
        </is>
      </c>
      <c r="E8678" t="inlineStr">
        <is>
          <t>ÖDESHÖG</t>
        </is>
      </c>
      <c r="F8678" t="inlineStr">
        <is>
          <t>Allmännings- och besparingsskogar</t>
        </is>
      </c>
      <c r="G8678" t="n">
        <v>9.1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4629-2024</t>
        </is>
      </c>
      <c r="B8679" s="1" t="n">
        <v>45328</v>
      </c>
      <c r="C8679" s="1" t="n">
        <v>45710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Allmännings- och besparingsskogar</t>
        </is>
      </c>
      <c r="G8679" t="n">
        <v>5.2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4647-2024</t>
        </is>
      </c>
      <c r="B8680" s="1" t="n">
        <v>45328</v>
      </c>
      <c r="C8680" s="1" t="n">
        <v>45710</v>
      </c>
      <c r="D8680" t="inlineStr">
        <is>
          <t>ÖSTERGÖTLANDS LÄN</t>
        </is>
      </c>
      <c r="E8680" t="inlineStr">
        <is>
          <t>FINSPÅNG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4686-2024</t>
        </is>
      </c>
      <c r="B8681" s="1" t="n">
        <v>45328</v>
      </c>
      <c r="C8681" s="1" t="n">
        <v>45710</v>
      </c>
      <c r="D8681" t="inlineStr">
        <is>
          <t>ÖSTERGÖTLANDS LÄN</t>
        </is>
      </c>
      <c r="E8681" t="inlineStr">
        <is>
          <t>NORRKÖPING</t>
        </is>
      </c>
      <c r="G8681" t="n">
        <v>3.1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4805-2024</t>
        </is>
      </c>
      <c r="B8682" s="1" t="n">
        <v>45328</v>
      </c>
      <c r="C8682" s="1" t="n">
        <v>45710</v>
      </c>
      <c r="D8682" t="inlineStr">
        <is>
          <t>ÖSTERGÖTLANDS LÄN</t>
        </is>
      </c>
      <c r="E8682" t="inlineStr">
        <is>
          <t>ÅTVIDABERG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4739-2024</t>
        </is>
      </c>
      <c r="B8683" s="1" t="n">
        <v>45328</v>
      </c>
      <c r="C8683" s="1" t="n">
        <v>45710</v>
      </c>
      <c r="D8683" t="inlineStr">
        <is>
          <t>ÖSTERGÖTLANDS LÄN</t>
        </is>
      </c>
      <c r="E8683" t="inlineStr">
        <is>
          <t>YDRE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4770-2024</t>
        </is>
      </c>
      <c r="B8684" s="1" t="n">
        <v>45328</v>
      </c>
      <c r="C8684" s="1" t="n">
        <v>45710</v>
      </c>
      <c r="D8684" t="inlineStr">
        <is>
          <t>ÖSTERGÖTLANDS LÄN</t>
        </is>
      </c>
      <c r="E8684" t="inlineStr">
        <is>
          <t>VALDEMARSVIK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4798-2024</t>
        </is>
      </c>
      <c r="B8685" s="1" t="n">
        <v>45328</v>
      </c>
      <c r="C8685" s="1" t="n">
        <v>45710</v>
      </c>
      <c r="D8685" t="inlineStr">
        <is>
          <t>ÖSTERGÖTLANDS LÄN</t>
        </is>
      </c>
      <c r="E8685" t="inlineStr">
        <is>
          <t>YDRE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4873-2024</t>
        </is>
      </c>
      <c r="B8686" s="1" t="n">
        <v>45329</v>
      </c>
      <c r="C8686" s="1" t="n">
        <v>45710</v>
      </c>
      <c r="D8686" t="inlineStr">
        <is>
          <t>ÖSTERGÖTLANDS LÄN</t>
        </is>
      </c>
      <c r="E8686" t="inlineStr">
        <is>
          <t>MOTALA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4843-2024</t>
        </is>
      </c>
      <c r="B8687" s="1" t="n">
        <v>45329</v>
      </c>
      <c r="C8687" s="1" t="n">
        <v>45710</v>
      </c>
      <c r="D8687" t="inlineStr">
        <is>
          <t>ÖSTERGÖTLANDS LÄN</t>
        </is>
      </c>
      <c r="E8687" t="inlineStr">
        <is>
          <t>KINDA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4975-2024</t>
        </is>
      </c>
      <c r="B8688" s="1" t="n">
        <v>45329</v>
      </c>
      <c r="C8688" s="1" t="n">
        <v>45710</v>
      </c>
      <c r="D8688" t="inlineStr">
        <is>
          <t>ÖSTERGÖTLANDS LÄN</t>
        </is>
      </c>
      <c r="E8688" t="inlineStr">
        <is>
          <t>SÖDERKÖPING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5119-2024</t>
        </is>
      </c>
      <c r="B8689" s="1" t="n">
        <v>45330</v>
      </c>
      <c r="C8689" s="1" t="n">
        <v>45710</v>
      </c>
      <c r="D8689" t="inlineStr">
        <is>
          <t>ÖSTERGÖTLANDS LÄN</t>
        </is>
      </c>
      <c r="E8689" t="inlineStr">
        <is>
          <t>NORRKÖPING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5096-2024</t>
        </is>
      </c>
      <c r="B8690" s="1" t="n">
        <v>45330</v>
      </c>
      <c r="C8690" s="1" t="n">
        <v>45710</v>
      </c>
      <c r="D8690" t="inlineStr">
        <is>
          <t>ÖSTERGÖTLANDS LÄN</t>
        </is>
      </c>
      <c r="E8690" t="inlineStr">
        <is>
          <t>FINSPÅNG</t>
        </is>
      </c>
      <c r="G8690" t="n">
        <v>5.7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5116-2024</t>
        </is>
      </c>
      <c r="B8691" s="1" t="n">
        <v>45330</v>
      </c>
      <c r="C8691" s="1" t="n">
        <v>45710</v>
      </c>
      <c r="D8691" t="inlineStr">
        <is>
          <t>ÖSTERGÖTLANDS LÄN</t>
        </is>
      </c>
      <c r="E8691" t="inlineStr">
        <is>
          <t>NORRKÖPING</t>
        </is>
      </c>
      <c r="G8691" t="n">
        <v>2.4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5117-2024</t>
        </is>
      </c>
      <c r="B8692" s="1" t="n">
        <v>45330</v>
      </c>
      <c r="C8692" s="1" t="n">
        <v>45710</v>
      </c>
      <c r="D8692" t="inlineStr">
        <is>
          <t>ÖSTERGÖTLANDS LÄN</t>
        </is>
      </c>
      <c r="E8692" t="inlineStr">
        <is>
          <t>NORRKÖPING</t>
        </is>
      </c>
      <c r="G8692" t="n">
        <v>4.1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5118-2024</t>
        </is>
      </c>
      <c r="B8693" s="1" t="n">
        <v>45330</v>
      </c>
      <c r="C8693" s="1" t="n">
        <v>45710</v>
      </c>
      <c r="D8693" t="inlineStr">
        <is>
          <t>ÖSTERGÖTLANDS LÄN</t>
        </is>
      </c>
      <c r="E8693" t="inlineStr">
        <is>
          <t>NORRKÖPING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5159-2024</t>
        </is>
      </c>
      <c r="B8694" s="1" t="n">
        <v>45330</v>
      </c>
      <c r="C8694" s="1" t="n">
        <v>45710</v>
      </c>
      <c r="D8694" t="inlineStr">
        <is>
          <t>ÖSTERGÖTLANDS LÄN</t>
        </is>
      </c>
      <c r="E8694" t="inlineStr">
        <is>
          <t>KINDA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5232-2024</t>
        </is>
      </c>
      <c r="B8695" s="1" t="n">
        <v>45330</v>
      </c>
      <c r="C8695" s="1" t="n">
        <v>45710</v>
      </c>
      <c r="D8695" t="inlineStr">
        <is>
          <t>ÖSTERGÖTLANDS LÄN</t>
        </is>
      </c>
      <c r="E8695" t="inlineStr">
        <is>
          <t>FINSPÅNG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5183-2024</t>
        </is>
      </c>
      <c r="B8696" s="1" t="n">
        <v>45330</v>
      </c>
      <c r="C8696" s="1" t="n">
        <v>45710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Övriga Aktiebolag</t>
        </is>
      </c>
      <c r="G8696" t="n">
        <v>5.8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5187-2024</t>
        </is>
      </c>
      <c r="B8697" s="1" t="n">
        <v>45330</v>
      </c>
      <c r="C8697" s="1" t="n">
        <v>45710</v>
      </c>
      <c r="D8697" t="inlineStr">
        <is>
          <t>ÖSTERGÖTLANDS LÄN</t>
        </is>
      </c>
      <c r="E8697" t="inlineStr">
        <is>
          <t>ÖDESHÖG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5233-2024</t>
        </is>
      </c>
      <c r="B8698" s="1" t="n">
        <v>45330</v>
      </c>
      <c r="C8698" s="1" t="n">
        <v>45710</v>
      </c>
      <c r="D8698" t="inlineStr">
        <is>
          <t>ÖSTERGÖTLANDS LÄN</t>
        </is>
      </c>
      <c r="E8698" t="inlineStr">
        <is>
          <t>FINSPÅNG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5283-2024</t>
        </is>
      </c>
      <c r="B8699" s="1" t="n">
        <v>45331</v>
      </c>
      <c r="C8699" s="1" t="n">
        <v>45710</v>
      </c>
      <c r="D8699" t="inlineStr">
        <is>
          <t>ÖSTERGÖTLANDS LÄN</t>
        </is>
      </c>
      <c r="E8699" t="inlineStr">
        <is>
          <t>ÖDESHÖG</t>
        </is>
      </c>
      <c r="G8699" t="n">
        <v>3.3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5284-2024</t>
        </is>
      </c>
      <c r="B8700" s="1" t="n">
        <v>45331</v>
      </c>
      <c r="C8700" s="1" t="n">
        <v>45710</v>
      </c>
      <c r="D8700" t="inlineStr">
        <is>
          <t>ÖSTERGÖTLANDS LÄN</t>
        </is>
      </c>
      <c r="E8700" t="inlineStr">
        <is>
          <t>LINKÖPING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5288-2024</t>
        </is>
      </c>
      <c r="B8701" s="1" t="n">
        <v>45331</v>
      </c>
      <c r="C8701" s="1" t="n">
        <v>45710</v>
      </c>
      <c r="D8701" t="inlineStr">
        <is>
          <t>ÖSTERGÖTLANDS LÄN</t>
        </is>
      </c>
      <c r="E8701" t="inlineStr">
        <is>
          <t>ÖDESHÖG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5286-2024</t>
        </is>
      </c>
      <c r="B8702" s="1" t="n">
        <v>45331</v>
      </c>
      <c r="C8702" s="1" t="n">
        <v>45710</v>
      </c>
      <c r="D8702" t="inlineStr">
        <is>
          <t>ÖSTERGÖTLANDS LÄN</t>
        </is>
      </c>
      <c r="E8702" t="inlineStr">
        <is>
          <t>ÖDESHÖG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5371-2024</t>
        </is>
      </c>
      <c r="B8703" s="1" t="n">
        <v>45331</v>
      </c>
      <c r="C8703" s="1" t="n">
        <v>45710</v>
      </c>
      <c r="D8703" t="inlineStr">
        <is>
          <t>ÖSTERGÖTLANDS LÄN</t>
        </is>
      </c>
      <c r="E8703" t="inlineStr">
        <is>
          <t>KINDA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5375-2024</t>
        </is>
      </c>
      <c r="B8704" s="1" t="n">
        <v>45331</v>
      </c>
      <c r="C8704" s="1" t="n">
        <v>45710</v>
      </c>
      <c r="D8704" t="inlineStr">
        <is>
          <t>ÖSTERGÖTLANDS LÄN</t>
        </is>
      </c>
      <c r="E8704" t="inlineStr">
        <is>
          <t>KINDA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5394-2024</t>
        </is>
      </c>
      <c r="B8705" s="1" t="n">
        <v>45331</v>
      </c>
      <c r="C8705" s="1" t="n">
        <v>45710</v>
      </c>
      <c r="D8705" t="inlineStr">
        <is>
          <t>ÖSTERGÖTLANDS LÄN</t>
        </is>
      </c>
      <c r="E8705" t="inlineStr">
        <is>
          <t>BOXHOLM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5479-2024</t>
        </is>
      </c>
      <c r="B8706" s="1" t="n">
        <v>45333</v>
      </c>
      <c r="C8706" s="1" t="n">
        <v>45710</v>
      </c>
      <c r="D8706" t="inlineStr">
        <is>
          <t>ÖSTERGÖTLANDS LÄN</t>
        </is>
      </c>
      <c r="E8706" t="inlineStr">
        <is>
          <t>KINDA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5494-2024</t>
        </is>
      </c>
      <c r="B8707" s="1" t="n">
        <v>45334</v>
      </c>
      <c r="C8707" s="1" t="n">
        <v>45710</v>
      </c>
      <c r="D8707" t="inlineStr">
        <is>
          <t>ÖSTERGÖTLANDS LÄN</t>
        </is>
      </c>
      <c r="E8707" t="inlineStr">
        <is>
          <t>ÅTVIDABERG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5491-2024</t>
        </is>
      </c>
      <c r="B8708" s="1" t="n">
        <v>45334</v>
      </c>
      <c r="C8708" s="1" t="n">
        <v>45710</v>
      </c>
      <c r="D8708" t="inlineStr">
        <is>
          <t>ÖSTERGÖTLANDS LÄN</t>
        </is>
      </c>
      <c r="E8708" t="inlineStr">
        <is>
          <t>ÅTVIDABERG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5496-2024</t>
        </is>
      </c>
      <c r="B8709" s="1" t="n">
        <v>45334</v>
      </c>
      <c r="C8709" s="1" t="n">
        <v>45710</v>
      </c>
      <c r="D8709" t="inlineStr">
        <is>
          <t>ÖSTERGÖTLANDS LÄN</t>
        </is>
      </c>
      <c r="E8709" t="inlineStr">
        <is>
          <t>ÅTVIDABERG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5501-2024</t>
        </is>
      </c>
      <c r="B8710" s="1" t="n">
        <v>45334</v>
      </c>
      <c r="C8710" s="1" t="n">
        <v>45710</v>
      </c>
      <c r="D8710" t="inlineStr">
        <is>
          <t>ÖSTERGÖTLANDS LÄN</t>
        </is>
      </c>
      <c r="E8710" t="inlineStr">
        <is>
          <t>ÅTVIDABERG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5522-2024</t>
        </is>
      </c>
      <c r="B8711" s="1" t="n">
        <v>45334</v>
      </c>
      <c r="C8711" s="1" t="n">
        <v>45710</v>
      </c>
      <c r="D8711" t="inlineStr">
        <is>
          <t>ÖSTERGÖTLANDS LÄN</t>
        </is>
      </c>
      <c r="E8711" t="inlineStr">
        <is>
          <t>NORRKÖPING</t>
        </is>
      </c>
      <c r="F8711" t="inlineStr">
        <is>
          <t>Holmen skog AB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5492-2024</t>
        </is>
      </c>
      <c r="B8712" s="1" t="n">
        <v>45334</v>
      </c>
      <c r="C8712" s="1" t="n">
        <v>45710</v>
      </c>
      <c r="D8712" t="inlineStr">
        <is>
          <t>ÖSTERGÖTLANDS LÄN</t>
        </is>
      </c>
      <c r="E8712" t="inlineStr">
        <is>
          <t>ÅTVIDABERG</t>
        </is>
      </c>
      <c r="G8712" t="n">
        <v>0.3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5503-2024</t>
        </is>
      </c>
      <c r="B8713" s="1" t="n">
        <v>45334</v>
      </c>
      <c r="C8713" s="1" t="n">
        <v>45710</v>
      </c>
      <c r="D8713" t="inlineStr">
        <is>
          <t>ÖSTERGÖTLANDS LÄN</t>
        </is>
      </c>
      <c r="E8713" t="inlineStr">
        <is>
          <t>ÅTVIDABERG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5499-2024</t>
        </is>
      </c>
      <c r="B8714" s="1" t="n">
        <v>45334</v>
      </c>
      <c r="C8714" s="1" t="n">
        <v>45710</v>
      </c>
      <c r="D8714" t="inlineStr">
        <is>
          <t>ÖSTERGÖTLANDS LÄN</t>
        </is>
      </c>
      <c r="E8714" t="inlineStr">
        <is>
          <t>ÅTVIDABERG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5597-2024</t>
        </is>
      </c>
      <c r="B8715" s="1" t="n">
        <v>45334</v>
      </c>
      <c r="C8715" s="1" t="n">
        <v>45710</v>
      </c>
      <c r="D8715" t="inlineStr">
        <is>
          <t>ÖSTERGÖTLANDS LÄN</t>
        </is>
      </c>
      <c r="E8715" t="inlineStr">
        <is>
          <t>MOTALA</t>
        </is>
      </c>
      <c r="F8715" t="inlineStr">
        <is>
          <t>Allmännings- och besparingsskogar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5601-2024</t>
        </is>
      </c>
      <c r="B8716" s="1" t="n">
        <v>45334</v>
      </c>
      <c r="C8716" s="1" t="n">
        <v>45710</v>
      </c>
      <c r="D8716" t="inlineStr">
        <is>
          <t>ÖSTERGÖTLANDS LÄN</t>
        </is>
      </c>
      <c r="E8716" t="inlineStr">
        <is>
          <t>ÅTVIDABERG</t>
        </is>
      </c>
      <c r="G8716" t="n">
        <v>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5682-2024</t>
        </is>
      </c>
      <c r="B8717" s="1" t="n">
        <v>45334</v>
      </c>
      <c r="C8717" s="1" t="n">
        <v>45710</v>
      </c>
      <c r="D8717" t="inlineStr">
        <is>
          <t>ÖSTERGÖTLANDS LÄN</t>
        </is>
      </c>
      <c r="E8717" t="inlineStr">
        <is>
          <t>YDRE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5690-2024</t>
        </is>
      </c>
      <c r="B8718" s="1" t="n">
        <v>45334</v>
      </c>
      <c r="C8718" s="1" t="n">
        <v>45710</v>
      </c>
      <c r="D8718" t="inlineStr">
        <is>
          <t>ÖSTERGÖTLANDS LÄN</t>
        </is>
      </c>
      <c r="E8718" t="inlineStr">
        <is>
          <t>NORRKÖPING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5707-2024</t>
        </is>
      </c>
      <c r="B8719" s="1" t="n">
        <v>45334</v>
      </c>
      <c r="C8719" s="1" t="n">
        <v>45710</v>
      </c>
      <c r="D8719" t="inlineStr">
        <is>
          <t>ÖSTERGÖTLANDS LÄN</t>
        </is>
      </c>
      <c r="E8719" t="inlineStr">
        <is>
          <t>KINDA</t>
        </is>
      </c>
      <c r="G8719" t="n">
        <v>6.2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5568-2024</t>
        </is>
      </c>
      <c r="B8720" s="1" t="n">
        <v>45334</v>
      </c>
      <c r="C8720" s="1" t="n">
        <v>45710</v>
      </c>
      <c r="D8720" t="inlineStr">
        <is>
          <t>ÖSTERGÖTLANDS LÄN</t>
        </is>
      </c>
      <c r="E8720" t="inlineStr">
        <is>
          <t>MOTALA</t>
        </is>
      </c>
      <c r="F8720" t="inlineStr">
        <is>
          <t>Allmännings- och besparingsskogar</t>
        </is>
      </c>
      <c r="G8720" t="n">
        <v>1.6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5572-2024</t>
        </is>
      </c>
      <c r="B8721" s="1" t="n">
        <v>45334</v>
      </c>
      <c r="C8721" s="1" t="n">
        <v>45710</v>
      </c>
      <c r="D8721" t="inlineStr">
        <is>
          <t>ÖSTERGÖTLANDS LÄN</t>
        </is>
      </c>
      <c r="E8721" t="inlineStr">
        <is>
          <t>NORRKÖPING</t>
        </is>
      </c>
      <c r="F8721" t="inlineStr">
        <is>
          <t>Kommuner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5589-2024</t>
        </is>
      </c>
      <c r="B8722" s="1" t="n">
        <v>45334</v>
      </c>
      <c r="C8722" s="1" t="n">
        <v>45710</v>
      </c>
      <c r="D8722" t="inlineStr">
        <is>
          <t>ÖSTERGÖTLANDS LÄN</t>
        </is>
      </c>
      <c r="E8722" t="inlineStr">
        <is>
          <t>FINSPÅNG</t>
        </is>
      </c>
      <c r="G8722" t="n">
        <v>4.6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5599-2024</t>
        </is>
      </c>
      <c r="B8723" s="1" t="n">
        <v>45334</v>
      </c>
      <c r="C8723" s="1" t="n">
        <v>45710</v>
      </c>
      <c r="D8723" t="inlineStr">
        <is>
          <t>ÖSTERGÖTLANDS LÄN</t>
        </is>
      </c>
      <c r="E8723" t="inlineStr">
        <is>
          <t>FINSPÅNG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5588-2024</t>
        </is>
      </c>
      <c r="B8724" s="1" t="n">
        <v>45334</v>
      </c>
      <c r="C8724" s="1" t="n">
        <v>45710</v>
      </c>
      <c r="D8724" t="inlineStr">
        <is>
          <t>ÖSTERGÖTLANDS LÄN</t>
        </is>
      </c>
      <c r="E8724" t="inlineStr">
        <is>
          <t>FINSPÅNG</t>
        </is>
      </c>
      <c r="G8724" t="n">
        <v>10.7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5586-2024</t>
        </is>
      </c>
      <c r="B8725" s="1" t="n">
        <v>45334</v>
      </c>
      <c r="C8725" s="1" t="n">
        <v>45710</v>
      </c>
      <c r="D8725" t="inlineStr">
        <is>
          <t>ÖSTERGÖTLANDS LÄN</t>
        </is>
      </c>
      <c r="E8725" t="inlineStr">
        <is>
          <t>FINSPÅNG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5672-2024</t>
        </is>
      </c>
      <c r="B8726" s="1" t="n">
        <v>45334</v>
      </c>
      <c r="C8726" s="1" t="n">
        <v>45710</v>
      </c>
      <c r="D8726" t="inlineStr">
        <is>
          <t>ÖSTERGÖTLANDS LÄN</t>
        </is>
      </c>
      <c r="E8726" t="inlineStr">
        <is>
          <t>YDRE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5684-2024</t>
        </is>
      </c>
      <c r="B8727" s="1" t="n">
        <v>45334</v>
      </c>
      <c r="C8727" s="1" t="n">
        <v>45710</v>
      </c>
      <c r="D8727" t="inlineStr">
        <is>
          <t>ÖSTERGÖTLANDS LÄN</t>
        </is>
      </c>
      <c r="E8727" t="inlineStr">
        <is>
          <t>YDRE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5692-2024</t>
        </is>
      </c>
      <c r="B8728" s="1" t="n">
        <v>45334</v>
      </c>
      <c r="C8728" s="1" t="n">
        <v>45710</v>
      </c>
      <c r="D8728" t="inlineStr">
        <is>
          <t>ÖSTERGÖTLANDS LÄN</t>
        </is>
      </c>
      <c r="E8728" t="inlineStr">
        <is>
          <t>YDRE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5598-2024</t>
        </is>
      </c>
      <c r="B8729" s="1" t="n">
        <v>45334</v>
      </c>
      <c r="C8729" s="1" t="n">
        <v>45710</v>
      </c>
      <c r="D8729" t="inlineStr">
        <is>
          <t>ÖSTERGÖTLANDS LÄN</t>
        </is>
      </c>
      <c r="E8729" t="inlineStr">
        <is>
          <t>FINSPÅNG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5687-2024</t>
        </is>
      </c>
      <c r="B8730" s="1" t="n">
        <v>45334</v>
      </c>
      <c r="C8730" s="1" t="n">
        <v>45710</v>
      </c>
      <c r="D8730" t="inlineStr">
        <is>
          <t>ÖSTERGÖTLANDS LÄN</t>
        </is>
      </c>
      <c r="E8730" t="inlineStr">
        <is>
          <t>YDRE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5592-2024</t>
        </is>
      </c>
      <c r="B8731" s="1" t="n">
        <v>45334</v>
      </c>
      <c r="C8731" s="1" t="n">
        <v>45710</v>
      </c>
      <c r="D8731" t="inlineStr">
        <is>
          <t>ÖSTERGÖTLANDS LÄN</t>
        </is>
      </c>
      <c r="E8731" t="inlineStr">
        <is>
          <t>FINSPÅNG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5600-2024</t>
        </is>
      </c>
      <c r="B8732" s="1" t="n">
        <v>45334</v>
      </c>
      <c r="C8732" s="1" t="n">
        <v>45710</v>
      </c>
      <c r="D8732" t="inlineStr">
        <is>
          <t>ÖSTERGÖTLANDS LÄN</t>
        </is>
      </c>
      <c r="E8732" t="inlineStr">
        <is>
          <t>FINSPÅNG</t>
        </is>
      </c>
      <c r="G8732" t="n">
        <v>7.3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5665-2024</t>
        </is>
      </c>
      <c r="B8733" s="1" t="n">
        <v>45334</v>
      </c>
      <c r="C8733" s="1" t="n">
        <v>45710</v>
      </c>
      <c r="D8733" t="inlineStr">
        <is>
          <t>ÖSTERGÖTLANDS LÄN</t>
        </is>
      </c>
      <c r="E8733" t="inlineStr">
        <is>
          <t>YDRE</t>
        </is>
      </c>
      <c r="G8733" t="n">
        <v>4.4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5677-2024</t>
        </is>
      </c>
      <c r="B8734" s="1" t="n">
        <v>45334</v>
      </c>
      <c r="C8734" s="1" t="n">
        <v>45710</v>
      </c>
      <c r="D8734" t="inlineStr">
        <is>
          <t>ÖSTERGÖTLANDS LÄN</t>
        </is>
      </c>
      <c r="E8734" t="inlineStr">
        <is>
          <t>YDRE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5706-2024</t>
        </is>
      </c>
      <c r="B8735" s="1" t="n">
        <v>45334</v>
      </c>
      <c r="C8735" s="1" t="n">
        <v>45710</v>
      </c>
      <c r="D8735" t="inlineStr">
        <is>
          <t>ÖSTERGÖTLANDS LÄN</t>
        </is>
      </c>
      <c r="E8735" t="inlineStr">
        <is>
          <t>KINDA</t>
        </is>
      </c>
      <c r="G8735" t="n">
        <v>5.3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5745-2024</t>
        </is>
      </c>
      <c r="B8736" s="1" t="n">
        <v>45335</v>
      </c>
      <c r="C8736" s="1" t="n">
        <v>45710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5768-2024</t>
        </is>
      </c>
      <c r="B8737" s="1" t="n">
        <v>45335</v>
      </c>
      <c r="C8737" s="1" t="n">
        <v>45710</v>
      </c>
      <c r="D8737" t="inlineStr">
        <is>
          <t>ÖSTERGÖTLANDS LÄN</t>
        </is>
      </c>
      <c r="E8737" t="inlineStr">
        <is>
          <t>MOTALA</t>
        </is>
      </c>
      <c r="F8737" t="inlineStr">
        <is>
          <t>Sveaskog</t>
        </is>
      </c>
      <c r="G8737" t="n">
        <v>11.2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5773-2024</t>
        </is>
      </c>
      <c r="B8738" s="1" t="n">
        <v>45335</v>
      </c>
      <c r="C8738" s="1" t="n">
        <v>45710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Sveaskog</t>
        </is>
      </c>
      <c r="G8738" t="n">
        <v>7.1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5770-2024</t>
        </is>
      </c>
      <c r="B8739" s="1" t="n">
        <v>45335</v>
      </c>
      <c r="C8739" s="1" t="n">
        <v>45710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Sveaskog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5755-2024</t>
        </is>
      </c>
      <c r="B8740" s="1" t="n">
        <v>45335</v>
      </c>
      <c r="C8740" s="1" t="n">
        <v>45710</v>
      </c>
      <c r="D8740" t="inlineStr">
        <is>
          <t>ÖSTERGÖTLANDS LÄN</t>
        </is>
      </c>
      <c r="E8740" t="inlineStr">
        <is>
          <t>FINSPÅNG</t>
        </is>
      </c>
      <c r="F8740" t="inlineStr">
        <is>
          <t>Kyrkan</t>
        </is>
      </c>
      <c r="G8740" t="n">
        <v>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5767-2024</t>
        </is>
      </c>
      <c r="B8741" s="1" t="n">
        <v>45335</v>
      </c>
      <c r="C8741" s="1" t="n">
        <v>45710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Sveaskog</t>
        </is>
      </c>
      <c r="G8741" t="n">
        <v>11.2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5775-2024</t>
        </is>
      </c>
      <c r="B8742" s="1" t="n">
        <v>45335</v>
      </c>
      <c r="C8742" s="1" t="n">
        <v>45710</v>
      </c>
      <c r="D8742" t="inlineStr">
        <is>
          <t>ÖSTERGÖTLANDS LÄN</t>
        </is>
      </c>
      <c r="E8742" t="inlineStr">
        <is>
          <t>FINSPÅNG</t>
        </is>
      </c>
      <c r="G8742" t="n">
        <v>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5819-2024</t>
        </is>
      </c>
      <c r="B8743" s="1" t="n">
        <v>45335</v>
      </c>
      <c r="C8743" s="1" t="n">
        <v>45710</v>
      </c>
      <c r="D8743" t="inlineStr">
        <is>
          <t>ÖSTERGÖTLANDS LÄN</t>
        </is>
      </c>
      <c r="E8743" t="inlineStr">
        <is>
          <t>ÖDESHÖG</t>
        </is>
      </c>
      <c r="F8743" t="inlineStr">
        <is>
          <t>Allmännings- och besparingsskogar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5843-2024</t>
        </is>
      </c>
      <c r="B8744" s="1" t="n">
        <v>45335</v>
      </c>
      <c r="C8744" s="1" t="n">
        <v>45710</v>
      </c>
      <c r="D8744" t="inlineStr">
        <is>
          <t>ÖSTERGÖTLANDS LÄN</t>
        </is>
      </c>
      <c r="E8744" t="inlineStr">
        <is>
          <t>YDRE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5824-2024</t>
        </is>
      </c>
      <c r="B8745" s="1" t="n">
        <v>45335</v>
      </c>
      <c r="C8745" s="1" t="n">
        <v>45710</v>
      </c>
      <c r="D8745" t="inlineStr">
        <is>
          <t>ÖSTERGÖTLANDS LÄN</t>
        </is>
      </c>
      <c r="E8745" t="inlineStr">
        <is>
          <t>BOXHOLM</t>
        </is>
      </c>
      <c r="F8745" t="inlineStr">
        <is>
          <t>Allmännings- och besparingsskogar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5840-2024</t>
        </is>
      </c>
      <c r="B8746" s="1" t="n">
        <v>45335</v>
      </c>
      <c r="C8746" s="1" t="n">
        <v>45710</v>
      </c>
      <c r="D8746" t="inlineStr">
        <is>
          <t>ÖSTERGÖTLANDS LÄN</t>
        </is>
      </c>
      <c r="E8746" t="inlineStr">
        <is>
          <t>YDRE</t>
        </is>
      </c>
      <c r="G8746" t="n">
        <v>0.2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5878-2024</t>
        </is>
      </c>
      <c r="B8747" s="1" t="n">
        <v>45335</v>
      </c>
      <c r="C8747" s="1" t="n">
        <v>45710</v>
      </c>
      <c r="D8747" t="inlineStr">
        <is>
          <t>ÖSTERGÖTLANDS LÄN</t>
        </is>
      </c>
      <c r="E8747" t="inlineStr">
        <is>
          <t>ÖDESHÖG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5895-2024</t>
        </is>
      </c>
      <c r="B8748" s="1" t="n">
        <v>45335</v>
      </c>
      <c r="C8748" s="1" t="n">
        <v>45710</v>
      </c>
      <c r="D8748" t="inlineStr">
        <is>
          <t>ÖSTERGÖTLANDS LÄN</t>
        </is>
      </c>
      <c r="E8748" t="inlineStr">
        <is>
          <t>VALDEMARSVIK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5889-2024</t>
        </is>
      </c>
      <c r="B8749" s="1" t="n">
        <v>45335</v>
      </c>
      <c r="C8749" s="1" t="n">
        <v>45710</v>
      </c>
      <c r="D8749" t="inlineStr">
        <is>
          <t>ÖSTERGÖTLANDS LÄN</t>
        </is>
      </c>
      <c r="E8749" t="inlineStr">
        <is>
          <t>VALDEMARSVIK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5941-2024</t>
        </is>
      </c>
      <c r="B8750" s="1" t="n">
        <v>45336</v>
      </c>
      <c r="C8750" s="1" t="n">
        <v>45710</v>
      </c>
      <c r="D8750" t="inlineStr">
        <is>
          <t>ÖSTERGÖTLANDS LÄN</t>
        </is>
      </c>
      <c r="E8750" t="inlineStr">
        <is>
          <t>NORRKÖPING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5938-2024</t>
        </is>
      </c>
      <c r="B8751" s="1" t="n">
        <v>45336</v>
      </c>
      <c r="C8751" s="1" t="n">
        <v>45710</v>
      </c>
      <c r="D8751" t="inlineStr">
        <is>
          <t>ÖSTERGÖTLANDS LÄN</t>
        </is>
      </c>
      <c r="E8751" t="inlineStr">
        <is>
          <t>NORRKÖPING</t>
        </is>
      </c>
      <c r="G8751" t="n">
        <v>5.2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6022-2024</t>
        </is>
      </c>
      <c r="B8752" s="1" t="n">
        <v>45336</v>
      </c>
      <c r="C8752" s="1" t="n">
        <v>45710</v>
      </c>
      <c r="D8752" t="inlineStr">
        <is>
          <t>ÖSTERGÖTLANDS LÄN</t>
        </is>
      </c>
      <c r="E8752" t="inlineStr">
        <is>
          <t>VALDEMARSVIK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6004-2024</t>
        </is>
      </c>
      <c r="B8753" s="1" t="n">
        <v>45336</v>
      </c>
      <c r="C8753" s="1" t="n">
        <v>45710</v>
      </c>
      <c r="D8753" t="inlineStr">
        <is>
          <t>ÖSTERGÖTLANDS LÄN</t>
        </is>
      </c>
      <c r="E8753" t="inlineStr">
        <is>
          <t>VALDEMARSVIK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6033-2024</t>
        </is>
      </c>
      <c r="B8754" s="1" t="n">
        <v>45336</v>
      </c>
      <c r="C8754" s="1" t="n">
        <v>45710</v>
      </c>
      <c r="D8754" t="inlineStr">
        <is>
          <t>ÖSTERGÖTLANDS LÄN</t>
        </is>
      </c>
      <c r="E8754" t="inlineStr">
        <is>
          <t>VALDEMARSVIK</t>
        </is>
      </c>
      <c r="G8754" t="n">
        <v>3.6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6039-2024</t>
        </is>
      </c>
      <c r="B8755" s="1" t="n">
        <v>45336</v>
      </c>
      <c r="C8755" s="1" t="n">
        <v>45710</v>
      </c>
      <c r="D8755" t="inlineStr">
        <is>
          <t>ÖSTERGÖTLANDS LÄN</t>
        </is>
      </c>
      <c r="E8755" t="inlineStr">
        <is>
          <t>VALDEMARSVIK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6194-2024</t>
        </is>
      </c>
      <c r="B8756" s="1" t="n">
        <v>45337</v>
      </c>
      <c r="C8756" s="1" t="n">
        <v>45710</v>
      </c>
      <c r="D8756" t="inlineStr">
        <is>
          <t>ÖSTERGÖTLANDS LÄN</t>
        </is>
      </c>
      <c r="E8756" t="inlineStr">
        <is>
          <t>VALDEMARSVIK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6159-2024</t>
        </is>
      </c>
      <c r="B8757" s="1" t="n">
        <v>45337</v>
      </c>
      <c r="C8757" s="1" t="n">
        <v>45710</v>
      </c>
      <c r="D8757" t="inlineStr">
        <is>
          <t>ÖSTERGÖTLANDS LÄN</t>
        </is>
      </c>
      <c r="E8757" t="inlineStr">
        <is>
          <t>KINDA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6206-2024</t>
        </is>
      </c>
      <c r="B8758" s="1" t="n">
        <v>45337</v>
      </c>
      <c r="C8758" s="1" t="n">
        <v>45710</v>
      </c>
      <c r="D8758" t="inlineStr">
        <is>
          <t>ÖSTERGÖTLANDS LÄN</t>
        </is>
      </c>
      <c r="E8758" t="inlineStr">
        <is>
          <t>LINKÖPING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6176-2024</t>
        </is>
      </c>
      <c r="B8759" s="1" t="n">
        <v>45337</v>
      </c>
      <c r="C8759" s="1" t="n">
        <v>45710</v>
      </c>
      <c r="D8759" t="inlineStr">
        <is>
          <t>ÖSTERGÖTLANDS LÄN</t>
        </is>
      </c>
      <c r="E8759" t="inlineStr">
        <is>
          <t>FINSPÅNG</t>
        </is>
      </c>
      <c r="F8759" t="inlineStr">
        <is>
          <t>Kyrkan</t>
        </is>
      </c>
      <c r="G8759" t="n">
        <v>3.9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6189-2024</t>
        </is>
      </c>
      <c r="B8760" s="1" t="n">
        <v>45337</v>
      </c>
      <c r="C8760" s="1" t="n">
        <v>45710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Kyrkan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6209-2024</t>
        </is>
      </c>
      <c r="B8761" s="1" t="n">
        <v>45337</v>
      </c>
      <c r="C8761" s="1" t="n">
        <v>45710</v>
      </c>
      <c r="D8761" t="inlineStr">
        <is>
          <t>ÖSTERGÖTLANDS LÄN</t>
        </is>
      </c>
      <c r="E8761" t="inlineStr">
        <is>
          <t>BOXHOLM</t>
        </is>
      </c>
      <c r="G8761" t="n">
        <v>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6131-2024</t>
        </is>
      </c>
      <c r="B8762" s="1" t="n">
        <v>45337</v>
      </c>
      <c r="C8762" s="1" t="n">
        <v>45710</v>
      </c>
      <c r="D8762" t="inlineStr">
        <is>
          <t>ÖSTERGÖTLANDS LÄN</t>
        </is>
      </c>
      <c r="E8762" t="inlineStr">
        <is>
          <t>VALDEMARSVIK</t>
        </is>
      </c>
      <c r="G8762" t="n">
        <v>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6156-2024</t>
        </is>
      </c>
      <c r="B8763" s="1" t="n">
        <v>45337</v>
      </c>
      <c r="C8763" s="1" t="n">
        <v>45710</v>
      </c>
      <c r="D8763" t="inlineStr">
        <is>
          <t>ÖSTERGÖTLANDS LÄN</t>
        </is>
      </c>
      <c r="E8763" t="inlineStr">
        <is>
          <t>KINDA</t>
        </is>
      </c>
      <c r="G8763" t="n">
        <v>2.4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6164-2024</t>
        </is>
      </c>
      <c r="B8764" s="1" t="n">
        <v>45337</v>
      </c>
      <c r="C8764" s="1" t="n">
        <v>45710</v>
      </c>
      <c r="D8764" t="inlineStr">
        <is>
          <t>ÖSTERGÖTLANDS LÄN</t>
        </is>
      </c>
      <c r="E8764" t="inlineStr">
        <is>
          <t>ÖDESHÖG</t>
        </is>
      </c>
      <c r="G8764" t="n">
        <v>2.6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6170-2024</t>
        </is>
      </c>
      <c r="B8765" s="1" t="n">
        <v>45337</v>
      </c>
      <c r="C8765" s="1" t="n">
        <v>45710</v>
      </c>
      <c r="D8765" t="inlineStr">
        <is>
          <t>ÖSTERGÖTLANDS LÄN</t>
        </is>
      </c>
      <c r="E8765" t="inlineStr">
        <is>
          <t>VALDEMARSVIK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6196-2024</t>
        </is>
      </c>
      <c r="B8766" s="1" t="n">
        <v>45337</v>
      </c>
      <c r="C8766" s="1" t="n">
        <v>45710</v>
      </c>
      <c r="D8766" t="inlineStr">
        <is>
          <t>ÖSTERGÖTLANDS LÄN</t>
        </is>
      </c>
      <c r="E8766" t="inlineStr">
        <is>
          <t>ÖDESHÖG</t>
        </is>
      </c>
      <c r="G8766" t="n">
        <v>4.7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6204-2024</t>
        </is>
      </c>
      <c r="B8767" s="1" t="n">
        <v>45337</v>
      </c>
      <c r="C8767" s="1" t="n">
        <v>45710</v>
      </c>
      <c r="D8767" t="inlineStr">
        <is>
          <t>ÖSTERGÖTLANDS LÄN</t>
        </is>
      </c>
      <c r="E8767" t="inlineStr">
        <is>
          <t>LINKÖPING</t>
        </is>
      </c>
      <c r="G8767" t="n">
        <v>3.4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6251-2024</t>
        </is>
      </c>
      <c r="B8768" s="1" t="n">
        <v>45337</v>
      </c>
      <c r="C8768" s="1" t="n">
        <v>45710</v>
      </c>
      <c r="D8768" t="inlineStr">
        <is>
          <t>ÖSTERGÖTLANDS LÄN</t>
        </is>
      </c>
      <c r="E8768" t="inlineStr">
        <is>
          <t>ÅTVIDABERG</t>
        </is>
      </c>
      <c r="G8768" t="n">
        <v>4.5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6126-2024</t>
        </is>
      </c>
      <c r="B8769" s="1" t="n">
        <v>45337</v>
      </c>
      <c r="C8769" s="1" t="n">
        <v>45710</v>
      </c>
      <c r="D8769" t="inlineStr">
        <is>
          <t>ÖSTERGÖTLANDS LÄN</t>
        </is>
      </c>
      <c r="E8769" t="inlineStr">
        <is>
          <t>VALDEMARSVIK</t>
        </is>
      </c>
      <c r="G8769" t="n">
        <v>1.4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6108-2024</t>
        </is>
      </c>
      <c r="B8770" s="1" t="n">
        <v>45337</v>
      </c>
      <c r="C8770" s="1" t="n">
        <v>45710</v>
      </c>
      <c r="D8770" t="inlineStr">
        <is>
          <t>ÖSTERGÖTLANDS LÄN</t>
        </is>
      </c>
      <c r="E8770" t="inlineStr">
        <is>
          <t>FINSPÅNG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6105-2024</t>
        </is>
      </c>
      <c r="B8771" s="1" t="n">
        <v>45337</v>
      </c>
      <c r="C8771" s="1" t="n">
        <v>45710</v>
      </c>
      <c r="D8771" t="inlineStr">
        <is>
          <t>ÖSTERGÖTLANDS LÄN</t>
        </is>
      </c>
      <c r="E8771" t="inlineStr">
        <is>
          <t>FINSPÅNG</t>
        </is>
      </c>
      <c r="G8771" t="n">
        <v>0.5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6375-2024</t>
        </is>
      </c>
      <c r="B8772" s="1" t="n">
        <v>45338</v>
      </c>
      <c r="C8772" s="1" t="n">
        <v>45710</v>
      </c>
      <c r="D8772" t="inlineStr">
        <is>
          <t>ÖSTERGÖTLANDS LÄN</t>
        </is>
      </c>
      <c r="E8772" t="inlineStr">
        <is>
          <t>SÖDERKÖPING</t>
        </is>
      </c>
      <c r="G8772" t="n">
        <v>1.5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6415-2024</t>
        </is>
      </c>
      <c r="B8773" s="1" t="n">
        <v>45338</v>
      </c>
      <c r="C8773" s="1" t="n">
        <v>45710</v>
      </c>
      <c r="D8773" t="inlineStr">
        <is>
          <t>ÖSTERGÖTLANDS LÄN</t>
        </is>
      </c>
      <c r="E8773" t="inlineStr">
        <is>
          <t>NORRKÖPING</t>
        </is>
      </c>
      <c r="G8773" t="n">
        <v>5.9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6408-2024</t>
        </is>
      </c>
      <c r="B8774" s="1" t="n">
        <v>45338</v>
      </c>
      <c r="C8774" s="1" t="n">
        <v>45710</v>
      </c>
      <c r="D8774" t="inlineStr">
        <is>
          <t>ÖSTERGÖTLANDS LÄN</t>
        </is>
      </c>
      <c r="E8774" t="inlineStr">
        <is>
          <t>NORRKÖPING</t>
        </is>
      </c>
      <c r="G8774" t="n">
        <v>3.5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6449-2024</t>
        </is>
      </c>
      <c r="B8775" s="1" t="n">
        <v>45338</v>
      </c>
      <c r="C8775" s="1" t="n">
        <v>45710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Holmen skog AB</t>
        </is>
      </c>
      <c r="G8775" t="n">
        <v>5.5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6489-2024</t>
        </is>
      </c>
      <c r="B8776" s="1" t="n">
        <v>45339</v>
      </c>
      <c r="C8776" s="1" t="n">
        <v>45710</v>
      </c>
      <c r="D8776" t="inlineStr">
        <is>
          <t>ÖSTERGÖTLANDS LÄN</t>
        </is>
      </c>
      <c r="E8776" t="inlineStr">
        <is>
          <t>NORRKÖPING</t>
        </is>
      </c>
      <c r="G8776" t="n">
        <v>6.9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6486-2024</t>
        </is>
      </c>
      <c r="B8777" s="1" t="n">
        <v>45339</v>
      </c>
      <c r="C8777" s="1" t="n">
        <v>45710</v>
      </c>
      <c r="D8777" t="inlineStr">
        <is>
          <t>ÖSTERGÖTLANDS LÄN</t>
        </is>
      </c>
      <c r="E8777" t="inlineStr">
        <is>
          <t>NORRKÖPING</t>
        </is>
      </c>
      <c r="G8777" t="n">
        <v>2.8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6490-2024</t>
        </is>
      </c>
      <c r="B8778" s="1" t="n">
        <v>45339</v>
      </c>
      <c r="C8778" s="1" t="n">
        <v>45710</v>
      </c>
      <c r="D8778" t="inlineStr">
        <is>
          <t>ÖSTERGÖTLANDS LÄN</t>
        </is>
      </c>
      <c r="E8778" t="inlineStr">
        <is>
          <t>NORRKÖPING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6498-2024</t>
        </is>
      </c>
      <c r="B8779" s="1" t="n">
        <v>45339</v>
      </c>
      <c r="C8779" s="1" t="n">
        <v>45710</v>
      </c>
      <c r="D8779" t="inlineStr">
        <is>
          <t>ÖSTERGÖTLANDS LÄN</t>
        </is>
      </c>
      <c r="E8779" t="inlineStr">
        <is>
          <t>VALDEMARSVIK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6502-2024</t>
        </is>
      </c>
      <c r="B8780" s="1" t="n">
        <v>45339</v>
      </c>
      <c r="C8780" s="1" t="n">
        <v>45710</v>
      </c>
      <c r="D8780" t="inlineStr">
        <is>
          <t>ÖSTERGÖTLANDS LÄN</t>
        </is>
      </c>
      <c r="E8780" t="inlineStr">
        <is>
          <t>VALDEMARSVIK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6488-2024</t>
        </is>
      </c>
      <c r="B8781" s="1" t="n">
        <v>45339</v>
      </c>
      <c r="C8781" s="1" t="n">
        <v>45710</v>
      </c>
      <c r="D8781" t="inlineStr">
        <is>
          <t>ÖSTERGÖTLANDS LÄN</t>
        </is>
      </c>
      <c r="E8781" t="inlineStr">
        <is>
          <t>NORRKÖPING</t>
        </is>
      </c>
      <c r="G8781" t="n">
        <v>5.9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6487-2024</t>
        </is>
      </c>
      <c r="B8782" s="1" t="n">
        <v>45339</v>
      </c>
      <c r="C8782" s="1" t="n">
        <v>45710</v>
      </c>
      <c r="D8782" t="inlineStr">
        <is>
          <t>ÖSTERGÖTLANDS LÄN</t>
        </is>
      </c>
      <c r="E8782" t="inlineStr">
        <is>
          <t>NORRKÖPING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6545-2024</t>
        </is>
      </c>
      <c r="B8783" s="1" t="n">
        <v>45341</v>
      </c>
      <c r="C8783" s="1" t="n">
        <v>45710</v>
      </c>
      <c r="D8783" t="inlineStr">
        <is>
          <t>ÖSTERGÖTLANDS LÄN</t>
        </is>
      </c>
      <c r="E8783" t="inlineStr">
        <is>
          <t>KINDA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6561-2024</t>
        </is>
      </c>
      <c r="B8784" s="1" t="n">
        <v>45341</v>
      </c>
      <c r="C8784" s="1" t="n">
        <v>45710</v>
      </c>
      <c r="D8784" t="inlineStr">
        <is>
          <t>ÖSTERGÖTLANDS LÄN</t>
        </is>
      </c>
      <c r="E8784" t="inlineStr">
        <is>
          <t>KINDA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6580-2024</t>
        </is>
      </c>
      <c r="B8785" s="1" t="n">
        <v>45341</v>
      </c>
      <c r="C8785" s="1" t="n">
        <v>45710</v>
      </c>
      <c r="D8785" t="inlineStr">
        <is>
          <t>ÖSTERGÖTLANDS LÄN</t>
        </is>
      </c>
      <c r="E8785" t="inlineStr">
        <is>
          <t>LINKÖPING</t>
        </is>
      </c>
      <c r="G8785" t="n">
        <v>2.1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6546-2024</t>
        </is>
      </c>
      <c r="B8786" s="1" t="n">
        <v>45341</v>
      </c>
      <c r="C8786" s="1" t="n">
        <v>45710</v>
      </c>
      <c r="D8786" t="inlineStr">
        <is>
          <t>ÖSTERGÖTLANDS LÄN</t>
        </is>
      </c>
      <c r="E8786" t="inlineStr">
        <is>
          <t>KINDA</t>
        </is>
      </c>
      <c r="G8786" t="n">
        <v>0.8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6575-2024</t>
        </is>
      </c>
      <c r="B8787" s="1" t="n">
        <v>45341</v>
      </c>
      <c r="C8787" s="1" t="n">
        <v>45710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Övriga Aktiebolag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6613-2024</t>
        </is>
      </c>
      <c r="B8788" s="1" t="n">
        <v>45341</v>
      </c>
      <c r="C8788" s="1" t="n">
        <v>45710</v>
      </c>
      <c r="D8788" t="inlineStr">
        <is>
          <t>ÖSTERGÖTLANDS LÄN</t>
        </is>
      </c>
      <c r="E8788" t="inlineStr">
        <is>
          <t>YDRE</t>
        </is>
      </c>
      <c r="F8788" t="inlineStr">
        <is>
          <t>Sveaskog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6726-2024</t>
        </is>
      </c>
      <c r="B8789" s="1" t="n">
        <v>45341</v>
      </c>
      <c r="C8789" s="1" t="n">
        <v>45710</v>
      </c>
      <c r="D8789" t="inlineStr">
        <is>
          <t>ÖSTERGÖTLANDS LÄN</t>
        </is>
      </c>
      <c r="E8789" t="inlineStr">
        <is>
          <t>LINKÖPING</t>
        </is>
      </c>
      <c r="G8789" t="n">
        <v>2.7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6705-2024</t>
        </is>
      </c>
      <c r="B8790" s="1" t="n">
        <v>45342</v>
      </c>
      <c r="C8790" s="1" t="n">
        <v>45710</v>
      </c>
      <c r="D8790" t="inlineStr">
        <is>
          <t>ÖSTERGÖTLANDS LÄN</t>
        </is>
      </c>
      <c r="E8790" t="inlineStr">
        <is>
          <t>ÖDESHÖG</t>
        </is>
      </c>
      <c r="F8790" t="inlineStr">
        <is>
          <t>Allmännings- och besparingsskogar</t>
        </is>
      </c>
      <c r="G8790" t="n">
        <v>8.300000000000001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6782-2024</t>
        </is>
      </c>
      <c r="B8791" s="1" t="n">
        <v>45342</v>
      </c>
      <c r="C8791" s="1" t="n">
        <v>45710</v>
      </c>
      <c r="D8791" t="inlineStr">
        <is>
          <t>ÖSTERGÖTLANDS LÄN</t>
        </is>
      </c>
      <c r="E8791" t="inlineStr">
        <is>
          <t>LINKÖPING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6790-2024</t>
        </is>
      </c>
      <c r="B8792" s="1" t="n">
        <v>45342</v>
      </c>
      <c r="C8792" s="1" t="n">
        <v>45710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Kyrkan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6781-2024</t>
        </is>
      </c>
      <c r="B8793" s="1" t="n">
        <v>45342</v>
      </c>
      <c r="C8793" s="1" t="n">
        <v>45710</v>
      </c>
      <c r="D8793" t="inlineStr">
        <is>
          <t>ÖSTERGÖTLANDS LÄN</t>
        </is>
      </c>
      <c r="E8793" t="inlineStr">
        <is>
          <t>LINKÖPING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6785-2024</t>
        </is>
      </c>
      <c r="B8794" s="1" t="n">
        <v>45342</v>
      </c>
      <c r="C8794" s="1" t="n">
        <v>45710</v>
      </c>
      <c r="D8794" t="inlineStr">
        <is>
          <t>ÖSTERGÖTLANDS LÄN</t>
        </is>
      </c>
      <c r="E8794" t="inlineStr">
        <is>
          <t>MJÖLBY</t>
        </is>
      </c>
      <c r="F8794" t="inlineStr">
        <is>
          <t>Kyrkan</t>
        </is>
      </c>
      <c r="G8794" t="n">
        <v>3.5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6884-2024</t>
        </is>
      </c>
      <c r="B8795" s="1" t="n">
        <v>45342</v>
      </c>
      <c r="C8795" s="1" t="n">
        <v>45710</v>
      </c>
      <c r="D8795" t="inlineStr">
        <is>
          <t>ÖSTERGÖTLANDS LÄN</t>
        </is>
      </c>
      <c r="E8795" t="inlineStr">
        <is>
          <t>BOXHOLM</t>
        </is>
      </c>
      <c r="G8795" t="n">
        <v>2.5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6859-2024</t>
        </is>
      </c>
      <c r="B8796" s="1" t="n">
        <v>45342</v>
      </c>
      <c r="C8796" s="1" t="n">
        <v>45710</v>
      </c>
      <c r="D8796" t="inlineStr">
        <is>
          <t>ÖSTERGÖTLANDS LÄN</t>
        </is>
      </c>
      <c r="E8796" t="inlineStr">
        <is>
          <t>LINKÖPING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6883-2024</t>
        </is>
      </c>
      <c r="B8797" s="1" t="n">
        <v>45342</v>
      </c>
      <c r="C8797" s="1" t="n">
        <v>45710</v>
      </c>
      <c r="D8797" t="inlineStr">
        <is>
          <t>ÖSTERGÖTLANDS LÄN</t>
        </is>
      </c>
      <c r="E8797" t="inlineStr">
        <is>
          <t>BOXHOLM</t>
        </is>
      </c>
      <c r="G8797" t="n">
        <v>5.7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6858-2024</t>
        </is>
      </c>
      <c r="B8798" s="1" t="n">
        <v>45342</v>
      </c>
      <c r="C8798" s="1" t="n">
        <v>45710</v>
      </c>
      <c r="D8798" t="inlineStr">
        <is>
          <t>ÖSTERGÖTLANDS LÄN</t>
        </is>
      </c>
      <c r="E8798" t="inlineStr">
        <is>
          <t>LINKÖPING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6925-2024</t>
        </is>
      </c>
      <c r="B8799" s="1" t="n">
        <v>45343</v>
      </c>
      <c r="C8799" s="1" t="n">
        <v>45710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6954-2024</t>
        </is>
      </c>
      <c r="B8800" s="1" t="n">
        <v>45343</v>
      </c>
      <c r="C8800" s="1" t="n">
        <v>45710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7037-2024</t>
        </is>
      </c>
      <c r="B8801" s="1" t="n">
        <v>45343</v>
      </c>
      <c r="C8801" s="1" t="n">
        <v>45710</v>
      </c>
      <c r="D8801" t="inlineStr">
        <is>
          <t>ÖSTERGÖTLANDS LÄN</t>
        </is>
      </c>
      <c r="E8801" t="inlineStr">
        <is>
          <t>MOTALA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7041-2024</t>
        </is>
      </c>
      <c r="B8802" s="1" t="n">
        <v>45343</v>
      </c>
      <c r="C8802" s="1" t="n">
        <v>45710</v>
      </c>
      <c r="D8802" t="inlineStr">
        <is>
          <t>ÖSTERGÖTLANDS LÄN</t>
        </is>
      </c>
      <c r="E8802" t="inlineStr">
        <is>
          <t>MOTALA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7022-2024</t>
        </is>
      </c>
      <c r="B8803" s="1" t="n">
        <v>45343</v>
      </c>
      <c r="C8803" s="1" t="n">
        <v>45710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Holmen skog AB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7039-2024</t>
        </is>
      </c>
      <c r="B8804" s="1" t="n">
        <v>45343</v>
      </c>
      <c r="C8804" s="1" t="n">
        <v>45710</v>
      </c>
      <c r="D8804" t="inlineStr">
        <is>
          <t>ÖSTERGÖTLANDS LÄN</t>
        </is>
      </c>
      <c r="E8804" t="inlineStr">
        <is>
          <t>BOXHOLM</t>
        </is>
      </c>
      <c r="F8804" t="inlineStr">
        <is>
          <t>Övriga Aktiebolag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7044-2024</t>
        </is>
      </c>
      <c r="B8805" s="1" t="n">
        <v>45343</v>
      </c>
      <c r="C8805" s="1" t="n">
        <v>45710</v>
      </c>
      <c r="D8805" t="inlineStr">
        <is>
          <t>ÖSTERGÖTLANDS LÄN</t>
        </is>
      </c>
      <c r="E8805" t="inlineStr">
        <is>
          <t>MOTALA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7034-2024</t>
        </is>
      </c>
      <c r="B8806" s="1" t="n">
        <v>45343</v>
      </c>
      <c r="C8806" s="1" t="n">
        <v>45710</v>
      </c>
      <c r="D8806" t="inlineStr">
        <is>
          <t>ÖSTERGÖTLANDS LÄN</t>
        </is>
      </c>
      <c r="E8806" t="inlineStr">
        <is>
          <t>MOTALA</t>
        </is>
      </c>
      <c r="G8806" t="n">
        <v>2.9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7042-2024</t>
        </is>
      </c>
      <c r="B8807" s="1" t="n">
        <v>45343</v>
      </c>
      <c r="C8807" s="1" t="n">
        <v>45710</v>
      </c>
      <c r="D8807" t="inlineStr">
        <is>
          <t>ÖSTERGÖTLANDS LÄN</t>
        </is>
      </c>
      <c r="E8807" t="inlineStr">
        <is>
          <t>MOTALA</t>
        </is>
      </c>
      <c r="G8807" t="n">
        <v>3.3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7051-2024</t>
        </is>
      </c>
      <c r="B8808" s="1" t="n">
        <v>45343</v>
      </c>
      <c r="C8808" s="1" t="n">
        <v>45710</v>
      </c>
      <c r="D8808" t="inlineStr">
        <is>
          <t>ÖSTERGÖTLANDS LÄN</t>
        </is>
      </c>
      <c r="E8808" t="inlineStr">
        <is>
          <t>MOTALA</t>
        </is>
      </c>
      <c r="G8808" t="n">
        <v>4.7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7061-2024</t>
        </is>
      </c>
      <c r="B8809" s="1" t="n">
        <v>45343</v>
      </c>
      <c r="C8809" s="1" t="n">
        <v>45710</v>
      </c>
      <c r="D8809" t="inlineStr">
        <is>
          <t>ÖSTERGÖTLANDS LÄN</t>
        </is>
      </c>
      <c r="E8809" t="inlineStr">
        <is>
          <t>BOXHOLM</t>
        </is>
      </c>
      <c r="F8809" t="inlineStr">
        <is>
          <t>Allmännings- och besparingsskogar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7058-2024</t>
        </is>
      </c>
      <c r="B8810" s="1" t="n">
        <v>45343</v>
      </c>
      <c r="C8810" s="1" t="n">
        <v>45710</v>
      </c>
      <c r="D8810" t="inlineStr">
        <is>
          <t>ÖSTERGÖTLANDS LÄN</t>
        </is>
      </c>
      <c r="E8810" t="inlineStr">
        <is>
          <t>MOTALA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7091-2024</t>
        </is>
      </c>
      <c r="B8811" s="1" t="n">
        <v>45343</v>
      </c>
      <c r="C8811" s="1" t="n">
        <v>45710</v>
      </c>
      <c r="D8811" t="inlineStr">
        <is>
          <t>ÖSTERGÖTLANDS LÄN</t>
        </is>
      </c>
      <c r="E8811" t="inlineStr">
        <is>
          <t>ÅTVIDABERG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7237-2024</t>
        </is>
      </c>
      <c r="B8812" s="1" t="n">
        <v>45344</v>
      </c>
      <c r="C8812" s="1" t="n">
        <v>45710</v>
      </c>
      <c r="D8812" t="inlineStr">
        <is>
          <t>ÖSTERGÖTLANDS LÄN</t>
        </is>
      </c>
      <c r="E8812" t="inlineStr">
        <is>
          <t>VALDEMARSVIK</t>
        </is>
      </c>
      <c r="G8812" t="n">
        <v>0.4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7265-2024</t>
        </is>
      </c>
      <c r="B8813" s="1" t="n">
        <v>45344</v>
      </c>
      <c r="C8813" s="1" t="n">
        <v>45710</v>
      </c>
      <c r="D8813" t="inlineStr">
        <is>
          <t>ÖSTERGÖTLANDS LÄN</t>
        </is>
      </c>
      <c r="E8813" t="inlineStr">
        <is>
          <t>FINSPÅNG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7162-2024</t>
        </is>
      </c>
      <c r="B8814" s="1" t="n">
        <v>45344</v>
      </c>
      <c r="C8814" s="1" t="n">
        <v>45710</v>
      </c>
      <c r="D8814" t="inlineStr">
        <is>
          <t>ÖSTERGÖTLANDS LÄN</t>
        </is>
      </c>
      <c r="E8814" t="inlineStr">
        <is>
          <t>ÖDESHÖG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7203-2024</t>
        </is>
      </c>
      <c r="B8815" s="1" t="n">
        <v>45344</v>
      </c>
      <c r="C8815" s="1" t="n">
        <v>45710</v>
      </c>
      <c r="D8815" t="inlineStr">
        <is>
          <t>ÖSTERGÖTLANDS LÄN</t>
        </is>
      </c>
      <c r="E8815" t="inlineStr">
        <is>
          <t>MJÖLBY</t>
        </is>
      </c>
      <c r="F8815" t="inlineStr">
        <is>
          <t>Kommuner</t>
        </is>
      </c>
      <c r="G8815" t="n">
        <v>3.7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7231-2024</t>
        </is>
      </c>
      <c r="B8816" s="1" t="n">
        <v>45344</v>
      </c>
      <c r="C8816" s="1" t="n">
        <v>45710</v>
      </c>
      <c r="D8816" t="inlineStr">
        <is>
          <t>ÖSTERGÖTLANDS LÄN</t>
        </is>
      </c>
      <c r="E8816" t="inlineStr">
        <is>
          <t>MOTALA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7271-2024</t>
        </is>
      </c>
      <c r="B8817" s="1" t="n">
        <v>45344</v>
      </c>
      <c r="C8817" s="1" t="n">
        <v>45710</v>
      </c>
      <c r="D8817" t="inlineStr">
        <is>
          <t>ÖSTERGÖTLANDS LÄN</t>
        </is>
      </c>
      <c r="E8817" t="inlineStr">
        <is>
          <t>FINSPÅNG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7269-2024</t>
        </is>
      </c>
      <c r="B8818" s="1" t="n">
        <v>45344</v>
      </c>
      <c r="C8818" s="1" t="n">
        <v>45710</v>
      </c>
      <c r="D8818" t="inlineStr">
        <is>
          <t>ÖSTERGÖTLANDS LÄN</t>
        </is>
      </c>
      <c r="E8818" t="inlineStr">
        <is>
          <t>FINSPÅNG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7273-2024</t>
        </is>
      </c>
      <c r="B8819" s="1" t="n">
        <v>45344</v>
      </c>
      <c r="C8819" s="1" t="n">
        <v>45710</v>
      </c>
      <c r="D8819" t="inlineStr">
        <is>
          <t>ÖSTERGÖTLANDS LÄN</t>
        </is>
      </c>
      <c r="E8819" t="inlineStr">
        <is>
          <t>FINSPÅNG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7208-2024</t>
        </is>
      </c>
      <c r="B8820" s="1" t="n">
        <v>45344</v>
      </c>
      <c r="C8820" s="1" t="n">
        <v>45710</v>
      </c>
      <c r="D8820" t="inlineStr">
        <is>
          <t>ÖSTERGÖTLANDS LÄN</t>
        </is>
      </c>
      <c r="E8820" t="inlineStr">
        <is>
          <t>SÖDERKÖPING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7268-2024</t>
        </is>
      </c>
      <c r="B8821" s="1" t="n">
        <v>45344</v>
      </c>
      <c r="C8821" s="1" t="n">
        <v>45710</v>
      </c>
      <c r="D8821" t="inlineStr">
        <is>
          <t>ÖSTERGÖTLANDS LÄN</t>
        </is>
      </c>
      <c r="E8821" t="inlineStr">
        <is>
          <t>FINSPÅNG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7272-2024</t>
        </is>
      </c>
      <c r="B8822" s="1" t="n">
        <v>45344</v>
      </c>
      <c r="C8822" s="1" t="n">
        <v>45710</v>
      </c>
      <c r="D8822" t="inlineStr">
        <is>
          <t>ÖSTERGÖTLANDS LÄN</t>
        </is>
      </c>
      <c r="E8822" t="inlineStr">
        <is>
          <t>FINSPÅNG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7336-2024</t>
        </is>
      </c>
      <c r="B8823" s="1" t="n">
        <v>45345</v>
      </c>
      <c r="C8823" s="1" t="n">
        <v>45710</v>
      </c>
      <c r="D8823" t="inlineStr">
        <is>
          <t>ÖSTERGÖTLANDS LÄN</t>
        </is>
      </c>
      <c r="E8823" t="inlineStr">
        <is>
          <t>ÖDESHÖG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7321-2024</t>
        </is>
      </c>
      <c r="B8824" s="1" t="n">
        <v>45345</v>
      </c>
      <c r="C8824" s="1" t="n">
        <v>45710</v>
      </c>
      <c r="D8824" t="inlineStr">
        <is>
          <t>ÖSTERGÖTLANDS LÄN</t>
        </is>
      </c>
      <c r="E8824" t="inlineStr">
        <is>
          <t>VALDEMARSVIK</t>
        </is>
      </c>
      <c r="G8824" t="n">
        <v>4.8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7550-2024</t>
        </is>
      </c>
      <c r="B8825" s="1" t="n">
        <v>45348</v>
      </c>
      <c r="C8825" s="1" t="n">
        <v>45710</v>
      </c>
      <c r="D8825" t="inlineStr">
        <is>
          <t>ÖSTERGÖTLANDS LÄN</t>
        </is>
      </c>
      <c r="E8825" t="inlineStr">
        <is>
          <t>ÅTVIDABERG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7613-2024</t>
        </is>
      </c>
      <c r="B8826" s="1" t="n">
        <v>45348</v>
      </c>
      <c r="C8826" s="1" t="n">
        <v>45710</v>
      </c>
      <c r="D8826" t="inlineStr">
        <is>
          <t>ÖSTERGÖTLANDS LÄN</t>
        </is>
      </c>
      <c r="E8826" t="inlineStr">
        <is>
          <t>FINSPÅNG</t>
        </is>
      </c>
      <c r="F8826" t="inlineStr">
        <is>
          <t>Holmen skog AB</t>
        </is>
      </c>
      <c r="G8826" t="n">
        <v>5.4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7659-2024</t>
        </is>
      </c>
      <c r="B8827" s="1" t="n">
        <v>45348</v>
      </c>
      <c r="C8827" s="1" t="n">
        <v>45710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Allmännings- och besparingsskogar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7569-2024</t>
        </is>
      </c>
      <c r="B8828" s="1" t="n">
        <v>45348</v>
      </c>
      <c r="C8828" s="1" t="n">
        <v>45710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2.7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7645-2024</t>
        </is>
      </c>
      <c r="B8829" s="1" t="n">
        <v>45348</v>
      </c>
      <c r="C8829" s="1" t="n">
        <v>45710</v>
      </c>
      <c r="D8829" t="inlineStr">
        <is>
          <t>ÖSTERGÖTLANDS LÄN</t>
        </is>
      </c>
      <c r="E8829" t="inlineStr">
        <is>
          <t>KINDA</t>
        </is>
      </c>
      <c r="G8829" t="n">
        <v>6.3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7615-2024</t>
        </is>
      </c>
      <c r="B8830" s="1" t="n">
        <v>45348</v>
      </c>
      <c r="C8830" s="1" t="n">
        <v>45710</v>
      </c>
      <c r="D8830" t="inlineStr">
        <is>
          <t>ÖSTERGÖTLANDS LÄN</t>
        </is>
      </c>
      <c r="E8830" t="inlineStr">
        <is>
          <t>ÅTVIDABERG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7619-2024</t>
        </is>
      </c>
      <c r="B8831" s="1" t="n">
        <v>45348</v>
      </c>
      <c r="C8831" s="1" t="n">
        <v>45710</v>
      </c>
      <c r="D8831" t="inlineStr">
        <is>
          <t>ÖSTERGÖTLANDS LÄN</t>
        </is>
      </c>
      <c r="E8831" t="inlineStr">
        <is>
          <t>YDRE</t>
        </is>
      </c>
      <c r="G8831" t="n">
        <v>0.4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7631-2024</t>
        </is>
      </c>
      <c r="B8832" s="1" t="n">
        <v>45348</v>
      </c>
      <c r="C8832" s="1" t="n">
        <v>45710</v>
      </c>
      <c r="D8832" t="inlineStr">
        <is>
          <t>ÖSTERGÖTLANDS LÄN</t>
        </is>
      </c>
      <c r="E8832" t="inlineStr">
        <is>
          <t>KINDA</t>
        </is>
      </c>
      <c r="G8832" t="n">
        <v>3.2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7621-2024</t>
        </is>
      </c>
      <c r="B8833" s="1" t="n">
        <v>45348</v>
      </c>
      <c r="C8833" s="1" t="n">
        <v>45710</v>
      </c>
      <c r="D8833" t="inlineStr">
        <is>
          <t>ÖSTERGÖTLANDS LÄN</t>
        </is>
      </c>
      <c r="E8833" t="inlineStr">
        <is>
          <t>YDRE</t>
        </is>
      </c>
      <c r="G8833" t="n">
        <v>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7629-2024</t>
        </is>
      </c>
      <c r="B8834" s="1" t="n">
        <v>45348</v>
      </c>
      <c r="C8834" s="1" t="n">
        <v>45710</v>
      </c>
      <c r="D8834" t="inlineStr">
        <is>
          <t>ÖSTERGÖTLANDS LÄN</t>
        </is>
      </c>
      <c r="E8834" t="inlineStr">
        <is>
          <t>KINDA</t>
        </is>
      </c>
      <c r="G8834" t="n">
        <v>5.7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7749-2024</t>
        </is>
      </c>
      <c r="B8835" s="1" t="n">
        <v>45349</v>
      </c>
      <c r="C8835" s="1" t="n">
        <v>45710</v>
      </c>
      <c r="D8835" t="inlineStr">
        <is>
          <t>ÖSTERGÖTLANDS LÄN</t>
        </is>
      </c>
      <c r="E8835" t="inlineStr">
        <is>
          <t>KINDA</t>
        </is>
      </c>
      <c r="F8835" t="inlineStr">
        <is>
          <t>Övriga Aktiebolag</t>
        </is>
      </c>
      <c r="G8835" t="n">
        <v>3.9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7887-2024</t>
        </is>
      </c>
      <c r="B8836" s="1" t="n">
        <v>45350</v>
      </c>
      <c r="C8836" s="1" t="n">
        <v>45710</v>
      </c>
      <c r="D8836" t="inlineStr">
        <is>
          <t>ÖSTERGÖTLANDS LÄN</t>
        </is>
      </c>
      <c r="E8836" t="inlineStr">
        <is>
          <t>NORRKÖPING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8014-2024</t>
        </is>
      </c>
      <c r="B8837" s="1" t="n">
        <v>45350</v>
      </c>
      <c r="C8837" s="1" t="n">
        <v>45710</v>
      </c>
      <c r="D8837" t="inlineStr">
        <is>
          <t>ÖSTERGÖTLANDS LÄN</t>
        </is>
      </c>
      <c r="E8837" t="inlineStr">
        <is>
          <t>LINKÖPING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8009-2024</t>
        </is>
      </c>
      <c r="B8838" s="1" t="n">
        <v>45350</v>
      </c>
      <c r="C8838" s="1" t="n">
        <v>45710</v>
      </c>
      <c r="D8838" t="inlineStr">
        <is>
          <t>ÖSTERGÖTLANDS LÄN</t>
        </is>
      </c>
      <c r="E8838" t="inlineStr">
        <is>
          <t>VALDEMARSVIK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7936-2024</t>
        </is>
      </c>
      <c r="B8839" s="1" t="n">
        <v>45350</v>
      </c>
      <c r="C8839" s="1" t="n">
        <v>45710</v>
      </c>
      <c r="D8839" t="inlineStr">
        <is>
          <t>ÖSTERGÖTLANDS LÄN</t>
        </is>
      </c>
      <c r="E8839" t="inlineStr">
        <is>
          <t>ÅTVIDABERG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7977-2024</t>
        </is>
      </c>
      <c r="B8840" s="1" t="n">
        <v>45350</v>
      </c>
      <c r="C8840" s="1" t="n">
        <v>45710</v>
      </c>
      <c r="D8840" t="inlineStr">
        <is>
          <t>ÖSTERGÖTLANDS LÄN</t>
        </is>
      </c>
      <c r="E8840" t="inlineStr">
        <is>
          <t>NORRKÖPING</t>
        </is>
      </c>
      <c r="F8840" t="inlineStr">
        <is>
          <t>Holmen skog AB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8314-2024</t>
        </is>
      </c>
      <c r="B8841" s="1" t="n">
        <v>45350</v>
      </c>
      <c r="C8841" s="1" t="n">
        <v>45710</v>
      </c>
      <c r="D8841" t="inlineStr">
        <is>
          <t>ÖSTERGÖTLANDS LÄN</t>
        </is>
      </c>
      <c r="E8841" t="inlineStr">
        <is>
          <t>NORRKÖPING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8309-2024</t>
        </is>
      </c>
      <c r="B8842" s="1" t="n">
        <v>45350</v>
      </c>
      <c r="C8842" s="1" t="n">
        <v>45710</v>
      </c>
      <c r="D8842" t="inlineStr">
        <is>
          <t>ÖSTERGÖTLANDS LÄN</t>
        </is>
      </c>
      <c r="E8842" t="inlineStr">
        <is>
          <t>NORRKÖPING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8015-2024</t>
        </is>
      </c>
      <c r="B8843" s="1" t="n">
        <v>45350</v>
      </c>
      <c r="C8843" s="1" t="n">
        <v>45710</v>
      </c>
      <c r="D8843" t="inlineStr">
        <is>
          <t>ÖSTERGÖTLANDS LÄN</t>
        </is>
      </c>
      <c r="E8843" t="inlineStr">
        <is>
          <t>LINKÖPING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8064-2024</t>
        </is>
      </c>
      <c r="B8844" s="1" t="n">
        <v>45351</v>
      </c>
      <c r="C8844" s="1" t="n">
        <v>45710</v>
      </c>
      <c r="D8844" t="inlineStr">
        <is>
          <t>ÖSTERGÖTLANDS LÄN</t>
        </is>
      </c>
      <c r="E8844" t="inlineStr">
        <is>
          <t>KINDA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8084-2024</t>
        </is>
      </c>
      <c r="B8845" s="1" t="n">
        <v>45351</v>
      </c>
      <c r="C8845" s="1" t="n">
        <v>45710</v>
      </c>
      <c r="D8845" t="inlineStr">
        <is>
          <t>ÖSTERGÖTLANDS LÄN</t>
        </is>
      </c>
      <c r="E8845" t="inlineStr">
        <is>
          <t>MOTALA</t>
        </is>
      </c>
      <c r="G8845" t="n">
        <v>7.1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8088-2024</t>
        </is>
      </c>
      <c r="B8846" s="1" t="n">
        <v>45351</v>
      </c>
      <c r="C8846" s="1" t="n">
        <v>45710</v>
      </c>
      <c r="D8846" t="inlineStr">
        <is>
          <t>ÖSTERGÖTLANDS LÄN</t>
        </is>
      </c>
      <c r="E8846" t="inlineStr">
        <is>
          <t>KINDA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8092-2024</t>
        </is>
      </c>
      <c r="B8847" s="1" t="n">
        <v>45351</v>
      </c>
      <c r="C8847" s="1" t="n">
        <v>45710</v>
      </c>
      <c r="D8847" t="inlineStr">
        <is>
          <t>ÖSTERGÖTLANDS LÄN</t>
        </is>
      </c>
      <c r="E8847" t="inlineStr">
        <is>
          <t>KINDA</t>
        </is>
      </c>
      <c r="G8847" t="n">
        <v>0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8108-2024</t>
        </is>
      </c>
      <c r="B8848" s="1" t="n">
        <v>45351</v>
      </c>
      <c r="C8848" s="1" t="n">
        <v>45710</v>
      </c>
      <c r="D8848" t="inlineStr">
        <is>
          <t>ÖSTERGÖTLANDS LÄN</t>
        </is>
      </c>
      <c r="E8848" t="inlineStr">
        <is>
          <t>MOTALA</t>
        </is>
      </c>
      <c r="G8848" t="n">
        <v>0.4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8050-2024</t>
        </is>
      </c>
      <c r="B8849" s="1" t="n">
        <v>45351</v>
      </c>
      <c r="C8849" s="1" t="n">
        <v>45710</v>
      </c>
      <c r="D8849" t="inlineStr">
        <is>
          <t>ÖSTERGÖTLANDS LÄN</t>
        </is>
      </c>
      <c r="E8849" t="inlineStr">
        <is>
          <t>LINKÖPING</t>
        </is>
      </c>
      <c r="G8849" t="n">
        <v>4.5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8042-2024</t>
        </is>
      </c>
      <c r="B8850" s="1" t="n">
        <v>45351</v>
      </c>
      <c r="C8850" s="1" t="n">
        <v>45710</v>
      </c>
      <c r="D8850" t="inlineStr">
        <is>
          <t>ÖSTERGÖTLANDS LÄN</t>
        </is>
      </c>
      <c r="E8850" t="inlineStr">
        <is>
          <t>ÅTVIDABERG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8111-2024</t>
        </is>
      </c>
      <c r="B8851" s="1" t="n">
        <v>45351</v>
      </c>
      <c r="C8851" s="1" t="n">
        <v>45710</v>
      </c>
      <c r="D8851" t="inlineStr">
        <is>
          <t>ÖSTERGÖTLANDS LÄN</t>
        </is>
      </c>
      <c r="E8851" t="inlineStr">
        <is>
          <t>MOTALA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8590-2024</t>
        </is>
      </c>
      <c r="B8852" s="1" t="n">
        <v>45352</v>
      </c>
      <c r="C8852" s="1" t="n">
        <v>45710</v>
      </c>
      <c r="D8852" t="inlineStr">
        <is>
          <t>ÖSTERGÖTLANDS LÄN</t>
        </is>
      </c>
      <c r="E8852" t="inlineStr">
        <is>
          <t>KINDA</t>
        </is>
      </c>
      <c r="G8852" t="n">
        <v>1.4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8593-2024</t>
        </is>
      </c>
      <c r="B8853" s="1" t="n">
        <v>45352</v>
      </c>
      <c r="C8853" s="1" t="n">
        <v>45710</v>
      </c>
      <c r="D8853" t="inlineStr">
        <is>
          <t>ÖSTERGÖTLANDS LÄN</t>
        </is>
      </c>
      <c r="E8853" t="inlineStr">
        <is>
          <t>KINDA</t>
        </is>
      </c>
      <c r="G8853" t="n">
        <v>4.4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8367-2024</t>
        </is>
      </c>
      <c r="B8854" s="1" t="n">
        <v>45352</v>
      </c>
      <c r="C8854" s="1" t="n">
        <v>45710</v>
      </c>
      <c r="D8854" t="inlineStr">
        <is>
          <t>ÖSTERGÖTLANDS LÄN</t>
        </is>
      </c>
      <c r="E8854" t="inlineStr">
        <is>
          <t>KINDA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8386-2024</t>
        </is>
      </c>
      <c r="B8855" s="1" t="n">
        <v>45352</v>
      </c>
      <c r="C8855" s="1" t="n">
        <v>45710</v>
      </c>
      <c r="D8855" t="inlineStr">
        <is>
          <t>ÖSTERGÖTLANDS LÄN</t>
        </is>
      </c>
      <c r="E8855" t="inlineStr">
        <is>
          <t>SÖDERKÖPING</t>
        </is>
      </c>
      <c r="G8855" t="n">
        <v>4.3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8328-2024</t>
        </is>
      </c>
      <c r="B8856" s="1" t="n">
        <v>45352</v>
      </c>
      <c r="C8856" s="1" t="n">
        <v>45710</v>
      </c>
      <c r="D8856" t="inlineStr">
        <is>
          <t>ÖSTERGÖTLANDS LÄN</t>
        </is>
      </c>
      <c r="E8856" t="inlineStr">
        <is>
          <t>VALDEMARSVIK</t>
        </is>
      </c>
      <c r="G8856" t="n">
        <v>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8678-2024</t>
        </is>
      </c>
      <c r="B8857" s="1" t="n">
        <v>45354</v>
      </c>
      <c r="C8857" s="1" t="n">
        <v>45710</v>
      </c>
      <c r="D8857" t="inlineStr">
        <is>
          <t>ÖSTERGÖTLANDS LÄN</t>
        </is>
      </c>
      <c r="E8857" t="inlineStr">
        <is>
          <t>VALDEMARSVIK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8505-2024</t>
        </is>
      </c>
      <c r="B8858" s="1" t="n">
        <v>45355</v>
      </c>
      <c r="C8858" s="1" t="n">
        <v>45710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Övriga Aktiebolag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8546-2024</t>
        </is>
      </c>
      <c r="B8859" s="1" t="n">
        <v>45355</v>
      </c>
      <c r="C8859" s="1" t="n">
        <v>45710</v>
      </c>
      <c r="D8859" t="inlineStr">
        <is>
          <t>ÖSTERGÖTLANDS LÄN</t>
        </is>
      </c>
      <c r="E8859" t="inlineStr">
        <is>
          <t>MOTALA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8577-2024</t>
        </is>
      </c>
      <c r="B8860" s="1" t="n">
        <v>45355</v>
      </c>
      <c r="C8860" s="1" t="n">
        <v>45710</v>
      </c>
      <c r="D8860" t="inlineStr">
        <is>
          <t>ÖSTERGÖTLANDS LÄN</t>
        </is>
      </c>
      <c r="E8860" t="inlineStr">
        <is>
          <t>ÖDESHÖG</t>
        </is>
      </c>
      <c r="G8860" t="n">
        <v>3.4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8606-2024</t>
        </is>
      </c>
      <c r="B8861" s="1" t="n">
        <v>45355</v>
      </c>
      <c r="C8861" s="1" t="n">
        <v>45710</v>
      </c>
      <c r="D8861" t="inlineStr">
        <is>
          <t>ÖSTERGÖTLANDS LÄN</t>
        </is>
      </c>
      <c r="E8861" t="inlineStr">
        <is>
          <t>YDRE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8614-2024</t>
        </is>
      </c>
      <c r="B8862" s="1" t="n">
        <v>45355</v>
      </c>
      <c r="C8862" s="1" t="n">
        <v>45710</v>
      </c>
      <c r="D8862" t="inlineStr">
        <is>
          <t>ÖSTERGÖTLANDS LÄN</t>
        </is>
      </c>
      <c r="E8862" t="inlineStr">
        <is>
          <t>MJÖLBY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8543-2024</t>
        </is>
      </c>
      <c r="B8863" s="1" t="n">
        <v>45355</v>
      </c>
      <c r="C8863" s="1" t="n">
        <v>45710</v>
      </c>
      <c r="D8863" t="inlineStr">
        <is>
          <t>ÖSTERGÖTLANDS LÄN</t>
        </is>
      </c>
      <c r="E8863" t="inlineStr">
        <is>
          <t>VALDEMARSVIK</t>
        </is>
      </c>
      <c r="G8863" t="n">
        <v>2.2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8599-2024</t>
        </is>
      </c>
      <c r="B8864" s="1" t="n">
        <v>45355</v>
      </c>
      <c r="C8864" s="1" t="n">
        <v>45710</v>
      </c>
      <c r="D8864" t="inlineStr">
        <is>
          <t>ÖSTERGÖTLANDS LÄN</t>
        </is>
      </c>
      <c r="E8864" t="inlineStr">
        <is>
          <t>ÅTVIDABERG</t>
        </is>
      </c>
      <c r="G8864" t="n">
        <v>2.8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8616-2024</t>
        </is>
      </c>
      <c r="B8865" s="1" t="n">
        <v>45355</v>
      </c>
      <c r="C8865" s="1" t="n">
        <v>45710</v>
      </c>
      <c r="D8865" t="inlineStr">
        <is>
          <t>ÖSTERGÖTLANDS LÄN</t>
        </is>
      </c>
      <c r="E8865" t="inlineStr">
        <is>
          <t>YDRE</t>
        </is>
      </c>
      <c r="G8865" t="n">
        <v>4.5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8501-2024</t>
        </is>
      </c>
      <c r="B8866" s="1" t="n">
        <v>45355</v>
      </c>
      <c r="C8866" s="1" t="n">
        <v>45710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10.3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8609-2024</t>
        </is>
      </c>
      <c r="B8867" s="1" t="n">
        <v>45355</v>
      </c>
      <c r="C8867" s="1" t="n">
        <v>45710</v>
      </c>
      <c r="D8867" t="inlineStr">
        <is>
          <t>ÖSTERGÖTLANDS LÄN</t>
        </is>
      </c>
      <c r="E8867" t="inlineStr">
        <is>
          <t>YDRE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8557-2024</t>
        </is>
      </c>
      <c r="B8868" s="1" t="n">
        <v>45355</v>
      </c>
      <c r="C8868" s="1" t="n">
        <v>45710</v>
      </c>
      <c r="D8868" t="inlineStr">
        <is>
          <t>ÖSTERGÖTLANDS LÄN</t>
        </is>
      </c>
      <c r="E8868" t="inlineStr">
        <is>
          <t>VALDEMARSVIK</t>
        </is>
      </c>
      <c r="G8868" t="n">
        <v>0.1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8603-2024</t>
        </is>
      </c>
      <c r="B8869" s="1" t="n">
        <v>45355</v>
      </c>
      <c r="C8869" s="1" t="n">
        <v>45710</v>
      </c>
      <c r="D8869" t="inlineStr">
        <is>
          <t>ÖSTERGÖTLANDS LÄN</t>
        </is>
      </c>
      <c r="E8869" t="inlineStr">
        <is>
          <t>YDRE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8611-2024</t>
        </is>
      </c>
      <c r="B8870" s="1" t="n">
        <v>45355</v>
      </c>
      <c r="C8870" s="1" t="n">
        <v>45710</v>
      </c>
      <c r="D8870" t="inlineStr">
        <is>
          <t>ÖSTERGÖTLANDS LÄN</t>
        </is>
      </c>
      <c r="E8870" t="inlineStr">
        <is>
          <t>YDRE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8615-2024</t>
        </is>
      </c>
      <c r="B8871" s="1" t="n">
        <v>45355</v>
      </c>
      <c r="C8871" s="1" t="n">
        <v>45710</v>
      </c>
      <c r="D8871" t="inlineStr">
        <is>
          <t>ÖSTERGÖTLANDS LÄN</t>
        </is>
      </c>
      <c r="E8871" t="inlineStr">
        <is>
          <t>YDRE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8817-2024</t>
        </is>
      </c>
      <c r="B8872" s="1" t="n">
        <v>45355</v>
      </c>
      <c r="C8872" s="1" t="n">
        <v>45710</v>
      </c>
      <c r="D8872" t="inlineStr">
        <is>
          <t>ÖSTERGÖTLANDS LÄN</t>
        </is>
      </c>
      <c r="E8872" t="inlineStr">
        <is>
          <t>KINDA</t>
        </is>
      </c>
      <c r="G8872" t="n">
        <v>9.800000000000001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8762-2024</t>
        </is>
      </c>
      <c r="B8873" s="1" t="n">
        <v>45356</v>
      </c>
      <c r="C8873" s="1" t="n">
        <v>45710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Sveaskog</t>
        </is>
      </c>
      <c r="G8873" t="n">
        <v>9.5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8767-2024</t>
        </is>
      </c>
      <c r="B8874" s="1" t="n">
        <v>45356</v>
      </c>
      <c r="C8874" s="1" t="n">
        <v>45710</v>
      </c>
      <c r="D8874" t="inlineStr">
        <is>
          <t>ÖSTERGÖTLANDS LÄN</t>
        </is>
      </c>
      <c r="E8874" t="inlineStr">
        <is>
          <t>LINKÖPING</t>
        </is>
      </c>
      <c r="F8874" t="inlineStr">
        <is>
          <t>Sveaskog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8764-2024</t>
        </is>
      </c>
      <c r="B8875" s="1" t="n">
        <v>45356</v>
      </c>
      <c r="C8875" s="1" t="n">
        <v>45710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8773-2024</t>
        </is>
      </c>
      <c r="B8876" s="1" t="n">
        <v>45356</v>
      </c>
      <c r="C8876" s="1" t="n">
        <v>45710</v>
      </c>
      <c r="D8876" t="inlineStr">
        <is>
          <t>ÖSTERGÖTLANDS LÄN</t>
        </is>
      </c>
      <c r="E8876" t="inlineStr">
        <is>
          <t>KINDA</t>
        </is>
      </c>
      <c r="G8876" t="n">
        <v>3.9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8785-2024</t>
        </is>
      </c>
      <c r="B8877" s="1" t="n">
        <v>45356</v>
      </c>
      <c r="C8877" s="1" t="n">
        <v>45710</v>
      </c>
      <c r="D8877" t="inlineStr">
        <is>
          <t>ÖSTERGÖTLANDS LÄN</t>
        </is>
      </c>
      <c r="E8877" t="inlineStr">
        <is>
          <t>NORRKÖPING</t>
        </is>
      </c>
      <c r="F8877" t="inlineStr">
        <is>
          <t>Holmen skog AB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8758-2024</t>
        </is>
      </c>
      <c r="B8878" s="1" t="n">
        <v>45356</v>
      </c>
      <c r="C8878" s="1" t="n">
        <v>45710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2.2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8805-2024</t>
        </is>
      </c>
      <c r="B8879" s="1" t="n">
        <v>45356</v>
      </c>
      <c r="C8879" s="1" t="n">
        <v>45710</v>
      </c>
      <c r="D8879" t="inlineStr">
        <is>
          <t>ÖSTERGÖTLANDS LÄN</t>
        </is>
      </c>
      <c r="E8879" t="inlineStr">
        <is>
          <t>NORRKÖPING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8810-2024</t>
        </is>
      </c>
      <c r="B8880" s="1" t="n">
        <v>45356</v>
      </c>
      <c r="C8880" s="1" t="n">
        <v>45710</v>
      </c>
      <c r="D8880" t="inlineStr">
        <is>
          <t>ÖSTERGÖTLANDS LÄN</t>
        </is>
      </c>
      <c r="E8880" t="inlineStr">
        <is>
          <t>NORRKÖPING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8806-2024</t>
        </is>
      </c>
      <c r="B8881" s="1" t="n">
        <v>45356</v>
      </c>
      <c r="C8881" s="1" t="n">
        <v>45710</v>
      </c>
      <c r="D8881" t="inlineStr">
        <is>
          <t>ÖSTERGÖTLANDS LÄN</t>
        </is>
      </c>
      <c r="E8881" t="inlineStr">
        <is>
          <t>NORRKÖPING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8811-2024</t>
        </is>
      </c>
      <c r="B8882" s="1" t="n">
        <v>45356</v>
      </c>
      <c r="C8882" s="1" t="n">
        <v>45710</v>
      </c>
      <c r="D8882" t="inlineStr">
        <is>
          <t>ÖSTERGÖTLANDS LÄN</t>
        </is>
      </c>
      <c r="E8882" t="inlineStr">
        <is>
          <t>NORRKÖPING</t>
        </is>
      </c>
      <c r="G8882" t="n">
        <v>6.9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8815-2024</t>
        </is>
      </c>
      <c r="B8883" s="1" t="n">
        <v>45356</v>
      </c>
      <c r="C8883" s="1" t="n">
        <v>45710</v>
      </c>
      <c r="D8883" t="inlineStr">
        <is>
          <t>ÖSTERGÖTLANDS LÄN</t>
        </is>
      </c>
      <c r="E8883" t="inlineStr">
        <is>
          <t>NORRKÖPING</t>
        </is>
      </c>
      <c r="G8883" t="n">
        <v>6.7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8843-2024</t>
        </is>
      </c>
      <c r="B8884" s="1" t="n">
        <v>45356</v>
      </c>
      <c r="C8884" s="1" t="n">
        <v>45710</v>
      </c>
      <c r="D8884" t="inlineStr">
        <is>
          <t>ÖSTERGÖTLANDS LÄN</t>
        </is>
      </c>
      <c r="E8884" t="inlineStr">
        <is>
          <t>NORRKÖPING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8765-2024</t>
        </is>
      </c>
      <c r="B8885" s="1" t="n">
        <v>45356</v>
      </c>
      <c r="C8885" s="1" t="n">
        <v>45710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Sveaskog</t>
        </is>
      </c>
      <c r="G8885" t="n">
        <v>3.4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8840-2024</t>
        </is>
      </c>
      <c r="B8886" s="1" t="n">
        <v>45356</v>
      </c>
      <c r="C8886" s="1" t="n">
        <v>45710</v>
      </c>
      <c r="D8886" t="inlineStr">
        <is>
          <t>ÖSTERGÖTLANDS LÄN</t>
        </is>
      </c>
      <c r="E8886" t="inlineStr">
        <is>
          <t>NORRKÖPING</t>
        </is>
      </c>
      <c r="G8886" t="n">
        <v>6.7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8934-2024</t>
        </is>
      </c>
      <c r="B8887" s="1" t="n">
        <v>45357</v>
      </c>
      <c r="C8887" s="1" t="n">
        <v>45710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Sveaskog</t>
        </is>
      </c>
      <c r="G8887" t="n">
        <v>4.9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9003-2024</t>
        </is>
      </c>
      <c r="B8888" s="1" t="n">
        <v>45357</v>
      </c>
      <c r="C8888" s="1" t="n">
        <v>45710</v>
      </c>
      <c r="D8888" t="inlineStr">
        <is>
          <t>ÖSTERGÖTLANDS LÄN</t>
        </is>
      </c>
      <c r="E8888" t="inlineStr">
        <is>
          <t>FINSPÅNG</t>
        </is>
      </c>
      <c r="G8888" t="n">
        <v>7.6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9009-2024</t>
        </is>
      </c>
      <c r="B8889" s="1" t="n">
        <v>45357</v>
      </c>
      <c r="C8889" s="1" t="n">
        <v>45710</v>
      </c>
      <c r="D8889" t="inlineStr">
        <is>
          <t>ÖSTERGÖTLANDS LÄN</t>
        </is>
      </c>
      <c r="E8889" t="inlineStr">
        <is>
          <t>FINSPÅNG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8890-2024</t>
        </is>
      </c>
      <c r="B8890" s="1" t="n">
        <v>45357</v>
      </c>
      <c r="C8890" s="1" t="n">
        <v>45710</v>
      </c>
      <c r="D8890" t="inlineStr">
        <is>
          <t>ÖSTERGÖTLANDS LÄN</t>
        </is>
      </c>
      <c r="E8890" t="inlineStr">
        <is>
          <t>VALDEMARSVIK</t>
        </is>
      </c>
      <c r="G8890" t="n">
        <v>7.4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9190-2024</t>
        </is>
      </c>
      <c r="B8891" s="1" t="n">
        <v>45358</v>
      </c>
      <c r="C8891" s="1" t="n">
        <v>45710</v>
      </c>
      <c r="D8891" t="inlineStr">
        <is>
          <t>ÖSTERGÖTLANDS LÄN</t>
        </is>
      </c>
      <c r="E8891" t="inlineStr">
        <is>
          <t>KINDA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9194-2024</t>
        </is>
      </c>
      <c r="B8892" s="1" t="n">
        <v>45358</v>
      </c>
      <c r="C8892" s="1" t="n">
        <v>45710</v>
      </c>
      <c r="D8892" t="inlineStr">
        <is>
          <t>ÖSTERGÖTLANDS LÄN</t>
        </is>
      </c>
      <c r="E8892" t="inlineStr">
        <is>
          <t>SÖDERKÖPING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9222-2024</t>
        </is>
      </c>
      <c r="B8893" s="1" t="n">
        <v>45358</v>
      </c>
      <c r="C8893" s="1" t="n">
        <v>45710</v>
      </c>
      <c r="D8893" t="inlineStr">
        <is>
          <t>ÖSTERGÖTLANDS LÄN</t>
        </is>
      </c>
      <c r="E8893" t="inlineStr">
        <is>
          <t>YDRE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9182-2024</t>
        </is>
      </c>
      <c r="B8894" s="1" t="n">
        <v>45358</v>
      </c>
      <c r="C8894" s="1" t="n">
        <v>45710</v>
      </c>
      <c r="D8894" t="inlineStr">
        <is>
          <t>ÖSTERGÖTLANDS LÄN</t>
        </is>
      </c>
      <c r="E8894" t="inlineStr">
        <is>
          <t>KINDA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9187-2024</t>
        </is>
      </c>
      <c r="B8895" s="1" t="n">
        <v>45358</v>
      </c>
      <c r="C8895" s="1" t="n">
        <v>45710</v>
      </c>
      <c r="D8895" t="inlineStr">
        <is>
          <t>ÖSTERGÖTLANDS LÄN</t>
        </is>
      </c>
      <c r="E8895" t="inlineStr">
        <is>
          <t>KINDA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9196-2024</t>
        </is>
      </c>
      <c r="B8896" s="1" t="n">
        <v>45358</v>
      </c>
      <c r="C8896" s="1" t="n">
        <v>45710</v>
      </c>
      <c r="D8896" t="inlineStr">
        <is>
          <t>ÖSTERGÖTLANDS LÄN</t>
        </is>
      </c>
      <c r="E8896" t="inlineStr">
        <is>
          <t>ÅTVIDABERG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9213-2024</t>
        </is>
      </c>
      <c r="B8897" s="1" t="n">
        <v>45358</v>
      </c>
      <c r="C8897" s="1" t="n">
        <v>45710</v>
      </c>
      <c r="D8897" t="inlineStr">
        <is>
          <t>ÖSTERGÖTLANDS LÄN</t>
        </is>
      </c>
      <c r="E8897" t="inlineStr">
        <is>
          <t>YDRE</t>
        </is>
      </c>
      <c r="G8897" t="n">
        <v>2.7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9434-2024</t>
        </is>
      </c>
      <c r="B8898" s="1" t="n">
        <v>45359</v>
      </c>
      <c r="C8898" s="1" t="n">
        <v>45710</v>
      </c>
      <c r="D8898" t="inlineStr">
        <is>
          <t>ÖSTERGÖTLANDS LÄN</t>
        </is>
      </c>
      <c r="E8898" t="inlineStr">
        <is>
          <t>LINKÖPING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9473-2024</t>
        </is>
      </c>
      <c r="B8899" s="1" t="n">
        <v>45359</v>
      </c>
      <c r="C8899" s="1" t="n">
        <v>45710</v>
      </c>
      <c r="D8899" t="inlineStr">
        <is>
          <t>ÖSTERGÖTLANDS LÄN</t>
        </is>
      </c>
      <c r="E8899" t="inlineStr">
        <is>
          <t>LINKÖPING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9471-2024</t>
        </is>
      </c>
      <c r="B8900" s="1" t="n">
        <v>45359</v>
      </c>
      <c r="C8900" s="1" t="n">
        <v>45710</v>
      </c>
      <c r="D8900" t="inlineStr">
        <is>
          <t>ÖSTERGÖTLANDS LÄN</t>
        </is>
      </c>
      <c r="E8900" t="inlineStr">
        <is>
          <t>LINKÖPING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9480-2024</t>
        </is>
      </c>
      <c r="B8901" s="1" t="n">
        <v>45359</v>
      </c>
      <c r="C8901" s="1" t="n">
        <v>45710</v>
      </c>
      <c r="D8901" t="inlineStr">
        <is>
          <t>ÖSTERGÖTLANDS LÄN</t>
        </is>
      </c>
      <c r="E8901" t="inlineStr">
        <is>
          <t>SÖDERKÖPING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9387-2024</t>
        </is>
      </c>
      <c r="B8902" s="1" t="n">
        <v>45359</v>
      </c>
      <c r="C8902" s="1" t="n">
        <v>45710</v>
      </c>
      <c r="D8902" t="inlineStr">
        <is>
          <t>ÖSTERGÖTLANDS LÄN</t>
        </is>
      </c>
      <c r="E8902" t="inlineStr">
        <is>
          <t>KINDA</t>
        </is>
      </c>
      <c r="F8902" t="inlineStr">
        <is>
          <t>Övriga Aktiebolag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9534-2024</t>
        </is>
      </c>
      <c r="B8903" s="1" t="n">
        <v>45359</v>
      </c>
      <c r="C8903" s="1" t="n">
        <v>45710</v>
      </c>
      <c r="D8903" t="inlineStr">
        <is>
          <t>ÖSTERGÖTLANDS LÄN</t>
        </is>
      </c>
      <c r="E8903" t="inlineStr">
        <is>
          <t>NORRKÖPING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9479-2024</t>
        </is>
      </c>
      <c r="B8904" s="1" t="n">
        <v>45359</v>
      </c>
      <c r="C8904" s="1" t="n">
        <v>45710</v>
      </c>
      <c r="D8904" t="inlineStr">
        <is>
          <t>ÖSTERGÖTLANDS LÄN</t>
        </is>
      </c>
      <c r="E8904" t="inlineStr">
        <is>
          <t>KINDA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9528-2024</t>
        </is>
      </c>
      <c r="B8905" s="1" t="n">
        <v>45359</v>
      </c>
      <c r="C8905" s="1" t="n">
        <v>45710</v>
      </c>
      <c r="D8905" t="inlineStr">
        <is>
          <t>ÖSTERGÖTLANDS LÄN</t>
        </is>
      </c>
      <c r="E8905" t="inlineStr">
        <is>
          <t>NORRKÖPING</t>
        </is>
      </c>
      <c r="G8905" t="n">
        <v>4.4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9439-2024</t>
        </is>
      </c>
      <c r="B8906" s="1" t="n">
        <v>45359</v>
      </c>
      <c r="C8906" s="1" t="n">
        <v>45710</v>
      </c>
      <c r="D8906" t="inlineStr">
        <is>
          <t>ÖSTERGÖTLANDS LÄN</t>
        </is>
      </c>
      <c r="E8906" t="inlineStr">
        <is>
          <t>SÖDERKÖPING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9494-2024</t>
        </is>
      </c>
      <c r="B8907" s="1" t="n">
        <v>45359</v>
      </c>
      <c r="C8907" s="1" t="n">
        <v>45710</v>
      </c>
      <c r="D8907" t="inlineStr">
        <is>
          <t>ÖSTERGÖTLANDS LÄN</t>
        </is>
      </c>
      <c r="E8907" t="inlineStr">
        <is>
          <t>SÖDERKÖPING</t>
        </is>
      </c>
      <c r="G8907" t="n">
        <v>2.5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9531-2024</t>
        </is>
      </c>
      <c r="B8908" s="1" t="n">
        <v>45359</v>
      </c>
      <c r="C8908" s="1" t="n">
        <v>45710</v>
      </c>
      <c r="D8908" t="inlineStr">
        <is>
          <t>ÖSTERGÖTLANDS LÄN</t>
        </is>
      </c>
      <c r="E8908" t="inlineStr">
        <is>
          <t>NORRKÖPING</t>
        </is>
      </c>
      <c r="G8908" t="n">
        <v>1.4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9575-2024</t>
        </is>
      </c>
      <c r="B8909" s="1" t="n">
        <v>45360</v>
      </c>
      <c r="C8909" s="1" t="n">
        <v>45710</v>
      </c>
      <c r="D8909" t="inlineStr">
        <is>
          <t>ÖSTERGÖTLANDS LÄN</t>
        </is>
      </c>
      <c r="E8909" t="inlineStr">
        <is>
          <t>KINDA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9576-2024</t>
        </is>
      </c>
      <c r="B8910" s="1" t="n">
        <v>45360</v>
      </c>
      <c r="C8910" s="1" t="n">
        <v>45710</v>
      </c>
      <c r="D8910" t="inlineStr">
        <is>
          <t>ÖSTERGÖTLANDS LÄN</t>
        </is>
      </c>
      <c r="E8910" t="inlineStr">
        <is>
          <t>KINDA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9577-2024</t>
        </is>
      </c>
      <c r="B8911" s="1" t="n">
        <v>45360</v>
      </c>
      <c r="C8911" s="1" t="n">
        <v>45710</v>
      </c>
      <c r="D8911" t="inlineStr">
        <is>
          <t>ÖSTERGÖTLANDS LÄN</t>
        </is>
      </c>
      <c r="E8911" t="inlineStr">
        <is>
          <t>KINDA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9573-2024</t>
        </is>
      </c>
      <c r="B8912" s="1" t="n">
        <v>45360</v>
      </c>
      <c r="C8912" s="1" t="n">
        <v>45710</v>
      </c>
      <c r="D8912" t="inlineStr">
        <is>
          <t>ÖSTERGÖTLANDS LÄN</t>
        </is>
      </c>
      <c r="E8912" t="inlineStr">
        <is>
          <t>KINDA</t>
        </is>
      </c>
      <c r="G8912" t="n">
        <v>0.3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9578-2024</t>
        </is>
      </c>
      <c r="B8913" s="1" t="n">
        <v>45360</v>
      </c>
      <c r="C8913" s="1" t="n">
        <v>45710</v>
      </c>
      <c r="D8913" t="inlineStr">
        <is>
          <t>ÖSTERGÖTLANDS LÄN</t>
        </is>
      </c>
      <c r="E8913" t="inlineStr">
        <is>
          <t>KINDA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9600-2024</t>
        </is>
      </c>
      <c r="B8914" s="1" t="n">
        <v>45361</v>
      </c>
      <c r="C8914" s="1" t="n">
        <v>45710</v>
      </c>
      <c r="D8914" t="inlineStr">
        <is>
          <t>ÖSTERGÖTLANDS LÄN</t>
        </is>
      </c>
      <c r="E8914" t="inlineStr">
        <is>
          <t>KINDA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9601-2024</t>
        </is>
      </c>
      <c r="B8915" s="1" t="n">
        <v>45361</v>
      </c>
      <c r="C8915" s="1" t="n">
        <v>45710</v>
      </c>
      <c r="D8915" t="inlineStr">
        <is>
          <t>ÖSTERGÖTLANDS LÄN</t>
        </is>
      </c>
      <c r="E8915" t="inlineStr">
        <is>
          <t>KINDA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9615-2024</t>
        </is>
      </c>
      <c r="B8916" s="1" t="n">
        <v>45361</v>
      </c>
      <c r="C8916" s="1" t="n">
        <v>45710</v>
      </c>
      <c r="D8916" t="inlineStr">
        <is>
          <t>ÖSTERGÖTLANDS LÄN</t>
        </is>
      </c>
      <c r="E8916" t="inlineStr">
        <is>
          <t>KINDA</t>
        </is>
      </c>
      <c r="G8916" t="n">
        <v>2.2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9704-2024</t>
        </is>
      </c>
      <c r="B8917" s="1" t="n">
        <v>45362</v>
      </c>
      <c r="C8917" s="1" t="n">
        <v>45710</v>
      </c>
      <c r="D8917" t="inlineStr">
        <is>
          <t>ÖSTERGÖTLANDS LÄN</t>
        </is>
      </c>
      <c r="E8917" t="inlineStr">
        <is>
          <t>ÅTVIDABERG</t>
        </is>
      </c>
      <c r="F8917" t="inlineStr">
        <is>
          <t>Sveaskog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9733-2024</t>
        </is>
      </c>
      <c r="B8918" s="1" t="n">
        <v>45362</v>
      </c>
      <c r="C8918" s="1" t="n">
        <v>45710</v>
      </c>
      <c r="D8918" t="inlineStr">
        <is>
          <t>ÖSTERGÖTLANDS LÄN</t>
        </is>
      </c>
      <c r="E8918" t="inlineStr">
        <is>
          <t>KINDA</t>
        </is>
      </c>
      <c r="F8918" t="inlineStr">
        <is>
          <t>Övriga Aktiebolag</t>
        </is>
      </c>
      <c r="G8918" t="n">
        <v>6.2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9723-2024</t>
        </is>
      </c>
      <c r="B8919" s="1" t="n">
        <v>45362</v>
      </c>
      <c r="C8919" s="1" t="n">
        <v>45710</v>
      </c>
      <c r="D8919" t="inlineStr">
        <is>
          <t>ÖSTERGÖTLANDS LÄN</t>
        </is>
      </c>
      <c r="E8919" t="inlineStr">
        <is>
          <t>NORRKÖPING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9727-2024</t>
        </is>
      </c>
      <c r="B8920" s="1" t="n">
        <v>45362</v>
      </c>
      <c r="C8920" s="1" t="n">
        <v>45710</v>
      </c>
      <c r="D8920" t="inlineStr">
        <is>
          <t>ÖSTERGÖTLANDS LÄN</t>
        </is>
      </c>
      <c r="E8920" t="inlineStr">
        <is>
          <t>NORRKÖPING</t>
        </is>
      </c>
      <c r="G8920" t="n">
        <v>4.9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9768-2024</t>
        </is>
      </c>
      <c r="B8921" s="1" t="n">
        <v>45362</v>
      </c>
      <c r="C8921" s="1" t="n">
        <v>45710</v>
      </c>
      <c r="D8921" t="inlineStr">
        <is>
          <t>ÖSTERGÖTLANDS LÄN</t>
        </is>
      </c>
      <c r="E8921" t="inlineStr">
        <is>
          <t>MOTALA</t>
        </is>
      </c>
      <c r="G8921" t="n">
        <v>19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9665-2024</t>
        </is>
      </c>
      <c r="B8922" s="1" t="n">
        <v>45362</v>
      </c>
      <c r="C8922" s="1" t="n">
        <v>45710</v>
      </c>
      <c r="D8922" t="inlineStr">
        <is>
          <t>ÖSTERGÖTLANDS LÄN</t>
        </is>
      </c>
      <c r="E8922" t="inlineStr">
        <is>
          <t>KINDA</t>
        </is>
      </c>
      <c r="F8922" t="inlineStr">
        <is>
          <t>Övriga Aktiebolag</t>
        </is>
      </c>
      <c r="G8922" t="n">
        <v>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9722-2024</t>
        </is>
      </c>
      <c r="B8923" s="1" t="n">
        <v>45362</v>
      </c>
      <c r="C8923" s="1" t="n">
        <v>45710</v>
      </c>
      <c r="D8923" t="inlineStr">
        <is>
          <t>ÖSTERGÖTLANDS LÄN</t>
        </is>
      </c>
      <c r="E8923" t="inlineStr">
        <is>
          <t>ÅTVIDABERG</t>
        </is>
      </c>
      <c r="F8923" t="inlineStr">
        <is>
          <t>Sveaskog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9728-2024</t>
        </is>
      </c>
      <c r="B8924" s="1" t="n">
        <v>45362</v>
      </c>
      <c r="C8924" s="1" t="n">
        <v>45710</v>
      </c>
      <c r="D8924" t="inlineStr">
        <is>
          <t>ÖSTERGÖTLANDS LÄN</t>
        </is>
      </c>
      <c r="E8924" t="inlineStr">
        <is>
          <t>NORRKÖPING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9798-2024</t>
        </is>
      </c>
      <c r="B8925" s="1" t="n">
        <v>45362</v>
      </c>
      <c r="C8925" s="1" t="n">
        <v>45710</v>
      </c>
      <c r="D8925" t="inlineStr">
        <is>
          <t>ÖSTERGÖTLANDS LÄN</t>
        </is>
      </c>
      <c r="E8925" t="inlineStr">
        <is>
          <t>LINKÖPING</t>
        </is>
      </c>
      <c r="G8925" t="n">
        <v>4.2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9800-2024</t>
        </is>
      </c>
      <c r="B8926" s="1" t="n">
        <v>45362</v>
      </c>
      <c r="C8926" s="1" t="n">
        <v>45710</v>
      </c>
      <c r="D8926" t="inlineStr">
        <is>
          <t>ÖSTERGÖTLANDS LÄN</t>
        </is>
      </c>
      <c r="E8926" t="inlineStr">
        <is>
          <t>LINKÖPING</t>
        </is>
      </c>
      <c r="G8926" t="n">
        <v>7.5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9809-2024</t>
        </is>
      </c>
      <c r="B8927" s="1" t="n">
        <v>45362</v>
      </c>
      <c r="C8927" s="1" t="n">
        <v>45710</v>
      </c>
      <c r="D8927" t="inlineStr">
        <is>
          <t>ÖSTERGÖTLANDS LÄN</t>
        </is>
      </c>
      <c r="E8927" t="inlineStr">
        <is>
          <t>FINSPÅNG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9893-2024</t>
        </is>
      </c>
      <c r="B8928" s="1" t="n">
        <v>45363</v>
      </c>
      <c r="C8928" s="1" t="n">
        <v>45710</v>
      </c>
      <c r="D8928" t="inlineStr">
        <is>
          <t>ÖSTERGÖTLANDS LÄN</t>
        </is>
      </c>
      <c r="E8928" t="inlineStr">
        <is>
          <t>FINSPÅNG</t>
        </is>
      </c>
      <c r="F8928" t="inlineStr">
        <is>
          <t>Kyrkan</t>
        </is>
      </c>
      <c r="G8928" t="n">
        <v>2.9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9920-2024</t>
        </is>
      </c>
      <c r="B8929" s="1" t="n">
        <v>45363</v>
      </c>
      <c r="C8929" s="1" t="n">
        <v>45710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9935-2024</t>
        </is>
      </c>
      <c r="B8930" s="1" t="n">
        <v>45363</v>
      </c>
      <c r="C8930" s="1" t="n">
        <v>45710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9943-2024</t>
        </is>
      </c>
      <c r="B8931" s="1" t="n">
        <v>45363</v>
      </c>
      <c r="C8931" s="1" t="n">
        <v>45710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9846-2024</t>
        </is>
      </c>
      <c r="B8932" s="1" t="n">
        <v>45363</v>
      </c>
      <c r="C8932" s="1" t="n">
        <v>45710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  <c r="U8932">
        <f>HYPERLINK("https://klasma.github.io/Logging_0581/knärot/A 9846-2024 karta knärot.png", "A 9846-2024")</f>
        <v/>
      </c>
      <c r="V8932">
        <f>HYPERLINK("https://klasma.github.io/Logging_0581/klagomål/A 9846-2024 FSC-klagomål.docx", "A 9846-2024")</f>
        <v/>
      </c>
      <c r="W8932">
        <f>HYPERLINK("https://klasma.github.io/Logging_0581/klagomålsmail/A 9846-2024 FSC-klagomål mail.docx", "A 9846-2024")</f>
        <v/>
      </c>
      <c r="X8932">
        <f>HYPERLINK("https://klasma.github.io/Logging_0581/tillsyn/A 9846-2024 tillsynsbegäran.docx", "A 9846-2024")</f>
        <v/>
      </c>
      <c r="Y8932">
        <f>HYPERLINK("https://klasma.github.io/Logging_0581/tillsynsmail/A 9846-2024 tillsynsbegäran mail.docx", "A 9846-2024")</f>
        <v/>
      </c>
    </row>
    <row r="8933" ht="15" customHeight="1">
      <c r="A8933" t="inlineStr">
        <is>
          <t>A 9941-2024</t>
        </is>
      </c>
      <c r="B8933" s="1" t="n">
        <v>45363</v>
      </c>
      <c r="C8933" s="1" t="n">
        <v>45710</v>
      </c>
      <c r="D8933" t="inlineStr">
        <is>
          <t>ÖSTERGÖTLANDS LÄN</t>
        </is>
      </c>
      <c r="E8933" t="inlineStr">
        <is>
          <t>NORRKÖPING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9953-2024</t>
        </is>
      </c>
      <c r="B8934" s="1" t="n">
        <v>45363</v>
      </c>
      <c r="C8934" s="1" t="n">
        <v>45710</v>
      </c>
      <c r="D8934" t="inlineStr">
        <is>
          <t>ÖSTERGÖTLANDS LÄN</t>
        </is>
      </c>
      <c r="E8934" t="inlineStr">
        <is>
          <t>NORRKÖPING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9969-2024</t>
        </is>
      </c>
      <c r="B8935" s="1" t="n">
        <v>45363</v>
      </c>
      <c r="C8935" s="1" t="n">
        <v>45710</v>
      </c>
      <c r="D8935" t="inlineStr">
        <is>
          <t>ÖSTERGÖTLANDS LÄN</t>
        </is>
      </c>
      <c r="E8935" t="inlineStr">
        <is>
          <t>YDRE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10008-2024</t>
        </is>
      </c>
      <c r="B8936" s="1" t="n">
        <v>45363</v>
      </c>
      <c r="C8936" s="1" t="n">
        <v>45710</v>
      </c>
      <c r="D8936" t="inlineStr">
        <is>
          <t>ÖSTERGÖTLANDS LÄN</t>
        </is>
      </c>
      <c r="E8936" t="inlineStr">
        <is>
          <t>MJÖLBY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10009-2024</t>
        </is>
      </c>
      <c r="B8937" s="1" t="n">
        <v>45363</v>
      </c>
      <c r="C8937" s="1" t="n">
        <v>45710</v>
      </c>
      <c r="D8937" t="inlineStr">
        <is>
          <t>ÖSTERGÖTLANDS LÄN</t>
        </is>
      </c>
      <c r="E8937" t="inlineStr">
        <is>
          <t>MJÖLBY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9987-2024</t>
        </is>
      </c>
      <c r="B8938" s="1" t="n">
        <v>45363</v>
      </c>
      <c r="C8938" s="1" t="n">
        <v>45710</v>
      </c>
      <c r="D8938" t="inlineStr">
        <is>
          <t>ÖSTERGÖTLANDS LÄN</t>
        </is>
      </c>
      <c r="E8938" t="inlineStr">
        <is>
          <t>LINKÖPING</t>
        </is>
      </c>
      <c r="F8938" t="inlineStr">
        <is>
          <t>Övriga Aktiebolag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10007-2024</t>
        </is>
      </c>
      <c r="B8939" s="1" t="n">
        <v>45363</v>
      </c>
      <c r="C8939" s="1" t="n">
        <v>45710</v>
      </c>
      <c r="D8939" t="inlineStr">
        <is>
          <t>ÖSTERGÖTLANDS LÄN</t>
        </is>
      </c>
      <c r="E8939" t="inlineStr">
        <is>
          <t>MJÖLBY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10006-2024</t>
        </is>
      </c>
      <c r="B8940" s="1" t="n">
        <v>45363</v>
      </c>
      <c r="C8940" s="1" t="n">
        <v>45710</v>
      </c>
      <c r="D8940" t="inlineStr">
        <is>
          <t>ÖSTERGÖTLANDS LÄN</t>
        </is>
      </c>
      <c r="E8940" t="inlineStr">
        <is>
          <t>MJÖLBY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10077-2024</t>
        </is>
      </c>
      <c r="B8941" s="1" t="n">
        <v>45364</v>
      </c>
      <c r="C8941" s="1" t="n">
        <v>45710</v>
      </c>
      <c r="D8941" t="inlineStr">
        <is>
          <t>ÖSTERGÖTLANDS LÄN</t>
        </is>
      </c>
      <c r="E8941" t="inlineStr">
        <is>
          <t>YDRE</t>
        </is>
      </c>
      <c r="F8941" t="inlineStr">
        <is>
          <t>Sveaskog</t>
        </is>
      </c>
      <c r="G8941" t="n">
        <v>3.4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10152-2024</t>
        </is>
      </c>
      <c r="B8942" s="1" t="n">
        <v>45364</v>
      </c>
      <c r="C8942" s="1" t="n">
        <v>45710</v>
      </c>
      <c r="D8942" t="inlineStr">
        <is>
          <t>ÖSTERGÖTLANDS LÄN</t>
        </is>
      </c>
      <c r="E8942" t="inlineStr">
        <is>
          <t>BOXHOLM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10161-2024</t>
        </is>
      </c>
      <c r="B8943" s="1" t="n">
        <v>45364</v>
      </c>
      <c r="C8943" s="1" t="n">
        <v>45710</v>
      </c>
      <c r="D8943" t="inlineStr">
        <is>
          <t>ÖSTERGÖTLANDS LÄN</t>
        </is>
      </c>
      <c r="E8943" t="inlineStr">
        <is>
          <t>ÅTVIDABERG</t>
        </is>
      </c>
      <c r="F8943" t="inlineStr">
        <is>
          <t>Sveaskog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10094-2024</t>
        </is>
      </c>
      <c r="B8944" s="1" t="n">
        <v>45364</v>
      </c>
      <c r="C8944" s="1" t="n">
        <v>45710</v>
      </c>
      <c r="D8944" t="inlineStr">
        <is>
          <t>ÖSTERGÖTLANDS LÄN</t>
        </is>
      </c>
      <c r="E8944" t="inlineStr">
        <is>
          <t>LINKÖPING</t>
        </is>
      </c>
      <c r="F8944" t="inlineStr">
        <is>
          <t>Övriga Aktiebolag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10160-2024</t>
        </is>
      </c>
      <c r="B8945" s="1" t="n">
        <v>45364</v>
      </c>
      <c r="C8945" s="1" t="n">
        <v>45710</v>
      </c>
      <c r="D8945" t="inlineStr">
        <is>
          <t>ÖSTERGÖTLANDS LÄN</t>
        </is>
      </c>
      <c r="E8945" t="inlineStr">
        <is>
          <t>ÅTVIDABERG</t>
        </is>
      </c>
      <c r="F8945" t="inlineStr">
        <is>
          <t>Sveaskog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10228-2024</t>
        </is>
      </c>
      <c r="B8946" s="1" t="n">
        <v>45365</v>
      </c>
      <c r="C8946" s="1" t="n">
        <v>45710</v>
      </c>
      <c r="D8946" t="inlineStr">
        <is>
          <t>ÖSTERGÖTLANDS LÄN</t>
        </is>
      </c>
      <c r="E8946" t="inlineStr">
        <is>
          <t>SÖDERKÖPING</t>
        </is>
      </c>
      <c r="G8946" t="n">
        <v>4.8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10262-2024</t>
        </is>
      </c>
      <c r="B8947" s="1" t="n">
        <v>45365</v>
      </c>
      <c r="C8947" s="1" t="n">
        <v>45710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10267-2024</t>
        </is>
      </c>
      <c r="B8948" s="1" t="n">
        <v>45365</v>
      </c>
      <c r="C8948" s="1" t="n">
        <v>45710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10261-2024</t>
        </is>
      </c>
      <c r="B8949" s="1" t="n">
        <v>45365</v>
      </c>
      <c r="C8949" s="1" t="n">
        <v>45710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Kyrkan</t>
        </is>
      </c>
      <c r="G8949" t="n">
        <v>3.7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10270-2024</t>
        </is>
      </c>
      <c r="B8950" s="1" t="n">
        <v>45365</v>
      </c>
      <c r="C8950" s="1" t="n">
        <v>45710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10331-2024</t>
        </is>
      </c>
      <c r="B8951" s="1" t="n">
        <v>45365</v>
      </c>
      <c r="C8951" s="1" t="n">
        <v>45710</v>
      </c>
      <c r="D8951" t="inlineStr">
        <is>
          <t>ÖSTERGÖTLANDS LÄN</t>
        </is>
      </c>
      <c r="E8951" t="inlineStr">
        <is>
          <t>BOXHOLM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10339-2024</t>
        </is>
      </c>
      <c r="B8952" s="1" t="n">
        <v>45365</v>
      </c>
      <c r="C8952" s="1" t="n">
        <v>45710</v>
      </c>
      <c r="D8952" t="inlineStr">
        <is>
          <t>ÖSTERGÖTLANDS LÄN</t>
        </is>
      </c>
      <c r="E8952" t="inlineStr">
        <is>
          <t>BOXHOLM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10353-2024</t>
        </is>
      </c>
      <c r="B8953" s="1" t="n">
        <v>45365</v>
      </c>
      <c r="C8953" s="1" t="n">
        <v>45710</v>
      </c>
      <c r="D8953" t="inlineStr">
        <is>
          <t>ÖSTERGÖTLANDS LÄN</t>
        </is>
      </c>
      <c r="E8953" t="inlineStr">
        <is>
          <t>BOXHOLM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10369-2024</t>
        </is>
      </c>
      <c r="B8954" s="1" t="n">
        <v>45365</v>
      </c>
      <c r="C8954" s="1" t="n">
        <v>45710</v>
      </c>
      <c r="D8954" t="inlineStr">
        <is>
          <t>ÖSTERGÖTLANDS LÄN</t>
        </is>
      </c>
      <c r="E8954" t="inlineStr">
        <is>
          <t>SÖDERKÖPING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10294-2024</t>
        </is>
      </c>
      <c r="B8955" s="1" t="n">
        <v>45365</v>
      </c>
      <c r="C8955" s="1" t="n">
        <v>45710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Kyrkan</t>
        </is>
      </c>
      <c r="G8955" t="n">
        <v>3.8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10273-2024</t>
        </is>
      </c>
      <c r="B8956" s="1" t="n">
        <v>45365</v>
      </c>
      <c r="C8956" s="1" t="n">
        <v>45710</v>
      </c>
      <c r="D8956" t="inlineStr">
        <is>
          <t>ÖSTERGÖTLANDS LÄN</t>
        </is>
      </c>
      <c r="E8956" t="inlineStr">
        <is>
          <t>FINSPÅNG</t>
        </is>
      </c>
      <c r="F8956" t="inlineStr">
        <is>
          <t>Holmen skog AB</t>
        </is>
      </c>
      <c r="G8956" t="n">
        <v>2.5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10347-2024</t>
        </is>
      </c>
      <c r="B8957" s="1" t="n">
        <v>45365</v>
      </c>
      <c r="C8957" s="1" t="n">
        <v>45710</v>
      </c>
      <c r="D8957" t="inlineStr">
        <is>
          <t>ÖSTERGÖTLANDS LÄN</t>
        </is>
      </c>
      <c r="E8957" t="inlineStr">
        <is>
          <t>BOXHOLM</t>
        </is>
      </c>
      <c r="G8957" t="n">
        <v>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10393-2024</t>
        </is>
      </c>
      <c r="B8958" s="1" t="n">
        <v>45365</v>
      </c>
      <c r="C8958" s="1" t="n">
        <v>45710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Kommuner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10424-2024</t>
        </is>
      </c>
      <c r="B8959" s="1" t="n">
        <v>45365</v>
      </c>
      <c r="C8959" s="1" t="n">
        <v>45710</v>
      </c>
      <c r="D8959" t="inlineStr">
        <is>
          <t>ÖSTERGÖTLANDS LÄN</t>
        </is>
      </c>
      <c r="E8959" t="inlineStr">
        <is>
          <t>YDRE</t>
        </is>
      </c>
      <c r="G8959" t="n">
        <v>3.4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10414-2024</t>
        </is>
      </c>
      <c r="B8960" s="1" t="n">
        <v>45365</v>
      </c>
      <c r="C8960" s="1" t="n">
        <v>45710</v>
      </c>
      <c r="D8960" t="inlineStr">
        <is>
          <t>ÖSTERGÖTLANDS LÄN</t>
        </is>
      </c>
      <c r="E8960" t="inlineStr">
        <is>
          <t>YDRE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10759-2024</t>
        </is>
      </c>
      <c r="B8961" s="1" t="n">
        <v>45369</v>
      </c>
      <c r="C8961" s="1" t="n">
        <v>45710</v>
      </c>
      <c r="D8961" t="inlineStr">
        <is>
          <t>ÖSTERGÖTLANDS LÄN</t>
        </is>
      </c>
      <c r="E8961" t="inlineStr">
        <is>
          <t>YDRE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10788-2024</t>
        </is>
      </c>
      <c r="B8962" s="1" t="n">
        <v>45369</v>
      </c>
      <c r="C8962" s="1" t="n">
        <v>45710</v>
      </c>
      <c r="D8962" t="inlineStr">
        <is>
          <t>ÖSTERGÖTLANDS LÄN</t>
        </is>
      </c>
      <c r="E8962" t="inlineStr">
        <is>
          <t>NORRKÖPING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10796-2024</t>
        </is>
      </c>
      <c r="B8963" s="1" t="n">
        <v>45369</v>
      </c>
      <c r="C8963" s="1" t="n">
        <v>45710</v>
      </c>
      <c r="D8963" t="inlineStr">
        <is>
          <t>ÖSTERGÖTLANDS LÄN</t>
        </is>
      </c>
      <c r="E8963" t="inlineStr">
        <is>
          <t>NORRKÖPING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10834-2024</t>
        </is>
      </c>
      <c r="B8964" s="1" t="n">
        <v>45369</v>
      </c>
      <c r="C8964" s="1" t="n">
        <v>45710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2.6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10818-2024</t>
        </is>
      </c>
      <c r="B8965" s="1" t="n">
        <v>45369</v>
      </c>
      <c r="C8965" s="1" t="n">
        <v>45710</v>
      </c>
      <c r="D8965" t="inlineStr">
        <is>
          <t>ÖSTERGÖTLANDS LÄN</t>
        </is>
      </c>
      <c r="E8965" t="inlineStr">
        <is>
          <t>LINKÖPING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10805-2024</t>
        </is>
      </c>
      <c r="B8966" s="1" t="n">
        <v>45369</v>
      </c>
      <c r="C8966" s="1" t="n">
        <v>45710</v>
      </c>
      <c r="D8966" t="inlineStr">
        <is>
          <t>ÖSTERGÖTLANDS LÄN</t>
        </is>
      </c>
      <c r="E8966" t="inlineStr">
        <is>
          <t>LINKÖPING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10797-2024</t>
        </is>
      </c>
      <c r="B8967" s="1" t="n">
        <v>45369</v>
      </c>
      <c r="C8967" s="1" t="n">
        <v>45710</v>
      </c>
      <c r="D8967" t="inlineStr">
        <is>
          <t>ÖSTERGÖTLANDS LÄN</t>
        </is>
      </c>
      <c r="E8967" t="inlineStr">
        <is>
          <t>LINKÖPING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10772-2024</t>
        </is>
      </c>
      <c r="B8968" s="1" t="n">
        <v>45369</v>
      </c>
      <c r="C8968" s="1" t="n">
        <v>45710</v>
      </c>
      <c r="D8968" t="inlineStr">
        <is>
          <t>ÖSTERGÖTLANDS LÄN</t>
        </is>
      </c>
      <c r="E8968" t="inlineStr">
        <is>
          <t>YDRE</t>
        </is>
      </c>
      <c r="G8968" t="n">
        <v>5.2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10748-2024</t>
        </is>
      </c>
      <c r="B8969" s="1" t="n">
        <v>45369</v>
      </c>
      <c r="C8969" s="1" t="n">
        <v>45710</v>
      </c>
      <c r="D8969" t="inlineStr">
        <is>
          <t>ÖSTERGÖTLANDS LÄN</t>
        </is>
      </c>
      <c r="E8969" t="inlineStr">
        <is>
          <t>FINSPÅNG</t>
        </is>
      </c>
      <c r="F8969" t="inlineStr">
        <is>
          <t>Sveaskog</t>
        </is>
      </c>
      <c r="G8969" t="n">
        <v>9.4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10766-2024</t>
        </is>
      </c>
      <c r="B8970" s="1" t="n">
        <v>45369</v>
      </c>
      <c r="C8970" s="1" t="n">
        <v>45710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10791-2024</t>
        </is>
      </c>
      <c r="B8971" s="1" t="n">
        <v>45369</v>
      </c>
      <c r="C8971" s="1" t="n">
        <v>45710</v>
      </c>
      <c r="D8971" t="inlineStr">
        <is>
          <t>ÖSTERGÖTLANDS LÄN</t>
        </is>
      </c>
      <c r="E8971" t="inlineStr">
        <is>
          <t>NORRKÖPING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10824-2024</t>
        </is>
      </c>
      <c r="B8972" s="1" t="n">
        <v>45369</v>
      </c>
      <c r="C8972" s="1" t="n">
        <v>45710</v>
      </c>
      <c r="D8972" t="inlineStr">
        <is>
          <t>ÖSTERGÖTLANDS LÄN</t>
        </is>
      </c>
      <c r="E8972" t="inlineStr">
        <is>
          <t>KINDA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10849-2024</t>
        </is>
      </c>
      <c r="B8973" s="1" t="n">
        <v>45369</v>
      </c>
      <c r="C8973" s="1" t="n">
        <v>45710</v>
      </c>
      <c r="D8973" t="inlineStr">
        <is>
          <t>ÖSTERGÖTLANDS LÄN</t>
        </is>
      </c>
      <c r="E8973" t="inlineStr">
        <is>
          <t>FINSPÅNG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10823-2024</t>
        </is>
      </c>
      <c r="B8974" s="1" t="n">
        <v>45369</v>
      </c>
      <c r="C8974" s="1" t="n">
        <v>45710</v>
      </c>
      <c r="D8974" t="inlineStr">
        <is>
          <t>ÖSTERGÖTLANDS LÄN</t>
        </is>
      </c>
      <c r="E8974" t="inlineStr">
        <is>
          <t>KINDA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10806-2024</t>
        </is>
      </c>
      <c r="B8975" s="1" t="n">
        <v>45369</v>
      </c>
      <c r="C8975" s="1" t="n">
        <v>45710</v>
      </c>
      <c r="D8975" t="inlineStr">
        <is>
          <t>ÖSTERGÖTLANDS LÄN</t>
        </is>
      </c>
      <c r="E8975" t="inlineStr">
        <is>
          <t>KINDA</t>
        </is>
      </c>
      <c r="G8975" t="n">
        <v>4.2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10798-2024</t>
        </is>
      </c>
      <c r="B8976" s="1" t="n">
        <v>45369</v>
      </c>
      <c r="C8976" s="1" t="n">
        <v>45710</v>
      </c>
      <c r="D8976" t="inlineStr">
        <is>
          <t>ÖSTERGÖTLANDS LÄN</t>
        </is>
      </c>
      <c r="E8976" t="inlineStr">
        <is>
          <t>NORRKÖPING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10765-2024</t>
        </is>
      </c>
      <c r="B8977" s="1" t="n">
        <v>45369</v>
      </c>
      <c r="C8977" s="1" t="n">
        <v>45710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10749-2024</t>
        </is>
      </c>
      <c r="B8978" s="1" t="n">
        <v>45369</v>
      </c>
      <c r="C8978" s="1" t="n">
        <v>45710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Sveaskog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10950-2024</t>
        </is>
      </c>
      <c r="B8979" s="1" t="n">
        <v>45370</v>
      </c>
      <c r="C8979" s="1" t="n">
        <v>45710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Naturvårdsverket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10975-2024</t>
        </is>
      </c>
      <c r="B8980" s="1" t="n">
        <v>45370</v>
      </c>
      <c r="C8980" s="1" t="n">
        <v>45710</v>
      </c>
      <c r="D8980" t="inlineStr">
        <is>
          <t>ÖSTERGÖTLANDS LÄN</t>
        </is>
      </c>
      <c r="E8980" t="inlineStr">
        <is>
          <t>MJÖLBY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10969-2024</t>
        </is>
      </c>
      <c r="B8981" s="1" t="n">
        <v>45370</v>
      </c>
      <c r="C8981" s="1" t="n">
        <v>45710</v>
      </c>
      <c r="D8981" t="inlineStr">
        <is>
          <t>ÖSTERGÖTLANDS LÄN</t>
        </is>
      </c>
      <c r="E8981" t="inlineStr">
        <is>
          <t>MJÖLBY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10973-2024</t>
        </is>
      </c>
      <c r="B8982" s="1" t="n">
        <v>45370</v>
      </c>
      <c r="C8982" s="1" t="n">
        <v>45710</v>
      </c>
      <c r="D8982" t="inlineStr">
        <is>
          <t>ÖSTERGÖTLANDS LÄN</t>
        </is>
      </c>
      <c r="E8982" t="inlineStr">
        <is>
          <t>MJÖLBY</t>
        </is>
      </c>
      <c r="G8982" t="n">
        <v>4.4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10982-2024</t>
        </is>
      </c>
      <c r="B8983" s="1" t="n">
        <v>45370</v>
      </c>
      <c r="C8983" s="1" t="n">
        <v>45710</v>
      </c>
      <c r="D8983" t="inlineStr">
        <is>
          <t>ÖSTERGÖTLANDS LÄN</t>
        </is>
      </c>
      <c r="E8983" t="inlineStr">
        <is>
          <t>MJÖLBY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11006-2024</t>
        </is>
      </c>
      <c r="B8984" s="1" t="n">
        <v>45370</v>
      </c>
      <c r="C8984" s="1" t="n">
        <v>45710</v>
      </c>
      <c r="D8984" t="inlineStr">
        <is>
          <t>ÖSTERGÖTLANDS LÄN</t>
        </is>
      </c>
      <c r="E8984" t="inlineStr">
        <is>
          <t>YDRE</t>
        </is>
      </c>
      <c r="G8984" t="n">
        <v>2.9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10989-2024</t>
        </is>
      </c>
      <c r="B8985" s="1" t="n">
        <v>45370</v>
      </c>
      <c r="C8985" s="1" t="n">
        <v>45710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11074-2024</t>
        </is>
      </c>
      <c r="B8986" s="1" t="n">
        <v>45370</v>
      </c>
      <c r="C8986" s="1" t="n">
        <v>45710</v>
      </c>
      <c r="D8986" t="inlineStr">
        <is>
          <t>ÖSTERGÖTLANDS LÄN</t>
        </is>
      </c>
      <c r="E8986" t="inlineStr">
        <is>
          <t>KINDA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10931-2024</t>
        </is>
      </c>
      <c r="B8987" s="1" t="n">
        <v>45370</v>
      </c>
      <c r="C8987" s="1" t="n">
        <v>45710</v>
      </c>
      <c r="D8987" t="inlineStr">
        <is>
          <t>ÖSTERGÖTLANDS LÄN</t>
        </is>
      </c>
      <c r="E8987" t="inlineStr">
        <is>
          <t>ÖDESHÖG</t>
        </is>
      </c>
      <c r="G8987" t="n">
        <v>6.1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11063-2024</t>
        </is>
      </c>
      <c r="B8988" s="1" t="n">
        <v>45370</v>
      </c>
      <c r="C8988" s="1" t="n">
        <v>45710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Naturvårdsverket</t>
        </is>
      </c>
      <c r="G8988" t="n">
        <v>9.1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10939-2024</t>
        </is>
      </c>
      <c r="B8989" s="1" t="n">
        <v>45370</v>
      </c>
      <c r="C8989" s="1" t="n">
        <v>45710</v>
      </c>
      <c r="D8989" t="inlineStr">
        <is>
          <t>ÖSTERGÖTLANDS LÄN</t>
        </is>
      </c>
      <c r="E8989" t="inlineStr">
        <is>
          <t>MJÖLBY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10947-2024</t>
        </is>
      </c>
      <c r="B8990" s="1" t="n">
        <v>45370</v>
      </c>
      <c r="C8990" s="1" t="n">
        <v>45710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11073-2024</t>
        </is>
      </c>
      <c r="B8991" s="1" t="n">
        <v>45370</v>
      </c>
      <c r="C8991" s="1" t="n">
        <v>45710</v>
      </c>
      <c r="D8991" t="inlineStr">
        <is>
          <t>ÖSTERGÖTLANDS LÄN</t>
        </is>
      </c>
      <c r="E8991" t="inlineStr">
        <is>
          <t>KINDA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10972-2024</t>
        </is>
      </c>
      <c r="B8992" s="1" t="n">
        <v>45370</v>
      </c>
      <c r="C8992" s="1" t="n">
        <v>45710</v>
      </c>
      <c r="D8992" t="inlineStr">
        <is>
          <t>ÖSTERGÖTLANDS LÄN</t>
        </is>
      </c>
      <c r="E8992" t="inlineStr">
        <is>
          <t>ÖDESHÖG</t>
        </is>
      </c>
      <c r="G8992" t="n">
        <v>8.5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10980-2024</t>
        </is>
      </c>
      <c r="B8993" s="1" t="n">
        <v>45370</v>
      </c>
      <c r="C8993" s="1" t="n">
        <v>45710</v>
      </c>
      <c r="D8993" t="inlineStr">
        <is>
          <t>ÖSTERGÖTLANDS LÄN</t>
        </is>
      </c>
      <c r="E8993" t="inlineStr">
        <is>
          <t>MJÖLBY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10984-2024</t>
        </is>
      </c>
      <c r="B8994" s="1" t="n">
        <v>45370</v>
      </c>
      <c r="C8994" s="1" t="n">
        <v>45710</v>
      </c>
      <c r="D8994" t="inlineStr">
        <is>
          <t>ÖSTERGÖTLANDS LÄN</t>
        </is>
      </c>
      <c r="E8994" t="inlineStr">
        <is>
          <t>MJÖLBY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11072-2024</t>
        </is>
      </c>
      <c r="B8995" s="1" t="n">
        <v>45370</v>
      </c>
      <c r="C8995" s="1" t="n">
        <v>45710</v>
      </c>
      <c r="D8995" t="inlineStr">
        <is>
          <t>ÖSTERGÖTLANDS LÄN</t>
        </is>
      </c>
      <c r="E8995" t="inlineStr">
        <is>
          <t>KINDA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11113-2024</t>
        </is>
      </c>
      <c r="B8996" s="1" t="n">
        <v>45371</v>
      </c>
      <c r="C8996" s="1" t="n">
        <v>45710</v>
      </c>
      <c r="D8996" t="inlineStr">
        <is>
          <t>ÖSTERGÖTLANDS LÄN</t>
        </is>
      </c>
      <c r="E8996" t="inlineStr">
        <is>
          <t>MJÖLBY</t>
        </is>
      </c>
      <c r="F8996" t="inlineStr">
        <is>
          <t>Sveaskog</t>
        </is>
      </c>
      <c r="G8996" t="n">
        <v>8.199999999999999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11149-2024</t>
        </is>
      </c>
      <c r="B8997" s="1" t="n">
        <v>45371</v>
      </c>
      <c r="C8997" s="1" t="n">
        <v>45710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Kyrkan</t>
        </is>
      </c>
      <c r="G8997" t="n">
        <v>6.5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11185-2024</t>
        </is>
      </c>
      <c r="B8998" s="1" t="n">
        <v>45371</v>
      </c>
      <c r="C8998" s="1" t="n">
        <v>45710</v>
      </c>
      <c r="D8998" t="inlineStr">
        <is>
          <t>ÖSTERGÖTLANDS LÄN</t>
        </is>
      </c>
      <c r="E8998" t="inlineStr">
        <is>
          <t>YDRE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11247-2024</t>
        </is>
      </c>
      <c r="B8999" s="1" t="n">
        <v>45371</v>
      </c>
      <c r="C8999" s="1" t="n">
        <v>45710</v>
      </c>
      <c r="D8999" t="inlineStr">
        <is>
          <t>ÖSTERGÖTLANDS LÄN</t>
        </is>
      </c>
      <c r="E8999" t="inlineStr">
        <is>
          <t>YDRE</t>
        </is>
      </c>
      <c r="F8999" t="inlineStr">
        <is>
          <t>Sveaskog</t>
        </is>
      </c>
      <c r="G8999" t="n">
        <v>13.3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11114-2024</t>
        </is>
      </c>
      <c r="B9000" s="1" t="n">
        <v>45371</v>
      </c>
      <c r="C9000" s="1" t="n">
        <v>45710</v>
      </c>
      <c r="D9000" t="inlineStr">
        <is>
          <t>ÖSTERGÖTLANDS LÄN</t>
        </is>
      </c>
      <c r="E9000" t="inlineStr">
        <is>
          <t>LINKÖPING</t>
        </is>
      </c>
      <c r="F9000" t="inlineStr">
        <is>
          <t>Sveaskog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11273-2024</t>
        </is>
      </c>
      <c r="B9001" s="1" t="n">
        <v>45371</v>
      </c>
      <c r="C9001" s="1" t="n">
        <v>45710</v>
      </c>
      <c r="D9001" t="inlineStr">
        <is>
          <t>ÖSTERGÖTLANDS LÄN</t>
        </is>
      </c>
      <c r="E9001" t="inlineStr">
        <is>
          <t>YDRE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11116-2024</t>
        </is>
      </c>
      <c r="B9002" s="1" t="n">
        <v>45371</v>
      </c>
      <c r="C9002" s="1" t="n">
        <v>45710</v>
      </c>
      <c r="D9002" t="inlineStr">
        <is>
          <t>ÖSTERGÖTLANDS LÄN</t>
        </is>
      </c>
      <c r="E9002" t="inlineStr">
        <is>
          <t>LINKÖPING</t>
        </is>
      </c>
      <c r="F9002" t="inlineStr">
        <is>
          <t>Sveaskog</t>
        </is>
      </c>
      <c r="G9002" t="n">
        <v>2.1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11124-2024</t>
        </is>
      </c>
      <c r="B9003" s="1" t="n">
        <v>45371</v>
      </c>
      <c r="C9003" s="1" t="n">
        <v>45710</v>
      </c>
      <c r="D9003" t="inlineStr">
        <is>
          <t>ÖSTERGÖTLANDS LÄN</t>
        </is>
      </c>
      <c r="E9003" t="inlineStr">
        <is>
          <t>BOXHOLM</t>
        </is>
      </c>
      <c r="G9003" t="n">
        <v>5.8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11303-2024</t>
        </is>
      </c>
      <c r="B9004" s="1" t="n">
        <v>45371</v>
      </c>
      <c r="C9004" s="1" t="n">
        <v>45710</v>
      </c>
      <c r="D9004" t="inlineStr">
        <is>
          <t>ÖSTERGÖTLANDS LÄN</t>
        </is>
      </c>
      <c r="E9004" t="inlineStr">
        <is>
          <t>ÅTVIDABERG</t>
        </is>
      </c>
      <c r="G9004" t="n">
        <v>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11401-2024</t>
        </is>
      </c>
      <c r="B9005" s="1" t="n">
        <v>45372</v>
      </c>
      <c r="C9005" s="1" t="n">
        <v>45710</v>
      </c>
      <c r="D9005" t="inlineStr">
        <is>
          <t>ÖSTERGÖTLANDS LÄN</t>
        </is>
      </c>
      <c r="E9005" t="inlineStr">
        <is>
          <t>BOXHOLM</t>
        </is>
      </c>
      <c r="F9005" t="inlineStr">
        <is>
          <t>Övriga Aktiebolag</t>
        </is>
      </c>
      <c r="G9005" t="n">
        <v>0.4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11478-2024</t>
        </is>
      </c>
      <c r="B9006" s="1" t="n">
        <v>45372</v>
      </c>
      <c r="C9006" s="1" t="n">
        <v>45710</v>
      </c>
      <c r="D9006" t="inlineStr">
        <is>
          <t>ÖSTERGÖTLANDS LÄN</t>
        </is>
      </c>
      <c r="E9006" t="inlineStr">
        <is>
          <t>MJÖLBY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11511-2024</t>
        </is>
      </c>
      <c r="B9007" s="1" t="n">
        <v>45372</v>
      </c>
      <c r="C9007" s="1" t="n">
        <v>45710</v>
      </c>
      <c r="D9007" t="inlineStr">
        <is>
          <t>ÖSTERGÖTLANDS LÄN</t>
        </is>
      </c>
      <c r="E9007" t="inlineStr">
        <is>
          <t>KINDA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11620-2024</t>
        </is>
      </c>
      <c r="B9008" s="1" t="n">
        <v>45373</v>
      </c>
      <c r="C9008" s="1" t="n">
        <v>45710</v>
      </c>
      <c r="D9008" t="inlineStr">
        <is>
          <t>ÖSTERGÖTLANDS LÄN</t>
        </is>
      </c>
      <c r="E9008" t="inlineStr">
        <is>
          <t>KINDA</t>
        </is>
      </c>
      <c r="G9008" t="n">
        <v>1.7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11737-2024</t>
        </is>
      </c>
      <c r="B9009" s="1" t="n">
        <v>45373</v>
      </c>
      <c r="C9009" s="1" t="n">
        <v>45710</v>
      </c>
      <c r="D9009" t="inlineStr">
        <is>
          <t>ÖSTERGÖTLANDS LÄN</t>
        </is>
      </c>
      <c r="E9009" t="inlineStr">
        <is>
          <t>NORRKÖPING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11704-2024</t>
        </is>
      </c>
      <c r="B9010" s="1" t="n">
        <v>45373</v>
      </c>
      <c r="C9010" s="1" t="n">
        <v>45710</v>
      </c>
      <c r="D9010" t="inlineStr">
        <is>
          <t>ÖSTERGÖTLANDS LÄN</t>
        </is>
      </c>
      <c r="E9010" t="inlineStr">
        <is>
          <t>ÖDESHÖG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11699-2024</t>
        </is>
      </c>
      <c r="B9011" s="1" t="n">
        <v>45373</v>
      </c>
      <c r="C9011" s="1" t="n">
        <v>45710</v>
      </c>
      <c r="D9011" t="inlineStr">
        <is>
          <t>ÖSTERGÖTLANDS LÄN</t>
        </is>
      </c>
      <c r="E9011" t="inlineStr">
        <is>
          <t>ÖDESHÖG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11739-2024</t>
        </is>
      </c>
      <c r="B9012" s="1" t="n">
        <v>45373</v>
      </c>
      <c r="C9012" s="1" t="n">
        <v>45710</v>
      </c>
      <c r="D9012" t="inlineStr">
        <is>
          <t>ÖSTERGÖTLANDS LÄN</t>
        </is>
      </c>
      <c r="E9012" t="inlineStr">
        <is>
          <t>NORRKÖPING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11627-2024</t>
        </is>
      </c>
      <c r="B9013" s="1" t="n">
        <v>45373</v>
      </c>
      <c r="C9013" s="1" t="n">
        <v>45710</v>
      </c>
      <c r="D9013" t="inlineStr">
        <is>
          <t>ÖSTERGÖTLANDS LÄN</t>
        </is>
      </c>
      <c r="E9013" t="inlineStr">
        <is>
          <t>MOTALA</t>
        </is>
      </c>
      <c r="G9013" t="n">
        <v>6.2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11641-2024</t>
        </is>
      </c>
      <c r="B9014" s="1" t="n">
        <v>45373</v>
      </c>
      <c r="C9014" s="1" t="n">
        <v>45710</v>
      </c>
      <c r="D9014" t="inlineStr">
        <is>
          <t>ÖSTERGÖTLANDS LÄN</t>
        </is>
      </c>
      <c r="E9014" t="inlineStr">
        <is>
          <t>NORRKÖPING</t>
        </is>
      </c>
      <c r="G9014" t="n">
        <v>8.6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11564-2024</t>
        </is>
      </c>
      <c r="B9015" s="1" t="n">
        <v>45373</v>
      </c>
      <c r="C9015" s="1" t="n">
        <v>45710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11568-2024</t>
        </is>
      </c>
      <c r="B9016" s="1" t="n">
        <v>45373</v>
      </c>
      <c r="C9016" s="1" t="n">
        <v>45710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11741-2024</t>
        </is>
      </c>
      <c r="B9017" s="1" t="n">
        <v>45373</v>
      </c>
      <c r="C9017" s="1" t="n">
        <v>45710</v>
      </c>
      <c r="D9017" t="inlineStr">
        <is>
          <t>ÖSTERGÖTLANDS LÄN</t>
        </is>
      </c>
      <c r="E9017" t="inlineStr">
        <is>
          <t>NORRKÖPING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11707-2024</t>
        </is>
      </c>
      <c r="B9018" s="1" t="n">
        <v>45373</v>
      </c>
      <c r="C9018" s="1" t="n">
        <v>45710</v>
      </c>
      <c r="D9018" t="inlineStr">
        <is>
          <t>ÖSTERGÖTLANDS LÄN</t>
        </is>
      </c>
      <c r="E9018" t="inlineStr">
        <is>
          <t>MOTALA</t>
        </is>
      </c>
      <c r="G9018" t="n">
        <v>4.5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11789-2024</t>
        </is>
      </c>
      <c r="B9019" s="1" t="n">
        <v>45374</v>
      </c>
      <c r="C9019" s="1" t="n">
        <v>45710</v>
      </c>
      <c r="D9019" t="inlineStr">
        <is>
          <t>ÖSTERGÖTLANDS LÄN</t>
        </is>
      </c>
      <c r="E9019" t="inlineStr">
        <is>
          <t>LINKÖPING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11785-2024</t>
        </is>
      </c>
      <c r="B9020" s="1" t="n">
        <v>45374</v>
      </c>
      <c r="C9020" s="1" t="n">
        <v>45710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Kyrkan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11840-2024</t>
        </is>
      </c>
      <c r="B9021" s="1" t="n">
        <v>45376</v>
      </c>
      <c r="C9021" s="1" t="n">
        <v>45710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11898-2024</t>
        </is>
      </c>
      <c r="B9022" s="1" t="n">
        <v>45376</v>
      </c>
      <c r="C9022" s="1" t="n">
        <v>45710</v>
      </c>
      <c r="D9022" t="inlineStr">
        <is>
          <t>ÖSTERGÖTLANDS LÄN</t>
        </is>
      </c>
      <c r="E9022" t="inlineStr">
        <is>
          <t>SÖDERKÖPING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11906-2024</t>
        </is>
      </c>
      <c r="B9023" s="1" t="n">
        <v>45376</v>
      </c>
      <c r="C9023" s="1" t="n">
        <v>45710</v>
      </c>
      <c r="D9023" t="inlineStr">
        <is>
          <t>ÖSTERGÖTLANDS LÄN</t>
        </is>
      </c>
      <c r="E9023" t="inlineStr">
        <is>
          <t>LINKÖPING</t>
        </is>
      </c>
      <c r="G9023" t="n">
        <v>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11922-2024</t>
        </is>
      </c>
      <c r="B9024" s="1" t="n">
        <v>45376</v>
      </c>
      <c r="C9024" s="1" t="n">
        <v>45710</v>
      </c>
      <c r="D9024" t="inlineStr">
        <is>
          <t>ÖSTERGÖTLANDS LÄN</t>
        </is>
      </c>
      <c r="E9024" t="inlineStr">
        <is>
          <t>FINSPÅNG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11950-2024</t>
        </is>
      </c>
      <c r="B9025" s="1" t="n">
        <v>45376</v>
      </c>
      <c r="C9025" s="1" t="n">
        <v>45710</v>
      </c>
      <c r="D9025" t="inlineStr">
        <is>
          <t>ÖSTERGÖTLANDS LÄN</t>
        </is>
      </c>
      <c r="E9025" t="inlineStr">
        <is>
          <t>SÖDERKÖPING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11892-2024</t>
        </is>
      </c>
      <c r="B9026" s="1" t="n">
        <v>45376</v>
      </c>
      <c r="C9026" s="1" t="n">
        <v>45710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11944-2024</t>
        </is>
      </c>
      <c r="B9027" s="1" t="n">
        <v>45376</v>
      </c>
      <c r="C9027" s="1" t="n">
        <v>45710</v>
      </c>
      <c r="D9027" t="inlineStr">
        <is>
          <t>ÖSTERGÖTLANDS LÄN</t>
        </is>
      </c>
      <c r="E9027" t="inlineStr">
        <is>
          <t>MJÖLBY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11952-2024</t>
        </is>
      </c>
      <c r="B9028" s="1" t="n">
        <v>45376</v>
      </c>
      <c r="C9028" s="1" t="n">
        <v>45710</v>
      </c>
      <c r="D9028" t="inlineStr">
        <is>
          <t>ÖSTERGÖTLANDS LÄN</t>
        </is>
      </c>
      <c r="E9028" t="inlineStr">
        <is>
          <t>SÖDERKÖPING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11913-2024</t>
        </is>
      </c>
      <c r="B9029" s="1" t="n">
        <v>45376</v>
      </c>
      <c r="C9029" s="1" t="n">
        <v>45710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11915-2024</t>
        </is>
      </c>
      <c r="B9030" s="1" t="n">
        <v>45376</v>
      </c>
      <c r="C9030" s="1" t="n">
        <v>45710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11935-2024</t>
        </is>
      </c>
      <c r="B9031" s="1" t="n">
        <v>45376</v>
      </c>
      <c r="C9031" s="1" t="n">
        <v>45710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11951-2024</t>
        </is>
      </c>
      <c r="B9032" s="1" t="n">
        <v>45376</v>
      </c>
      <c r="C9032" s="1" t="n">
        <v>45710</v>
      </c>
      <c r="D9032" t="inlineStr">
        <is>
          <t>ÖSTERGÖTLANDS LÄN</t>
        </is>
      </c>
      <c r="E9032" t="inlineStr">
        <is>
          <t>SÖDERKÖPING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12119-2024</t>
        </is>
      </c>
      <c r="B9033" s="1" t="n">
        <v>45376</v>
      </c>
      <c r="C9033" s="1" t="n">
        <v>45710</v>
      </c>
      <c r="D9033" t="inlineStr">
        <is>
          <t>ÖSTERGÖTLANDS LÄN</t>
        </is>
      </c>
      <c r="E9033" t="inlineStr">
        <is>
          <t>SÖDERKÖPING</t>
        </is>
      </c>
      <c r="G9033" t="n">
        <v>4.6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12120-2024</t>
        </is>
      </c>
      <c r="B9034" s="1" t="n">
        <v>45376</v>
      </c>
      <c r="C9034" s="1" t="n">
        <v>45710</v>
      </c>
      <c r="D9034" t="inlineStr">
        <is>
          <t>ÖSTERGÖTLANDS LÄN</t>
        </is>
      </c>
      <c r="E9034" t="inlineStr">
        <is>
          <t>SÖDERKÖPING</t>
        </is>
      </c>
      <c r="G9034" t="n">
        <v>4.9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12027-2024</t>
        </is>
      </c>
      <c r="B9035" s="1" t="n">
        <v>45377</v>
      </c>
      <c r="C9035" s="1" t="n">
        <v>45710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6.4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12156-2024</t>
        </is>
      </c>
      <c r="B9036" s="1" t="n">
        <v>45377</v>
      </c>
      <c r="C9036" s="1" t="n">
        <v>45710</v>
      </c>
      <c r="D9036" t="inlineStr">
        <is>
          <t>ÖSTERGÖTLANDS LÄN</t>
        </is>
      </c>
      <c r="E9036" t="inlineStr">
        <is>
          <t>MOTALA</t>
        </is>
      </c>
      <c r="G9036" t="n">
        <v>1.7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12174-2024</t>
        </is>
      </c>
      <c r="B9037" s="1" t="n">
        <v>45377</v>
      </c>
      <c r="C9037" s="1" t="n">
        <v>45710</v>
      </c>
      <c r="D9037" t="inlineStr">
        <is>
          <t>ÖSTERGÖTLANDS LÄN</t>
        </is>
      </c>
      <c r="E9037" t="inlineStr">
        <is>
          <t>FINSPÅNG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12092-2024</t>
        </is>
      </c>
      <c r="B9038" s="1" t="n">
        <v>45377</v>
      </c>
      <c r="C9038" s="1" t="n">
        <v>45710</v>
      </c>
      <c r="D9038" t="inlineStr">
        <is>
          <t>ÖSTERGÖTLANDS LÄN</t>
        </is>
      </c>
      <c r="E9038" t="inlineStr">
        <is>
          <t>FINSPÅNG</t>
        </is>
      </c>
      <c r="G9038" t="n">
        <v>3.1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12204-2024</t>
        </is>
      </c>
      <c r="B9039" s="1" t="n">
        <v>45377</v>
      </c>
      <c r="C9039" s="1" t="n">
        <v>45710</v>
      </c>
      <c r="D9039" t="inlineStr">
        <is>
          <t>ÖSTERGÖTLANDS LÄN</t>
        </is>
      </c>
      <c r="E9039" t="inlineStr">
        <is>
          <t>MOTALA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12203-2024</t>
        </is>
      </c>
      <c r="B9040" s="1" t="n">
        <v>45377</v>
      </c>
      <c r="C9040" s="1" t="n">
        <v>45710</v>
      </c>
      <c r="D9040" t="inlineStr">
        <is>
          <t>ÖSTERGÖTLANDS LÄN</t>
        </is>
      </c>
      <c r="E9040" t="inlineStr">
        <is>
          <t>FINSPÅNG</t>
        </is>
      </c>
      <c r="G9040" t="n">
        <v>9.1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12155-2024</t>
        </is>
      </c>
      <c r="B9041" s="1" t="n">
        <v>45377</v>
      </c>
      <c r="C9041" s="1" t="n">
        <v>45710</v>
      </c>
      <c r="D9041" t="inlineStr">
        <is>
          <t>ÖSTERGÖTLANDS LÄN</t>
        </is>
      </c>
      <c r="E9041" t="inlineStr">
        <is>
          <t>MOTALA</t>
        </is>
      </c>
      <c r="G9041" t="n">
        <v>7.5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12121-2024</t>
        </is>
      </c>
      <c r="B9042" s="1" t="n">
        <v>45377</v>
      </c>
      <c r="C9042" s="1" t="n">
        <v>45710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Holmen skog AB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12253-2024</t>
        </is>
      </c>
      <c r="B9043" s="1" t="n">
        <v>45378</v>
      </c>
      <c r="C9043" s="1" t="n">
        <v>45710</v>
      </c>
      <c r="D9043" t="inlineStr">
        <is>
          <t>ÖSTERGÖTLANDS LÄN</t>
        </is>
      </c>
      <c r="E9043" t="inlineStr">
        <is>
          <t>MJÖLBY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12344-2024</t>
        </is>
      </c>
      <c r="B9044" s="1" t="n">
        <v>45378</v>
      </c>
      <c r="C9044" s="1" t="n">
        <v>45710</v>
      </c>
      <c r="D9044" t="inlineStr">
        <is>
          <t>ÖSTERGÖTLANDS LÄN</t>
        </is>
      </c>
      <c r="E9044" t="inlineStr">
        <is>
          <t>NORRKÖPING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12254-2024</t>
        </is>
      </c>
      <c r="B9045" s="1" t="n">
        <v>45378</v>
      </c>
      <c r="C9045" s="1" t="n">
        <v>45710</v>
      </c>
      <c r="D9045" t="inlineStr">
        <is>
          <t>ÖSTERGÖTLANDS LÄN</t>
        </is>
      </c>
      <c r="E9045" t="inlineStr">
        <is>
          <t>MJÖLBY</t>
        </is>
      </c>
      <c r="G9045" t="n">
        <v>4.7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12258-2024</t>
        </is>
      </c>
      <c r="B9046" s="1" t="n">
        <v>45378</v>
      </c>
      <c r="C9046" s="1" t="n">
        <v>45710</v>
      </c>
      <c r="D9046" t="inlineStr">
        <is>
          <t>ÖSTERGÖTLANDS LÄN</t>
        </is>
      </c>
      <c r="E9046" t="inlineStr">
        <is>
          <t>MOTALA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12297-2024</t>
        </is>
      </c>
      <c r="B9047" s="1" t="n">
        <v>45378</v>
      </c>
      <c r="C9047" s="1" t="n">
        <v>45710</v>
      </c>
      <c r="D9047" t="inlineStr">
        <is>
          <t>ÖSTERGÖTLANDS LÄN</t>
        </is>
      </c>
      <c r="E9047" t="inlineStr">
        <is>
          <t>ÅTVIDABERG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12260-2024</t>
        </is>
      </c>
      <c r="B9048" s="1" t="n">
        <v>45378</v>
      </c>
      <c r="C9048" s="1" t="n">
        <v>45710</v>
      </c>
      <c r="D9048" t="inlineStr">
        <is>
          <t>ÖSTERGÖTLANDS LÄN</t>
        </is>
      </c>
      <c r="E9048" t="inlineStr">
        <is>
          <t>MOTALA</t>
        </is>
      </c>
      <c r="G9048" t="n">
        <v>5.2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12449-2024</t>
        </is>
      </c>
      <c r="B9049" s="1" t="n">
        <v>45379</v>
      </c>
      <c r="C9049" s="1" t="n">
        <v>45710</v>
      </c>
      <c r="D9049" t="inlineStr">
        <is>
          <t>ÖSTERGÖTLANDS LÄN</t>
        </is>
      </c>
      <c r="E9049" t="inlineStr">
        <is>
          <t>KINDA</t>
        </is>
      </c>
      <c r="G9049" t="n">
        <v>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12569-2024</t>
        </is>
      </c>
      <c r="B9050" s="1" t="n">
        <v>45379</v>
      </c>
      <c r="C9050" s="1" t="n">
        <v>45710</v>
      </c>
      <c r="D9050" t="inlineStr">
        <is>
          <t>ÖSTERGÖTLANDS LÄN</t>
        </is>
      </c>
      <c r="E9050" t="inlineStr">
        <is>
          <t>ÅTVIDABERG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12505-2024</t>
        </is>
      </c>
      <c r="B9051" s="1" t="n">
        <v>45379</v>
      </c>
      <c r="C9051" s="1" t="n">
        <v>45710</v>
      </c>
      <c r="D9051" t="inlineStr">
        <is>
          <t>ÖSTERGÖTLANDS LÄN</t>
        </is>
      </c>
      <c r="E9051" t="inlineStr">
        <is>
          <t>ÅTVIDABERG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12483-2024</t>
        </is>
      </c>
      <c r="B9052" s="1" t="n">
        <v>45379</v>
      </c>
      <c r="C9052" s="1" t="n">
        <v>45710</v>
      </c>
      <c r="D9052" t="inlineStr">
        <is>
          <t>ÖSTERGÖTLANDS LÄN</t>
        </is>
      </c>
      <c r="E9052" t="inlineStr">
        <is>
          <t>FINSPÅNG</t>
        </is>
      </c>
      <c r="G9052" t="n">
        <v>11.9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12478-2024</t>
        </is>
      </c>
      <c r="B9053" s="1" t="n">
        <v>45379</v>
      </c>
      <c r="C9053" s="1" t="n">
        <v>45710</v>
      </c>
      <c r="D9053" t="inlineStr">
        <is>
          <t>ÖSTERGÖTLANDS LÄN</t>
        </is>
      </c>
      <c r="E9053" t="inlineStr">
        <is>
          <t>FINSPÅNG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12490-2024</t>
        </is>
      </c>
      <c r="B9054" s="1" t="n">
        <v>45379</v>
      </c>
      <c r="C9054" s="1" t="n">
        <v>45710</v>
      </c>
      <c r="D9054" t="inlineStr">
        <is>
          <t>ÖSTERGÖTLANDS LÄN</t>
        </is>
      </c>
      <c r="E9054" t="inlineStr">
        <is>
          <t>FINSPÅNG</t>
        </is>
      </c>
      <c r="G9054" t="n">
        <v>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12493-2024</t>
        </is>
      </c>
      <c r="B9055" s="1" t="n">
        <v>45379</v>
      </c>
      <c r="C9055" s="1" t="n">
        <v>45710</v>
      </c>
      <c r="D9055" t="inlineStr">
        <is>
          <t>ÖSTERGÖTLANDS LÄN</t>
        </is>
      </c>
      <c r="E9055" t="inlineStr">
        <is>
          <t>FINSPÅNG</t>
        </is>
      </c>
      <c r="G9055" t="n">
        <v>2.8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12450-2024</t>
        </is>
      </c>
      <c r="B9056" s="1" t="n">
        <v>45379</v>
      </c>
      <c r="C9056" s="1" t="n">
        <v>45710</v>
      </c>
      <c r="D9056" t="inlineStr">
        <is>
          <t>ÖSTERGÖTLANDS LÄN</t>
        </is>
      </c>
      <c r="E9056" t="inlineStr">
        <is>
          <t>ÅTVIDABERG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12419-2024</t>
        </is>
      </c>
      <c r="B9057" s="1" t="n">
        <v>45379</v>
      </c>
      <c r="C9057" s="1" t="n">
        <v>45710</v>
      </c>
      <c r="D9057" t="inlineStr">
        <is>
          <t>ÖSTERGÖTLANDS LÄN</t>
        </is>
      </c>
      <c r="E9057" t="inlineStr">
        <is>
          <t>MJÖLBY</t>
        </is>
      </c>
      <c r="G9057" t="n">
        <v>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12570-2024</t>
        </is>
      </c>
      <c r="B9058" s="1" t="n">
        <v>45379</v>
      </c>
      <c r="C9058" s="1" t="n">
        <v>45710</v>
      </c>
      <c r="D9058" t="inlineStr">
        <is>
          <t>ÖSTERGÖTLANDS LÄN</t>
        </is>
      </c>
      <c r="E9058" t="inlineStr">
        <is>
          <t>BOXHOLM</t>
        </is>
      </c>
      <c r="G9058" t="n">
        <v>3.5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12717-2024</t>
        </is>
      </c>
      <c r="B9059" s="1" t="n">
        <v>45379</v>
      </c>
      <c r="C9059" s="1" t="n">
        <v>45710</v>
      </c>
      <c r="D9059" t="inlineStr">
        <is>
          <t>ÖSTERGÖTLANDS LÄN</t>
        </is>
      </c>
      <c r="E9059" t="inlineStr">
        <is>
          <t>SÖDERKÖPING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12384-2024</t>
        </is>
      </c>
      <c r="B9060" s="1" t="n">
        <v>45379</v>
      </c>
      <c r="C9060" s="1" t="n">
        <v>45710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12541-2024</t>
        </is>
      </c>
      <c r="B9061" s="1" t="n">
        <v>45379</v>
      </c>
      <c r="C9061" s="1" t="n">
        <v>45710</v>
      </c>
      <c r="D9061" t="inlineStr">
        <is>
          <t>ÖSTERGÖTLANDS LÄN</t>
        </is>
      </c>
      <c r="E9061" t="inlineStr">
        <is>
          <t>ÖDESHÖG</t>
        </is>
      </c>
      <c r="G9061" t="n">
        <v>3.7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12542-2024</t>
        </is>
      </c>
      <c r="B9062" s="1" t="n">
        <v>45379</v>
      </c>
      <c r="C9062" s="1" t="n">
        <v>45710</v>
      </c>
      <c r="D9062" t="inlineStr">
        <is>
          <t>ÖSTERGÖTLANDS LÄN</t>
        </is>
      </c>
      <c r="E9062" t="inlineStr">
        <is>
          <t>NORRKÖPING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12538-2024</t>
        </is>
      </c>
      <c r="B9063" s="1" t="n">
        <v>45379</v>
      </c>
      <c r="C9063" s="1" t="n">
        <v>45710</v>
      </c>
      <c r="D9063" t="inlineStr">
        <is>
          <t>ÖSTERGÖTLANDS LÄN</t>
        </is>
      </c>
      <c r="E9063" t="inlineStr">
        <is>
          <t>NORRKÖPING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12461-2024</t>
        </is>
      </c>
      <c r="B9064" s="1" t="n">
        <v>45379</v>
      </c>
      <c r="C9064" s="1" t="n">
        <v>45710</v>
      </c>
      <c r="D9064" t="inlineStr">
        <is>
          <t>ÖSTERGÖTLANDS LÄN</t>
        </is>
      </c>
      <c r="E9064" t="inlineStr">
        <is>
          <t>KINDA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12441-2024</t>
        </is>
      </c>
      <c r="B9065" s="1" t="n">
        <v>45379</v>
      </c>
      <c r="C9065" s="1" t="n">
        <v>45710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12456-2024</t>
        </is>
      </c>
      <c r="B9066" s="1" t="n">
        <v>45379</v>
      </c>
      <c r="C9066" s="1" t="n">
        <v>45710</v>
      </c>
      <c r="D9066" t="inlineStr">
        <is>
          <t>ÖSTERGÖTLANDS LÄN</t>
        </is>
      </c>
      <c r="E9066" t="inlineStr">
        <is>
          <t>SÖDERKÖPING</t>
        </is>
      </c>
      <c r="G9066" t="n">
        <v>3.6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12454-2024</t>
        </is>
      </c>
      <c r="B9067" s="1" t="n">
        <v>45379</v>
      </c>
      <c r="C9067" s="1" t="n">
        <v>45710</v>
      </c>
      <c r="D9067" t="inlineStr">
        <is>
          <t>ÖSTERGÖTLANDS LÄN</t>
        </is>
      </c>
      <c r="E9067" t="inlineStr">
        <is>
          <t>ÅTVIDABERG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12428-2024</t>
        </is>
      </c>
      <c r="B9068" s="1" t="n">
        <v>45379</v>
      </c>
      <c r="C9068" s="1" t="n">
        <v>45710</v>
      </c>
      <c r="D9068" t="inlineStr">
        <is>
          <t>ÖSTERGÖTLANDS LÄN</t>
        </is>
      </c>
      <c r="E9068" t="inlineStr">
        <is>
          <t>LINKÖPING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12387-2024</t>
        </is>
      </c>
      <c r="B9069" s="1" t="n">
        <v>45379</v>
      </c>
      <c r="C9069" s="1" t="n">
        <v>45710</v>
      </c>
      <c r="D9069" t="inlineStr">
        <is>
          <t>ÖSTERGÖTLANDS LÄN</t>
        </is>
      </c>
      <c r="E9069" t="inlineStr">
        <is>
          <t>MOTALA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12460-2024</t>
        </is>
      </c>
      <c r="B9070" s="1" t="n">
        <v>45379</v>
      </c>
      <c r="C9070" s="1" t="n">
        <v>45710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Övriga Aktiebolag</t>
        </is>
      </c>
      <c r="G9070" t="n">
        <v>3.6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12472-2024</t>
        </is>
      </c>
      <c r="B9071" s="1" t="n">
        <v>45379</v>
      </c>
      <c r="C9071" s="1" t="n">
        <v>45710</v>
      </c>
      <c r="D9071" t="inlineStr">
        <is>
          <t>ÖSTERGÖTLANDS LÄN</t>
        </is>
      </c>
      <c r="E9071" t="inlineStr">
        <is>
          <t>FINSPÅNG</t>
        </is>
      </c>
      <c r="G9071" t="n">
        <v>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12484-2024</t>
        </is>
      </c>
      <c r="B9072" s="1" t="n">
        <v>45379</v>
      </c>
      <c r="C9072" s="1" t="n">
        <v>45710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12500-2024</t>
        </is>
      </c>
      <c r="B9073" s="1" t="n">
        <v>45379</v>
      </c>
      <c r="C9073" s="1" t="n">
        <v>45710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2.5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12508-2024</t>
        </is>
      </c>
      <c r="B9074" s="1" t="n">
        <v>45379</v>
      </c>
      <c r="C9074" s="1" t="n">
        <v>45710</v>
      </c>
      <c r="D9074" t="inlineStr">
        <is>
          <t>ÖSTERGÖTLANDS LÄN</t>
        </is>
      </c>
      <c r="E9074" t="inlineStr">
        <is>
          <t>ÅTVIDABERG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12568-2024</t>
        </is>
      </c>
      <c r="B9075" s="1" t="n">
        <v>45379</v>
      </c>
      <c r="C9075" s="1" t="n">
        <v>45710</v>
      </c>
      <c r="D9075" t="inlineStr">
        <is>
          <t>ÖSTERGÖTLANDS LÄN</t>
        </is>
      </c>
      <c r="E9075" t="inlineStr">
        <is>
          <t>ÅTVIDABERG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12708-2024</t>
        </is>
      </c>
      <c r="B9076" s="1" t="n">
        <v>45379</v>
      </c>
      <c r="C9076" s="1" t="n">
        <v>45710</v>
      </c>
      <c r="D9076" t="inlineStr">
        <is>
          <t>ÖSTERGÖTLANDS LÄN</t>
        </is>
      </c>
      <c r="E9076" t="inlineStr">
        <is>
          <t>SÖDERKÖPING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12623-2024</t>
        </is>
      </c>
      <c r="B9077" s="1" t="n">
        <v>45383</v>
      </c>
      <c r="C9077" s="1" t="n">
        <v>45710</v>
      </c>
      <c r="D9077" t="inlineStr">
        <is>
          <t>ÖSTERGÖTLANDS LÄN</t>
        </is>
      </c>
      <c r="E9077" t="inlineStr">
        <is>
          <t>KINDA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12630-2024</t>
        </is>
      </c>
      <c r="B9078" s="1" t="n">
        <v>45383</v>
      </c>
      <c r="C9078" s="1" t="n">
        <v>45710</v>
      </c>
      <c r="D9078" t="inlineStr">
        <is>
          <t>ÖSTERGÖTLANDS LÄN</t>
        </is>
      </c>
      <c r="E9078" t="inlineStr">
        <is>
          <t>KINDA</t>
        </is>
      </c>
      <c r="F9078" t="inlineStr">
        <is>
          <t>Övriga Aktiebolag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12622-2024</t>
        </is>
      </c>
      <c r="B9079" s="1" t="n">
        <v>45383</v>
      </c>
      <c r="C9079" s="1" t="n">
        <v>45710</v>
      </c>
      <c r="D9079" t="inlineStr">
        <is>
          <t>ÖSTERGÖTLANDS LÄN</t>
        </is>
      </c>
      <c r="E9079" t="inlineStr">
        <is>
          <t>KINDA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12675-2024</t>
        </is>
      </c>
      <c r="B9080" s="1" t="n">
        <v>45384</v>
      </c>
      <c r="C9080" s="1" t="n">
        <v>45710</v>
      </c>
      <c r="D9080" t="inlineStr">
        <is>
          <t>ÖSTERGÖTLANDS LÄN</t>
        </is>
      </c>
      <c r="E9080" t="inlineStr">
        <is>
          <t>MJÖLBY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12687-2024</t>
        </is>
      </c>
      <c r="B9081" s="1" t="n">
        <v>45384</v>
      </c>
      <c r="C9081" s="1" t="n">
        <v>45710</v>
      </c>
      <c r="D9081" t="inlineStr">
        <is>
          <t>ÖSTERGÖTLANDS LÄN</t>
        </is>
      </c>
      <c r="E9081" t="inlineStr">
        <is>
          <t>MOTALA</t>
        </is>
      </c>
      <c r="F9081" t="inlineStr">
        <is>
          <t>Sveaskog</t>
        </is>
      </c>
      <c r="G9081" t="n">
        <v>7.7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12760-2024</t>
        </is>
      </c>
      <c r="B9082" s="1" t="n">
        <v>45384</v>
      </c>
      <c r="C9082" s="1" t="n">
        <v>45710</v>
      </c>
      <c r="D9082" t="inlineStr">
        <is>
          <t>ÖSTERGÖTLANDS LÄN</t>
        </is>
      </c>
      <c r="E9082" t="inlineStr">
        <is>
          <t>LINKÖPING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12758-2024</t>
        </is>
      </c>
      <c r="B9083" s="1" t="n">
        <v>45384</v>
      </c>
      <c r="C9083" s="1" t="n">
        <v>45710</v>
      </c>
      <c r="D9083" t="inlineStr">
        <is>
          <t>ÖSTERGÖTLANDS LÄN</t>
        </is>
      </c>
      <c r="E9083" t="inlineStr">
        <is>
          <t>LINKÖPING</t>
        </is>
      </c>
      <c r="G9083" t="n">
        <v>6.9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12769-2024</t>
        </is>
      </c>
      <c r="B9084" s="1" t="n">
        <v>45384</v>
      </c>
      <c r="C9084" s="1" t="n">
        <v>45710</v>
      </c>
      <c r="D9084" t="inlineStr">
        <is>
          <t>ÖSTERGÖTLANDS LÄN</t>
        </is>
      </c>
      <c r="E9084" t="inlineStr">
        <is>
          <t>MJÖLBY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12790-2024</t>
        </is>
      </c>
      <c r="B9085" s="1" t="n">
        <v>45384</v>
      </c>
      <c r="C9085" s="1" t="n">
        <v>45710</v>
      </c>
      <c r="D9085" t="inlineStr">
        <is>
          <t>ÖSTERGÖTLANDS LÄN</t>
        </is>
      </c>
      <c r="E9085" t="inlineStr">
        <is>
          <t>KINDA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12825-2024</t>
        </is>
      </c>
      <c r="B9086" s="1" t="n">
        <v>45384</v>
      </c>
      <c r="C9086" s="1" t="n">
        <v>45710</v>
      </c>
      <c r="D9086" t="inlineStr">
        <is>
          <t>ÖSTERGÖTLANDS LÄN</t>
        </is>
      </c>
      <c r="E9086" t="inlineStr">
        <is>
          <t>ÅTVIDABERG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12681-2024</t>
        </is>
      </c>
      <c r="B9087" s="1" t="n">
        <v>45384</v>
      </c>
      <c r="C9087" s="1" t="n">
        <v>45710</v>
      </c>
      <c r="D9087" t="inlineStr">
        <is>
          <t>ÖSTERGÖTLANDS LÄN</t>
        </is>
      </c>
      <c r="E9087" t="inlineStr">
        <is>
          <t>MOTALA</t>
        </is>
      </c>
      <c r="F9087" t="inlineStr">
        <is>
          <t>Sveaskog</t>
        </is>
      </c>
      <c r="G9087" t="n">
        <v>7.9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12755-2024</t>
        </is>
      </c>
      <c r="B9088" s="1" t="n">
        <v>45384</v>
      </c>
      <c r="C9088" s="1" t="n">
        <v>45710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Sveaskog</t>
        </is>
      </c>
      <c r="G9088" t="n">
        <v>2.6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12788-2024</t>
        </is>
      </c>
      <c r="B9089" s="1" t="n">
        <v>45384</v>
      </c>
      <c r="C9089" s="1" t="n">
        <v>45710</v>
      </c>
      <c r="D9089" t="inlineStr">
        <is>
          <t>ÖSTERGÖTLANDS LÄN</t>
        </is>
      </c>
      <c r="E9089" t="inlineStr">
        <is>
          <t>KINDA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12822-2024</t>
        </is>
      </c>
      <c r="B9090" s="1" t="n">
        <v>45384</v>
      </c>
      <c r="C9090" s="1" t="n">
        <v>45710</v>
      </c>
      <c r="D9090" t="inlineStr">
        <is>
          <t>ÖSTERGÖTLANDS LÄN</t>
        </is>
      </c>
      <c r="E9090" t="inlineStr">
        <is>
          <t>ÅTVIDABERG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12941-2024</t>
        </is>
      </c>
      <c r="B9091" s="1" t="n">
        <v>45385</v>
      </c>
      <c r="C9091" s="1" t="n">
        <v>45710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Allmännings- och besparingsskogar</t>
        </is>
      </c>
      <c r="G9091" t="n">
        <v>2.8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12998-2024</t>
        </is>
      </c>
      <c r="B9092" s="1" t="n">
        <v>45385</v>
      </c>
      <c r="C9092" s="1" t="n">
        <v>45710</v>
      </c>
      <c r="D9092" t="inlineStr">
        <is>
          <t>ÖSTERGÖTLANDS LÄN</t>
        </is>
      </c>
      <c r="E9092" t="inlineStr">
        <is>
          <t>VALDEMARSVIK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12996-2024</t>
        </is>
      </c>
      <c r="B9093" s="1" t="n">
        <v>45385</v>
      </c>
      <c r="C9093" s="1" t="n">
        <v>45710</v>
      </c>
      <c r="D9093" t="inlineStr">
        <is>
          <t>ÖSTERGÖTLANDS LÄN</t>
        </is>
      </c>
      <c r="E9093" t="inlineStr">
        <is>
          <t>VALDEMARSVIK</t>
        </is>
      </c>
      <c r="G9093" t="n">
        <v>2.5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13055-2024</t>
        </is>
      </c>
      <c r="B9094" s="1" t="n">
        <v>45385</v>
      </c>
      <c r="C9094" s="1" t="n">
        <v>45710</v>
      </c>
      <c r="D9094" t="inlineStr">
        <is>
          <t>ÖSTERGÖTLANDS LÄN</t>
        </is>
      </c>
      <c r="E9094" t="inlineStr">
        <is>
          <t>YDRE</t>
        </is>
      </c>
      <c r="F9094" t="inlineStr">
        <is>
          <t>Sveaskog</t>
        </is>
      </c>
      <c r="G9094" t="n">
        <v>2.6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13064-2024</t>
        </is>
      </c>
      <c r="B9095" s="1" t="n">
        <v>45385</v>
      </c>
      <c r="C9095" s="1" t="n">
        <v>45710</v>
      </c>
      <c r="D9095" t="inlineStr">
        <is>
          <t>ÖSTERGÖTLANDS LÄN</t>
        </is>
      </c>
      <c r="E9095" t="inlineStr">
        <is>
          <t>KINDA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12975-2024</t>
        </is>
      </c>
      <c r="B9096" s="1" t="n">
        <v>45385</v>
      </c>
      <c r="C9096" s="1" t="n">
        <v>45710</v>
      </c>
      <c r="D9096" t="inlineStr">
        <is>
          <t>ÖSTERGÖTLANDS LÄN</t>
        </is>
      </c>
      <c r="E9096" t="inlineStr">
        <is>
          <t>VALDEMARSVIK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12979-2024</t>
        </is>
      </c>
      <c r="B9097" s="1" t="n">
        <v>45385</v>
      </c>
      <c r="C9097" s="1" t="n">
        <v>45710</v>
      </c>
      <c r="D9097" t="inlineStr">
        <is>
          <t>ÖSTERGÖTLANDS LÄN</t>
        </is>
      </c>
      <c r="E9097" t="inlineStr">
        <is>
          <t>VALDEMARSVIK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12983-2024</t>
        </is>
      </c>
      <c r="B9098" s="1" t="n">
        <v>45385</v>
      </c>
      <c r="C9098" s="1" t="n">
        <v>45710</v>
      </c>
      <c r="D9098" t="inlineStr">
        <is>
          <t>ÖSTERGÖTLANDS LÄN</t>
        </is>
      </c>
      <c r="E9098" t="inlineStr">
        <is>
          <t>VALDEMARSVIK</t>
        </is>
      </c>
      <c r="G9098" t="n">
        <v>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13067-2024</t>
        </is>
      </c>
      <c r="B9099" s="1" t="n">
        <v>45385</v>
      </c>
      <c r="C9099" s="1" t="n">
        <v>45710</v>
      </c>
      <c r="D9099" t="inlineStr">
        <is>
          <t>ÖSTERGÖTLANDS LÄN</t>
        </is>
      </c>
      <c r="E9099" t="inlineStr">
        <is>
          <t>NORRKÖPING</t>
        </is>
      </c>
      <c r="G9099" t="n">
        <v>1.8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13099-2024</t>
        </is>
      </c>
      <c r="B9100" s="1" t="n">
        <v>45385</v>
      </c>
      <c r="C9100" s="1" t="n">
        <v>45710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Kommuner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12977-2024</t>
        </is>
      </c>
      <c r="B9101" s="1" t="n">
        <v>45385</v>
      </c>
      <c r="C9101" s="1" t="n">
        <v>45710</v>
      </c>
      <c r="D9101" t="inlineStr">
        <is>
          <t>ÖSTERGÖTLANDS LÄN</t>
        </is>
      </c>
      <c r="E9101" t="inlineStr">
        <is>
          <t>VALDEMARSVIK</t>
        </is>
      </c>
      <c r="G9101" t="n">
        <v>1.8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12997-2024</t>
        </is>
      </c>
      <c r="B9102" s="1" t="n">
        <v>45385</v>
      </c>
      <c r="C9102" s="1" t="n">
        <v>45710</v>
      </c>
      <c r="D9102" t="inlineStr">
        <is>
          <t>ÖSTERGÖTLANDS LÄN</t>
        </is>
      </c>
      <c r="E9102" t="inlineStr">
        <is>
          <t>KINDA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13077-2024</t>
        </is>
      </c>
      <c r="B9103" s="1" t="n">
        <v>45385</v>
      </c>
      <c r="C9103" s="1" t="n">
        <v>45710</v>
      </c>
      <c r="D9103" t="inlineStr">
        <is>
          <t>ÖSTERGÖTLANDS LÄN</t>
        </is>
      </c>
      <c r="E9103" t="inlineStr">
        <is>
          <t>KINDA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13109-2024</t>
        </is>
      </c>
      <c r="B9104" s="1" t="n">
        <v>45385</v>
      </c>
      <c r="C9104" s="1" t="n">
        <v>45710</v>
      </c>
      <c r="D9104" t="inlineStr">
        <is>
          <t>ÖSTERGÖTLANDS LÄN</t>
        </is>
      </c>
      <c r="E9104" t="inlineStr">
        <is>
          <t>BOXHOLM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13108-2024</t>
        </is>
      </c>
      <c r="B9105" s="1" t="n">
        <v>45385</v>
      </c>
      <c r="C9105" s="1" t="n">
        <v>45710</v>
      </c>
      <c r="D9105" t="inlineStr">
        <is>
          <t>ÖSTERGÖTLANDS LÄN</t>
        </is>
      </c>
      <c r="E9105" t="inlineStr">
        <is>
          <t>VALDEMARSVIK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13133-2024</t>
        </is>
      </c>
      <c r="B9106" s="1" t="n">
        <v>45386</v>
      </c>
      <c r="C9106" s="1" t="n">
        <v>45710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13187-2024</t>
        </is>
      </c>
      <c r="B9107" s="1" t="n">
        <v>45386</v>
      </c>
      <c r="C9107" s="1" t="n">
        <v>45710</v>
      </c>
      <c r="D9107" t="inlineStr">
        <is>
          <t>ÖSTERGÖTLANDS LÄN</t>
        </is>
      </c>
      <c r="E9107" t="inlineStr">
        <is>
          <t>VALDEMARSVIK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13205-2024</t>
        </is>
      </c>
      <c r="B9108" s="1" t="n">
        <v>45386</v>
      </c>
      <c r="C9108" s="1" t="n">
        <v>45710</v>
      </c>
      <c r="D9108" t="inlineStr">
        <is>
          <t>ÖSTERGÖTLANDS LÄN</t>
        </is>
      </c>
      <c r="E9108" t="inlineStr">
        <is>
          <t>YDRE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13285-2024</t>
        </is>
      </c>
      <c r="B9109" s="1" t="n">
        <v>45386</v>
      </c>
      <c r="C9109" s="1" t="n">
        <v>45710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Kommuner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13289-2024</t>
        </is>
      </c>
      <c r="B9110" s="1" t="n">
        <v>45386</v>
      </c>
      <c r="C9110" s="1" t="n">
        <v>45710</v>
      </c>
      <c r="D9110" t="inlineStr">
        <is>
          <t>ÖSTERGÖTLANDS LÄN</t>
        </is>
      </c>
      <c r="E9110" t="inlineStr">
        <is>
          <t>SÖDERKÖPING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13317-2024</t>
        </is>
      </c>
      <c r="B9111" s="1" t="n">
        <v>45386</v>
      </c>
      <c r="C9111" s="1" t="n">
        <v>45710</v>
      </c>
      <c r="D9111" t="inlineStr">
        <is>
          <t>ÖSTERGÖTLANDS LÄN</t>
        </is>
      </c>
      <c r="E9111" t="inlineStr">
        <is>
          <t>ÅTVIDABERG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13146-2024</t>
        </is>
      </c>
      <c r="B9112" s="1" t="n">
        <v>45386</v>
      </c>
      <c r="C9112" s="1" t="n">
        <v>45710</v>
      </c>
      <c r="D9112" t="inlineStr">
        <is>
          <t>ÖSTERGÖTLANDS LÄN</t>
        </is>
      </c>
      <c r="E9112" t="inlineStr">
        <is>
          <t>NORRKÖPING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13152-2024</t>
        </is>
      </c>
      <c r="B9113" s="1" t="n">
        <v>45386</v>
      </c>
      <c r="C9113" s="1" t="n">
        <v>45710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13188-2024</t>
        </is>
      </c>
      <c r="B9114" s="1" t="n">
        <v>45386</v>
      </c>
      <c r="C9114" s="1" t="n">
        <v>45710</v>
      </c>
      <c r="D9114" t="inlineStr">
        <is>
          <t>ÖSTERGÖTLANDS LÄN</t>
        </is>
      </c>
      <c r="E9114" t="inlineStr">
        <is>
          <t>VALDEMARSVIK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13208-2024</t>
        </is>
      </c>
      <c r="B9115" s="1" t="n">
        <v>45386</v>
      </c>
      <c r="C9115" s="1" t="n">
        <v>45710</v>
      </c>
      <c r="D9115" t="inlineStr">
        <is>
          <t>ÖSTERGÖTLANDS LÄN</t>
        </is>
      </c>
      <c r="E9115" t="inlineStr">
        <is>
          <t>FINSPÅNG</t>
        </is>
      </c>
      <c r="G9115" t="n">
        <v>3.9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13357-2024</t>
        </is>
      </c>
      <c r="B9116" s="1" t="n">
        <v>45387</v>
      </c>
      <c r="C9116" s="1" t="n">
        <v>45710</v>
      </c>
      <c r="D9116" t="inlineStr">
        <is>
          <t>ÖSTERGÖTLANDS LÄN</t>
        </is>
      </c>
      <c r="E9116" t="inlineStr">
        <is>
          <t>ÅTVIDABERG</t>
        </is>
      </c>
      <c r="G9116" t="n">
        <v>1.7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13452-2024</t>
        </is>
      </c>
      <c r="B9117" s="1" t="n">
        <v>45387</v>
      </c>
      <c r="C9117" s="1" t="n">
        <v>45710</v>
      </c>
      <c r="D9117" t="inlineStr">
        <is>
          <t>ÖSTERGÖTLANDS LÄN</t>
        </is>
      </c>
      <c r="E9117" t="inlineStr">
        <is>
          <t>LINKÖPING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13466-2024</t>
        </is>
      </c>
      <c r="B9118" s="1" t="n">
        <v>45387</v>
      </c>
      <c r="C9118" s="1" t="n">
        <v>45710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13450-2024</t>
        </is>
      </c>
      <c r="B9119" s="1" t="n">
        <v>45387</v>
      </c>
      <c r="C9119" s="1" t="n">
        <v>45710</v>
      </c>
      <c r="D9119" t="inlineStr">
        <is>
          <t>ÖSTERGÖTLANDS LÄN</t>
        </is>
      </c>
      <c r="E9119" t="inlineStr">
        <is>
          <t>LINKÖPING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13381-2024</t>
        </is>
      </c>
      <c r="B9120" s="1" t="n">
        <v>45387</v>
      </c>
      <c r="C9120" s="1" t="n">
        <v>45710</v>
      </c>
      <c r="D9120" t="inlineStr">
        <is>
          <t>ÖSTERGÖTLANDS LÄN</t>
        </is>
      </c>
      <c r="E9120" t="inlineStr">
        <is>
          <t>MOTALA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13361-2024</t>
        </is>
      </c>
      <c r="B9121" s="1" t="n">
        <v>45387</v>
      </c>
      <c r="C9121" s="1" t="n">
        <v>45710</v>
      </c>
      <c r="D9121" t="inlineStr">
        <is>
          <t>ÖSTERGÖTLANDS LÄN</t>
        </is>
      </c>
      <c r="E9121" t="inlineStr">
        <is>
          <t>ÅTVIDABERG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13634-2024</t>
        </is>
      </c>
      <c r="B9122" s="1" t="n">
        <v>45390</v>
      </c>
      <c r="C9122" s="1" t="n">
        <v>45710</v>
      </c>
      <c r="D9122" t="inlineStr">
        <is>
          <t>ÖSTERGÖTLANDS LÄN</t>
        </is>
      </c>
      <c r="E9122" t="inlineStr">
        <is>
          <t>FINSPÅNG</t>
        </is>
      </c>
      <c r="F9122" t="inlineStr">
        <is>
          <t>Holmen skog AB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13647-2024</t>
        </is>
      </c>
      <c r="B9123" s="1" t="n">
        <v>45390</v>
      </c>
      <c r="C9123" s="1" t="n">
        <v>45710</v>
      </c>
      <c r="D9123" t="inlineStr">
        <is>
          <t>ÖSTERGÖTLANDS LÄN</t>
        </is>
      </c>
      <c r="E9123" t="inlineStr">
        <is>
          <t>FINSPÅNG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13690-2024</t>
        </is>
      </c>
      <c r="B9124" s="1" t="n">
        <v>45390</v>
      </c>
      <c r="C9124" s="1" t="n">
        <v>45710</v>
      </c>
      <c r="D9124" t="inlineStr">
        <is>
          <t>ÖSTERGÖTLANDS LÄN</t>
        </is>
      </c>
      <c r="E9124" t="inlineStr">
        <is>
          <t>MOTALA</t>
        </is>
      </c>
      <c r="G9124" t="n">
        <v>2.8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13673-2024</t>
        </is>
      </c>
      <c r="B9125" s="1" t="n">
        <v>45390</v>
      </c>
      <c r="C9125" s="1" t="n">
        <v>45710</v>
      </c>
      <c r="D9125" t="inlineStr">
        <is>
          <t>ÖSTERGÖTLANDS LÄN</t>
        </is>
      </c>
      <c r="E9125" t="inlineStr">
        <is>
          <t>KINDA</t>
        </is>
      </c>
      <c r="F9125" t="inlineStr">
        <is>
          <t>Övriga Aktiebolag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13606-2024</t>
        </is>
      </c>
      <c r="B9126" s="1" t="n">
        <v>45390</v>
      </c>
      <c r="C9126" s="1" t="n">
        <v>45710</v>
      </c>
      <c r="D9126" t="inlineStr">
        <is>
          <t>ÖSTERGÖTLANDS LÄN</t>
        </is>
      </c>
      <c r="E9126" t="inlineStr">
        <is>
          <t>BOXHOLM</t>
        </is>
      </c>
      <c r="F9126" t="inlineStr">
        <is>
          <t>Övriga Aktiebolag</t>
        </is>
      </c>
      <c r="G9126" t="n">
        <v>5.8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13776-2024</t>
        </is>
      </c>
      <c r="B9127" s="1" t="n">
        <v>45391</v>
      </c>
      <c r="C9127" s="1" t="n">
        <v>45710</v>
      </c>
      <c r="D9127" t="inlineStr">
        <is>
          <t>ÖSTERGÖTLANDS LÄN</t>
        </is>
      </c>
      <c r="E9127" t="inlineStr">
        <is>
          <t>VALDEMARSVIK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13821-2024</t>
        </is>
      </c>
      <c r="B9128" s="1" t="n">
        <v>45391</v>
      </c>
      <c r="C9128" s="1" t="n">
        <v>45710</v>
      </c>
      <c r="D9128" t="inlineStr">
        <is>
          <t>ÖSTERGÖTLANDS LÄN</t>
        </is>
      </c>
      <c r="E9128" t="inlineStr">
        <is>
          <t>FINSPÅNG</t>
        </is>
      </c>
      <c r="G9128" t="n">
        <v>5.9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13832-2024</t>
        </is>
      </c>
      <c r="B9129" s="1" t="n">
        <v>45391</v>
      </c>
      <c r="C9129" s="1" t="n">
        <v>45710</v>
      </c>
      <c r="D9129" t="inlineStr">
        <is>
          <t>ÖSTERGÖTLANDS LÄN</t>
        </is>
      </c>
      <c r="E9129" t="inlineStr">
        <is>
          <t>FINSPÅNG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13917-2024</t>
        </is>
      </c>
      <c r="B9130" s="1" t="n">
        <v>45391</v>
      </c>
      <c r="C9130" s="1" t="n">
        <v>45710</v>
      </c>
      <c r="D9130" t="inlineStr">
        <is>
          <t>ÖSTERGÖTLANDS LÄN</t>
        </is>
      </c>
      <c r="E9130" t="inlineStr">
        <is>
          <t>SÖDERKÖPING</t>
        </is>
      </c>
      <c r="G9130" t="n">
        <v>7.4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13826-2024</t>
        </is>
      </c>
      <c r="B9131" s="1" t="n">
        <v>45391</v>
      </c>
      <c r="C9131" s="1" t="n">
        <v>45710</v>
      </c>
      <c r="D9131" t="inlineStr">
        <is>
          <t>ÖSTERGÖTLANDS LÄN</t>
        </is>
      </c>
      <c r="E9131" t="inlineStr">
        <is>
          <t>FINSPÅNG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13828-2024</t>
        </is>
      </c>
      <c r="B9132" s="1" t="n">
        <v>45391</v>
      </c>
      <c r="C9132" s="1" t="n">
        <v>45710</v>
      </c>
      <c r="D9132" t="inlineStr">
        <is>
          <t>ÖSTERGÖTLANDS LÄN</t>
        </is>
      </c>
      <c r="E9132" t="inlineStr">
        <is>
          <t>FINSPÅNG</t>
        </is>
      </c>
      <c r="G9132" t="n">
        <v>5.9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13963-2024</t>
        </is>
      </c>
      <c r="B9133" s="1" t="n">
        <v>45392</v>
      </c>
      <c r="C9133" s="1" t="n">
        <v>45710</v>
      </c>
      <c r="D9133" t="inlineStr">
        <is>
          <t>ÖSTERGÖTLANDS LÄN</t>
        </is>
      </c>
      <c r="E9133" t="inlineStr">
        <is>
          <t>KINDA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13987-2024</t>
        </is>
      </c>
      <c r="B9134" s="1" t="n">
        <v>45392</v>
      </c>
      <c r="C9134" s="1" t="n">
        <v>45710</v>
      </c>
      <c r="D9134" t="inlineStr">
        <is>
          <t>ÖSTERGÖTLANDS LÄN</t>
        </is>
      </c>
      <c r="E9134" t="inlineStr">
        <is>
          <t>LINKÖPING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14093-2024</t>
        </is>
      </c>
      <c r="B9135" s="1" t="n">
        <v>45392</v>
      </c>
      <c r="C9135" s="1" t="n">
        <v>45710</v>
      </c>
      <c r="D9135" t="inlineStr">
        <is>
          <t>ÖSTERGÖTLANDS LÄN</t>
        </is>
      </c>
      <c r="E9135" t="inlineStr">
        <is>
          <t>LINKÖPING</t>
        </is>
      </c>
      <c r="F9135" t="inlineStr">
        <is>
          <t>Övriga Aktiebolag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13989-2024</t>
        </is>
      </c>
      <c r="B9136" s="1" t="n">
        <v>45392</v>
      </c>
      <c r="C9136" s="1" t="n">
        <v>45710</v>
      </c>
      <c r="D9136" t="inlineStr">
        <is>
          <t>ÖSTERGÖTLANDS LÄN</t>
        </is>
      </c>
      <c r="E9136" t="inlineStr">
        <is>
          <t>LINKÖPING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14017-2024</t>
        </is>
      </c>
      <c r="B9137" s="1" t="n">
        <v>45392</v>
      </c>
      <c r="C9137" s="1" t="n">
        <v>45710</v>
      </c>
      <c r="D9137" t="inlineStr">
        <is>
          <t>ÖSTERGÖTLANDS LÄN</t>
        </is>
      </c>
      <c r="E9137" t="inlineStr">
        <is>
          <t>LINKÖPING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14028-2024</t>
        </is>
      </c>
      <c r="B9138" s="1" t="n">
        <v>45392</v>
      </c>
      <c r="C9138" s="1" t="n">
        <v>45710</v>
      </c>
      <c r="D9138" t="inlineStr">
        <is>
          <t>ÖSTERGÖTLANDS LÄN</t>
        </is>
      </c>
      <c r="E9138" t="inlineStr">
        <is>
          <t>LINKÖPING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14122-2024</t>
        </is>
      </c>
      <c r="B9139" s="1" t="n">
        <v>45392</v>
      </c>
      <c r="C9139" s="1" t="n">
        <v>45710</v>
      </c>
      <c r="D9139" t="inlineStr">
        <is>
          <t>ÖSTERGÖTLANDS LÄN</t>
        </is>
      </c>
      <c r="E9139" t="inlineStr">
        <is>
          <t>KINDA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14006-2024</t>
        </is>
      </c>
      <c r="B9140" s="1" t="n">
        <v>45392</v>
      </c>
      <c r="C9140" s="1" t="n">
        <v>45710</v>
      </c>
      <c r="D9140" t="inlineStr">
        <is>
          <t>ÖSTERGÖTLANDS LÄN</t>
        </is>
      </c>
      <c r="E9140" t="inlineStr">
        <is>
          <t>KINDA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14050-2024</t>
        </is>
      </c>
      <c r="B9141" s="1" t="n">
        <v>45392</v>
      </c>
      <c r="C9141" s="1" t="n">
        <v>45710</v>
      </c>
      <c r="D9141" t="inlineStr">
        <is>
          <t>ÖSTERGÖTLANDS LÄN</t>
        </is>
      </c>
      <c r="E9141" t="inlineStr">
        <is>
          <t>MOTALA</t>
        </is>
      </c>
      <c r="G9141" t="n">
        <v>5.3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14247-2024</t>
        </is>
      </c>
      <c r="B9142" s="1" t="n">
        <v>45393</v>
      </c>
      <c r="C9142" s="1" t="n">
        <v>45710</v>
      </c>
      <c r="D9142" t="inlineStr">
        <is>
          <t>ÖSTERGÖTLANDS LÄN</t>
        </is>
      </c>
      <c r="E9142" t="inlineStr">
        <is>
          <t>KINDA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14236-2024</t>
        </is>
      </c>
      <c r="B9143" s="1" t="n">
        <v>45393</v>
      </c>
      <c r="C9143" s="1" t="n">
        <v>45710</v>
      </c>
      <c r="D9143" t="inlineStr">
        <is>
          <t>ÖSTERGÖTLANDS LÄN</t>
        </is>
      </c>
      <c r="E9143" t="inlineStr">
        <is>
          <t>MOTALA</t>
        </is>
      </c>
      <c r="G9143" t="n">
        <v>4.3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14244-2024</t>
        </is>
      </c>
      <c r="B9144" s="1" t="n">
        <v>45393</v>
      </c>
      <c r="C9144" s="1" t="n">
        <v>45710</v>
      </c>
      <c r="D9144" t="inlineStr">
        <is>
          <t>ÖSTERGÖTLANDS LÄN</t>
        </is>
      </c>
      <c r="E9144" t="inlineStr">
        <is>
          <t>KINDA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14258-2024</t>
        </is>
      </c>
      <c r="B9145" s="1" t="n">
        <v>45393</v>
      </c>
      <c r="C9145" s="1" t="n">
        <v>45710</v>
      </c>
      <c r="D9145" t="inlineStr">
        <is>
          <t>ÖSTERGÖTLANDS LÄN</t>
        </is>
      </c>
      <c r="E9145" t="inlineStr">
        <is>
          <t>KINDA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14262-2024</t>
        </is>
      </c>
      <c r="B9146" s="1" t="n">
        <v>45393</v>
      </c>
      <c r="C9146" s="1" t="n">
        <v>45710</v>
      </c>
      <c r="D9146" t="inlineStr">
        <is>
          <t>ÖSTERGÖTLANDS LÄN</t>
        </is>
      </c>
      <c r="E9146" t="inlineStr">
        <is>
          <t>KINDA</t>
        </is>
      </c>
      <c r="G9146" t="n">
        <v>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14494-2024</t>
        </is>
      </c>
      <c r="B9147" s="1" t="n">
        <v>45394</v>
      </c>
      <c r="C9147" s="1" t="n">
        <v>45710</v>
      </c>
      <c r="D9147" t="inlineStr">
        <is>
          <t>ÖSTERGÖTLANDS LÄN</t>
        </is>
      </c>
      <c r="E9147" t="inlineStr">
        <is>
          <t>ÅTVIDABERG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14417-2024</t>
        </is>
      </c>
      <c r="B9148" s="1" t="n">
        <v>45394</v>
      </c>
      <c r="C9148" s="1" t="n">
        <v>45710</v>
      </c>
      <c r="D9148" t="inlineStr">
        <is>
          <t>ÖSTERGÖTLANDS LÄN</t>
        </is>
      </c>
      <c r="E9148" t="inlineStr">
        <is>
          <t>VALDEMARSVIK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14459-2024</t>
        </is>
      </c>
      <c r="B9149" s="1" t="n">
        <v>45394</v>
      </c>
      <c r="C9149" s="1" t="n">
        <v>45710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14419-2024</t>
        </is>
      </c>
      <c r="B9150" s="1" t="n">
        <v>45394</v>
      </c>
      <c r="C9150" s="1" t="n">
        <v>45710</v>
      </c>
      <c r="D9150" t="inlineStr">
        <is>
          <t>ÖSTERGÖTLANDS LÄN</t>
        </is>
      </c>
      <c r="E9150" t="inlineStr">
        <is>
          <t>VALDEMARSVIK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14679-2024</t>
        </is>
      </c>
      <c r="B9151" s="1" t="n">
        <v>45396</v>
      </c>
      <c r="C9151" s="1" t="n">
        <v>45710</v>
      </c>
      <c r="D9151" t="inlineStr">
        <is>
          <t>ÖSTERGÖTLANDS LÄN</t>
        </is>
      </c>
      <c r="E9151" t="inlineStr">
        <is>
          <t>NORRKÖPING</t>
        </is>
      </c>
      <c r="G9151" t="n">
        <v>9.300000000000001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14667-2024</t>
        </is>
      </c>
      <c r="B9152" s="1" t="n">
        <v>45397</v>
      </c>
      <c r="C9152" s="1" t="n">
        <v>45710</v>
      </c>
      <c r="D9152" t="inlineStr">
        <is>
          <t>ÖSTERGÖTLANDS LÄN</t>
        </is>
      </c>
      <c r="E9152" t="inlineStr">
        <is>
          <t>LINKÖPING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14723-2024</t>
        </is>
      </c>
      <c r="B9153" s="1" t="n">
        <v>45397</v>
      </c>
      <c r="C9153" s="1" t="n">
        <v>45710</v>
      </c>
      <c r="D9153" t="inlineStr">
        <is>
          <t>ÖSTERGÖTLANDS LÄN</t>
        </is>
      </c>
      <c r="E9153" t="inlineStr">
        <is>
          <t>VALDEMARSVIK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14736-2024</t>
        </is>
      </c>
      <c r="B9154" s="1" t="n">
        <v>45397</v>
      </c>
      <c r="C9154" s="1" t="n">
        <v>45710</v>
      </c>
      <c r="D9154" t="inlineStr">
        <is>
          <t>ÖSTERGÖTLANDS LÄN</t>
        </is>
      </c>
      <c r="E9154" t="inlineStr">
        <is>
          <t>ÖDESHÖG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14639-2024</t>
        </is>
      </c>
      <c r="B9155" s="1" t="n">
        <v>45397</v>
      </c>
      <c r="C9155" s="1" t="n">
        <v>45710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Sveaskog</t>
        </is>
      </c>
      <c r="G9155" t="n">
        <v>6.5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14666-2024</t>
        </is>
      </c>
      <c r="B9156" s="1" t="n">
        <v>45397</v>
      </c>
      <c r="C9156" s="1" t="n">
        <v>45710</v>
      </c>
      <c r="D9156" t="inlineStr">
        <is>
          <t>ÖSTERGÖTLANDS LÄN</t>
        </is>
      </c>
      <c r="E9156" t="inlineStr">
        <is>
          <t>LINKÖPING</t>
        </is>
      </c>
      <c r="G9156" t="n">
        <v>3.2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14720-2024</t>
        </is>
      </c>
      <c r="B9157" s="1" t="n">
        <v>45397</v>
      </c>
      <c r="C9157" s="1" t="n">
        <v>45710</v>
      </c>
      <c r="D9157" t="inlineStr">
        <is>
          <t>ÖSTERGÖTLANDS LÄN</t>
        </is>
      </c>
      <c r="E9157" t="inlineStr">
        <is>
          <t>VALDEMARSVIK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14629-2024</t>
        </is>
      </c>
      <c r="B9158" s="1" t="n">
        <v>45397</v>
      </c>
      <c r="C9158" s="1" t="n">
        <v>45710</v>
      </c>
      <c r="D9158" t="inlineStr">
        <is>
          <t>ÖSTERGÖTLANDS LÄN</t>
        </is>
      </c>
      <c r="E9158" t="inlineStr">
        <is>
          <t>BOXHOLM</t>
        </is>
      </c>
      <c r="F9158" t="inlineStr">
        <is>
          <t>Övriga Aktiebolag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14668-2024</t>
        </is>
      </c>
      <c r="B9159" s="1" t="n">
        <v>45397</v>
      </c>
      <c r="C9159" s="1" t="n">
        <v>45710</v>
      </c>
      <c r="D9159" t="inlineStr">
        <is>
          <t>ÖSTERGÖTLANDS LÄN</t>
        </is>
      </c>
      <c r="E9159" t="inlineStr">
        <is>
          <t>LINKÖPING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14953-2024</t>
        </is>
      </c>
      <c r="B9160" s="1" t="n">
        <v>45398</v>
      </c>
      <c r="C9160" s="1" t="n">
        <v>45710</v>
      </c>
      <c r="D9160" t="inlineStr">
        <is>
          <t>ÖSTERGÖTLANDS LÄN</t>
        </is>
      </c>
      <c r="E9160" t="inlineStr">
        <is>
          <t>YDRE</t>
        </is>
      </c>
      <c r="G9160" t="n">
        <v>4.9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14943-2024</t>
        </is>
      </c>
      <c r="B9161" s="1" t="n">
        <v>45398</v>
      </c>
      <c r="C9161" s="1" t="n">
        <v>45710</v>
      </c>
      <c r="D9161" t="inlineStr">
        <is>
          <t>ÖSTERGÖTLANDS LÄN</t>
        </is>
      </c>
      <c r="E9161" t="inlineStr">
        <is>
          <t>KINDA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15005-2024</t>
        </is>
      </c>
      <c r="B9162" s="1" t="n">
        <v>45399</v>
      </c>
      <c r="C9162" s="1" t="n">
        <v>45710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15017-2024</t>
        </is>
      </c>
      <c r="B9163" s="1" t="n">
        <v>45399</v>
      </c>
      <c r="C9163" s="1" t="n">
        <v>45710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15029-2024</t>
        </is>
      </c>
      <c r="B9164" s="1" t="n">
        <v>45399</v>
      </c>
      <c r="C9164" s="1" t="n">
        <v>45710</v>
      </c>
      <c r="D9164" t="inlineStr">
        <is>
          <t>ÖSTERGÖTLANDS LÄN</t>
        </is>
      </c>
      <c r="E9164" t="inlineStr">
        <is>
          <t>KINDA</t>
        </is>
      </c>
      <c r="G9164" t="n">
        <v>2.6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15079-2024</t>
        </is>
      </c>
      <c r="B9165" s="1" t="n">
        <v>45399</v>
      </c>
      <c r="C9165" s="1" t="n">
        <v>45710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15112-2024</t>
        </is>
      </c>
      <c r="B9166" s="1" t="n">
        <v>45399</v>
      </c>
      <c r="C9166" s="1" t="n">
        <v>45710</v>
      </c>
      <c r="D9166" t="inlineStr">
        <is>
          <t>ÖSTERGÖTLANDS LÄN</t>
        </is>
      </c>
      <c r="E9166" t="inlineStr">
        <is>
          <t>VALDEMARSVIK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15030-2024</t>
        </is>
      </c>
      <c r="B9167" s="1" t="n">
        <v>45399</v>
      </c>
      <c r="C9167" s="1" t="n">
        <v>45710</v>
      </c>
      <c r="D9167" t="inlineStr">
        <is>
          <t>ÖSTERGÖTLANDS LÄN</t>
        </is>
      </c>
      <c r="E9167" t="inlineStr">
        <is>
          <t>NORRKÖPING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15034-2024</t>
        </is>
      </c>
      <c r="B9168" s="1" t="n">
        <v>45399</v>
      </c>
      <c r="C9168" s="1" t="n">
        <v>45710</v>
      </c>
      <c r="D9168" t="inlineStr">
        <is>
          <t>ÖSTERGÖTLANDS LÄN</t>
        </is>
      </c>
      <c r="E9168" t="inlineStr">
        <is>
          <t>SÖDERKÖPING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15038-2024</t>
        </is>
      </c>
      <c r="B9169" s="1" t="n">
        <v>45399</v>
      </c>
      <c r="C9169" s="1" t="n">
        <v>45710</v>
      </c>
      <c r="D9169" t="inlineStr">
        <is>
          <t>ÖSTERGÖTLANDS LÄN</t>
        </is>
      </c>
      <c r="E9169" t="inlineStr">
        <is>
          <t>NORRKÖPING</t>
        </is>
      </c>
      <c r="G9169" t="n">
        <v>11.6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15043-2024</t>
        </is>
      </c>
      <c r="B9170" s="1" t="n">
        <v>45399</v>
      </c>
      <c r="C9170" s="1" t="n">
        <v>45710</v>
      </c>
      <c r="D9170" t="inlineStr">
        <is>
          <t>ÖSTERGÖTLANDS LÄN</t>
        </is>
      </c>
      <c r="E9170" t="inlineStr">
        <is>
          <t>NORRKÖPING</t>
        </is>
      </c>
      <c r="G9170" t="n">
        <v>14.2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15056-2024</t>
        </is>
      </c>
      <c r="B9171" s="1" t="n">
        <v>45399</v>
      </c>
      <c r="C9171" s="1" t="n">
        <v>45710</v>
      </c>
      <c r="D9171" t="inlineStr">
        <is>
          <t>ÖSTERGÖTLANDS LÄN</t>
        </is>
      </c>
      <c r="E9171" t="inlineStr">
        <is>
          <t>ÅTVIDABERG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15015-2024</t>
        </is>
      </c>
      <c r="B9172" s="1" t="n">
        <v>45399</v>
      </c>
      <c r="C9172" s="1" t="n">
        <v>45710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Naturvårdsverket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15106-2024</t>
        </is>
      </c>
      <c r="B9173" s="1" t="n">
        <v>45399</v>
      </c>
      <c r="C9173" s="1" t="n">
        <v>45710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15024-2024</t>
        </is>
      </c>
      <c r="B9174" s="1" t="n">
        <v>45399</v>
      </c>
      <c r="C9174" s="1" t="n">
        <v>45710</v>
      </c>
      <c r="D9174" t="inlineStr">
        <is>
          <t>ÖSTERGÖTLANDS LÄN</t>
        </is>
      </c>
      <c r="E9174" t="inlineStr">
        <is>
          <t>KINDA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15082-2024</t>
        </is>
      </c>
      <c r="B9175" s="1" t="n">
        <v>45399</v>
      </c>
      <c r="C9175" s="1" t="n">
        <v>45710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15186-2024</t>
        </is>
      </c>
      <c r="B9176" s="1" t="n">
        <v>45400</v>
      </c>
      <c r="C9176" s="1" t="n">
        <v>45710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15190-2024</t>
        </is>
      </c>
      <c r="B9177" s="1" t="n">
        <v>45400</v>
      </c>
      <c r="C9177" s="1" t="n">
        <v>45710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15194-2024</t>
        </is>
      </c>
      <c r="B9178" s="1" t="n">
        <v>45400</v>
      </c>
      <c r="C9178" s="1" t="n">
        <v>45710</v>
      </c>
      <c r="D9178" t="inlineStr">
        <is>
          <t>ÖSTERGÖTLANDS LÄN</t>
        </is>
      </c>
      <c r="E9178" t="inlineStr">
        <is>
          <t>ÅTVIDABERG</t>
        </is>
      </c>
      <c r="G9178" t="n">
        <v>0.2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15188-2024</t>
        </is>
      </c>
      <c r="B9179" s="1" t="n">
        <v>45400</v>
      </c>
      <c r="C9179" s="1" t="n">
        <v>45710</v>
      </c>
      <c r="D9179" t="inlineStr">
        <is>
          <t>ÖSTERGÖTLANDS LÄN</t>
        </is>
      </c>
      <c r="E9179" t="inlineStr">
        <is>
          <t>ÅTVIDABERG</t>
        </is>
      </c>
      <c r="G9179" t="n">
        <v>3.1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15192-2024</t>
        </is>
      </c>
      <c r="B9180" s="1" t="n">
        <v>45400</v>
      </c>
      <c r="C9180" s="1" t="n">
        <v>45710</v>
      </c>
      <c r="D9180" t="inlineStr">
        <is>
          <t>ÖSTERGÖTLANDS LÄN</t>
        </is>
      </c>
      <c r="E9180" t="inlineStr">
        <is>
          <t>ÅTVIDABERG</t>
        </is>
      </c>
      <c r="G9180" t="n">
        <v>0.3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15253-2024</t>
        </is>
      </c>
      <c r="B9181" s="1" t="n">
        <v>45400</v>
      </c>
      <c r="C9181" s="1" t="n">
        <v>45710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15261-2024</t>
        </is>
      </c>
      <c r="B9182" s="1" t="n">
        <v>45400</v>
      </c>
      <c r="C9182" s="1" t="n">
        <v>45710</v>
      </c>
      <c r="D9182" t="inlineStr">
        <is>
          <t>ÖSTERGÖTLANDS LÄN</t>
        </is>
      </c>
      <c r="E9182" t="inlineStr">
        <is>
          <t>BOXHOLM</t>
        </is>
      </c>
      <c r="F9182" t="inlineStr">
        <is>
          <t>Övriga Aktiebolag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15269-2024</t>
        </is>
      </c>
      <c r="B9183" s="1" t="n">
        <v>45400</v>
      </c>
      <c r="C9183" s="1" t="n">
        <v>45710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15288-2024</t>
        </is>
      </c>
      <c r="B9184" s="1" t="n">
        <v>45400</v>
      </c>
      <c r="C9184" s="1" t="n">
        <v>45710</v>
      </c>
      <c r="D9184" t="inlineStr">
        <is>
          <t>ÖSTERGÖTLANDS LÄN</t>
        </is>
      </c>
      <c r="E9184" t="inlineStr">
        <is>
          <t>KINDA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15297-2024</t>
        </is>
      </c>
      <c r="B9185" s="1" t="n">
        <v>45400</v>
      </c>
      <c r="C9185" s="1" t="n">
        <v>45710</v>
      </c>
      <c r="D9185" t="inlineStr">
        <is>
          <t>ÖSTERGÖTLANDS LÄN</t>
        </is>
      </c>
      <c r="E9185" t="inlineStr">
        <is>
          <t>KINDA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15286-2024</t>
        </is>
      </c>
      <c r="B9186" s="1" t="n">
        <v>45400</v>
      </c>
      <c r="C9186" s="1" t="n">
        <v>45710</v>
      </c>
      <c r="D9186" t="inlineStr">
        <is>
          <t>ÖSTERGÖTLANDS LÄN</t>
        </is>
      </c>
      <c r="E9186" t="inlineStr">
        <is>
          <t>KINDA</t>
        </is>
      </c>
      <c r="G9186" t="n">
        <v>8.4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15294-2024</t>
        </is>
      </c>
      <c r="B9187" s="1" t="n">
        <v>45400</v>
      </c>
      <c r="C9187" s="1" t="n">
        <v>45710</v>
      </c>
      <c r="D9187" t="inlineStr">
        <is>
          <t>ÖSTERGÖTLANDS LÄN</t>
        </is>
      </c>
      <c r="E9187" t="inlineStr">
        <is>
          <t>KINDA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15287-2024</t>
        </is>
      </c>
      <c r="B9188" s="1" t="n">
        <v>45400</v>
      </c>
      <c r="C9188" s="1" t="n">
        <v>45710</v>
      </c>
      <c r="D9188" t="inlineStr">
        <is>
          <t>ÖSTERGÖTLANDS LÄN</t>
        </is>
      </c>
      <c r="E9188" t="inlineStr">
        <is>
          <t>KINDA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15291-2024</t>
        </is>
      </c>
      <c r="B9189" s="1" t="n">
        <v>45400</v>
      </c>
      <c r="C9189" s="1" t="n">
        <v>45710</v>
      </c>
      <c r="D9189" t="inlineStr">
        <is>
          <t>ÖSTERGÖTLANDS LÄN</t>
        </is>
      </c>
      <c r="E9189" t="inlineStr">
        <is>
          <t>KINDA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15303-2024</t>
        </is>
      </c>
      <c r="B9190" s="1" t="n">
        <v>45400</v>
      </c>
      <c r="C9190" s="1" t="n">
        <v>45710</v>
      </c>
      <c r="D9190" t="inlineStr">
        <is>
          <t>ÖSTERGÖTLANDS LÄN</t>
        </is>
      </c>
      <c r="E9190" t="inlineStr">
        <is>
          <t>KINDA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15308-2024</t>
        </is>
      </c>
      <c r="B9191" s="1" t="n">
        <v>45400</v>
      </c>
      <c r="C9191" s="1" t="n">
        <v>45710</v>
      </c>
      <c r="D9191" t="inlineStr">
        <is>
          <t>ÖSTERGÖTLANDS LÄN</t>
        </is>
      </c>
      <c r="E9191" t="inlineStr">
        <is>
          <t>KINDA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15343-2024</t>
        </is>
      </c>
      <c r="B9192" s="1" t="n">
        <v>45400</v>
      </c>
      <c r="C9192" s="1" t="n">
        <v>45710</v>
      </c>
      <c r="D9192" t="inlineStr">
        <is>
          <t>ÖSTERGÖTLANDS LÄN</t>
        </is>
      </c>
      <c r="E9192" t="inlineStr">
        <is>
          <t>KINDA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15349-2024</t>
        </is>
      </c>
      <c r="B9193" s="1" t="n">
        <v>45400</v>
      </c>
      <c r="C9193" s="1" t="n">
        <v>45710</v>
      </c>
      <c r="D9193" t="inlineStr">
        <is>
          <t>ÖSTERGÖTLANDS LÄN</t>
        </is>
      </c>
      <c r="E9193" t="inlineStr">
        <is>
          <t>KINDA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15599-2024</t>
        </is>
      </c>
      <c r="B9194" s="1" t="n">
        <v>45401</v>
      </c>
      <c r="C9194" s="1" t="n">
        <v>45710</v>
      </c>
      <c r="D9194" t="inlineStr">
        <is>
          <t>ÖSTERGÖTLANDS LÄN</t>
        </is>
      </c>
      <c r="E9194" t="inlineStr">
        <is>
          <t>MOTALA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15493-2024</t>
        </is>
      </c>
      <c r="B9195" s="1" t="n">
        <v>45401</v>
      </c>
      <c r="C9195" s="1" t="n">
        <v>45710</v>
      </c>
      <c r="D9195" t="inlineStr">
        <is>
          <t>ÖSTERGÖTLANDS LÄN</t>
        </is>
      </c>
      <c r="E9195" t="inlineStr">
        <is>
          <t>MJÖLBY</t>
        </is>
      </c>
      <c r="F9195" t="inlineStr">
        <is>
          <t>Sveaskog</t>
        </is>
      </c>
      <c r="G9195" t="n">
        <v>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15416-2024</t>
        </is>
      </c>
      <c r="B9196" s="1" t="n">
        <v>45401</v>
      </c>
      <c r="C9196" s="1" t="n">
        <v>45710</v>
      </c>
      <c r="D9196" t="inlineStr">
        <is>
          <t>ÖSTERGÖTLANDS LÄN</t>
        </is>
      </c>
      <c r="E9196" t="inlineStr">
        <is>
          <t>VADSTENA</t>
        </is>
      </c>
      <c r="G9196" t="n">
        <v>5.6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15596-2024</t>
        </is>
      </c>
      <c r="B9197" s="1" t="n">
        <v>45401</v>
      </c>
      <c r="C9197" s="1" t="n">
        <v>45710</v>
      </c>
      <c r="D9197" t="inlineStr">
        <is>
          <t>ÖSTERGÖTLANDS LÄN</t>
        </is>
      </c>
      <c r="E9197" t="inlineStr">
        <is>
          <t>MOTALA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15600-2024</t>
        </is>
      </c>
      <c r="B9198" s="1" t="n">
        <v>45401</v>
      </c>
      <c r="C9198" s="1" t="n">
        <v>45710</v>
      </c>
      <c r="D9198" t="inlineStr">
        <is>
          <t>ÖSTERGÖTLANDS LÄN</t>
        </is>
      </c>
      <c r="E9198" t="inlineStr">
        <is>
          <t>MOTALA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15459-2024</t>
        </is>
      </c>
      <c r="B9199" s="1" t="n">
        <v>45401</v>
      </c>
      <c r="C9199" s="1" t="n">
        <v>45710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15394-2024</t>
        </is>
      </c>
      <c r="B9200" s="1" t="n">
        <v>45401</v>
      </c>
      <c r="C9200" s="1" t="n">
        <v>45710</v>
      </c>
      <c r="D9200" t="inlineStr">
        <is>
          <t>ÖSTERGÖTLANDS LÄN</t>
        </is>
      </c>
      <c r="E9200" t="inlineStr">
        <is>
          <t>VADSTENA</t>
        </is>
      </c>
      <c r="G9200" t="n">
        <v>2.3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15445-2024</t>
        </is>
      </c>
      <c r="B9201" s="1" t="n">
        <v>45401</v>
      </c>
      <c r="C9201" s="1" t="n">
        <v>45710</v>
      </c>
      <c r="D9201" t="inlineStr">
        <is>
          <t>ÖSTERGÖTLANDS LÄN</t>
        </is>
      </c>
      <c r="E9201" t="inlineStr">
        <is>
          <t>SÖDERKÖPING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15488-2024</t>
        </is>
      </c>
      <c r="B9202" s="1" t="n">
        <v>45401</v>
      </c>
      <c r="C9202" s="1" t="n">
        <v>45710</v>
      </c>
      <c r="D9202" t="inlineStr">
        <is>
          <t>ÖSTERGÖTLANDS LÄN</t>
        </is>
      </c>
      <c r="E9202" t="inlineStr">
        <is>
          <t>MJÖLBY</t>
        </is>
      </c>
      <c r="F9202" t="inlineStr">
        <is>
          <t>Sveaskog</t>
        </is>
      </c>
      <c r="G9202" t="n">
        <v>9.199999999999999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15598-2024</t>
        </is>
      </c>
      <c r="B9203" s="1" t="n">
        <v>45401</v>
      </c>
      <c r="C9203" s="1" t="n">
        <v>45710</v>
      </c>
      <c r="D9203" t="inlineStr">
        <is>
          <t>ÖSTERGÖTLANDS LÄN</t>
        </is>
      </c>
      <c r="E9203" t="inlineStr">
        <is>
          <t>MOTALA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15602-2024</t>
        </is>
      </c>
      <c r="B9204" s="1" t="n">
        <v>45401</v>
      </c>
      <c r="C9204" s="1" t="n">
        <v>45710</v>
      </c>
      <c r="D9204" t="inlineStr">
        <is>
          <t>ÖSTERGÖTLANDS LÄN</t>
        </is>
      </c>
      <c r="E9204" t="inlineStr">
        <is>
          <t>NORRKÖPING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15597-2024</t>
        </is>
      </c>
      <c r="B9205" s="1" t="n">
        <v>45401</v>
      </c>
      <c r="C9205" s="1" t="n">
        <v>45710</v>
      </c>
      <c r="D9205" t="inlineStr">
        <is>
          <t>ÖSTERGÖTLANDS LÄN</t>
        </is>
      </c>
      <c r="E9205" t="inlineStr">
        <is>
          <t>MOTALA</t>
        </is>
      </c>
      <c r="G9205" t="n">
        <v>3.5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15491-2024</t>
        </is>
      </c>
      <c r="B9206" s="1" t="n">
        <v>45401</v>
      </c>
      <c r="C9206" s="1" t="n">
        <v>45710</v>
      </c>
      <c r="D9206" t="inlineStr">
        <is>
          <t>ÖSTERGÖTLANDS LÄN</t>
        </is>
      </c>
      <c r="E9206" t="inlineStr">
        <is>
          <t>MJÖLBY</t>
        </is>
      </c>
      <c r="F9206" t="inlineStr">
        <is>
          <t>Sveaskog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15487-2024</t>
        </is>
      </c>
      <c r="B9207" s="1" t="n">
        <v>45401</v>
      </c>
      <c r="C9207" s="1" t="n">
        <v>45710</v>
      </c>
      <c r="D9207" t="inlineStr">
        <is>
          <t>ÖSTERGÖTLANDS LÄN</t>
        </is>
      </c>
      <c r="E9207" t="inlineStr">
        <is>
          <t>MJÖLBY</t>
        </is>
      </c>
      <c r="F9207" t="inlineStr">
        <is>
          <t>Sveaskog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15635-2024</t>
        </is>
      </c>
      <c r="B9208" s="1" t="n">
        <v>45403</v>
      </c>
      <c r="C9208" s="1" t="n">
        <v>45710</v>
      </c>
      <c r="D9208" t="inlineStr">
        <is>
          <t>ÖSTERGÖTLANDS LÄN</t>
        </is>
      </c>
      <c r="E9208" t="inlineStr">
        <is>
          <t>NORRKÖPING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15634-2024</t>
        </is>
      </c>
      <c r="B9209" s="1" t="n">
        <v>45403</v>
      </c>
      <c r="C9209" s="1" t="n">
        <v>45710</v>
      </c>
      <c r="D9209" t="inlineStr">
        <is>
          <t>ÖSTERGÖTLANDS LÄN</t>
        </is>
      </c>
      <c r="E9209" t="inlineStr">
        <is>
          <t>NORRKÖPING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15636-2024</t>
        </is>
      </c>
      <c r="B9210" s="1" t="n">
        <v>45403</v>
      </c>
      <c r="C9210" s="1" t="n">
        <v>45710</v>
      </c>
      <c r="D9210" t="inlineStr">
        <is>
          <t>ÖSTERGÖTLANDS LÄN</t>
        </is>
      </c>
      <c r="E9210" t="inlineStr">
        <is>
          <t>NORRKÖPING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15640-2024</t>
        </is>
      </c>
      <c r="B9211" s="1" t="n">
        <v>45403</v>
      </c>
      <c r="C9211" s="1" t="n">
        <v>45710</v>
      </c>
      <c r="D9211" t="inlineStr">
        <is>
          <t>ÖSTERGÖTLANDS LÄN</t>
        </is>
      </c>
      <c r="E9211" t="inlineStr">
        <is>
          <t>NORRKÖPING</t>
        </is>
      </c>
      <c r="G9211" t="n">
        <v>4.7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15660-2024</t>
        </is>
      </c>
      <c r="B9212" s="1" t="n">
        <v>45404</v>
      </c>
      <c r="C9212" s="1" t="n">
        <v>45710</v>
      </c>
      <c r="D9212" t="inlineStr">
        <is>
          <t>ÖSTERGÖTLANDS LÄN</t>
        </is>
      </c>
      <c r="E9212" t="inlineStr">
        <is>
          <t>VALDEMARSVIK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15714-2024</t>
        </is>
      </c>
      <c r="B9213" s="1" t="n">
        <v>45404</v>
      </c>
      <c r="C9213" s="1" t="n">
        <v>45710</v>
      </c>
      <c r="D9213" t="inlineStr">
        <is>
          <t>ÖSTERGÖTLANDS LÄN</t>
        </is>
      </c>
      <c r="E9213" t="inlineStr">
        <is>
          <t>LINKÖPING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15774-2024</t>
        </is>
      </c>
      <c r="B9214" s="1" t="n">
        <v>45404</v>
      </c>
      <c r="C9214" s="1" t="n">
        <v>45710</v>
      </c>
      <c r="D9214" t="inlineStr">
        <is>
          <t>ÖSTERGÖTLANDS LÄN</t>
        </is>
      </c>
      <c r="E9214" t="inlineStr">
        <is>
          <t>SÖDERKÖPING</t>
        </is>
      </c>
      <c r="G9214" t="n">
        <v>4.8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15712-2024</t>
        </is>
      </c>
      <c r="B9215" s="1" t="n">
        <v>45404</v>
      </c>
      <c r="C9215" s="1" t="n">
        <v>45710</v>
      </c>
      <c r="D9215" t="inlineStr">
        <is>
          <t>ÖSTERGÖTLANDS LÄN</t>
        </is>
      </c>
      <c r="E9215" t="inlineStr">
        <is>
          <t>LINKÖPING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15724-2024</t>
        </is>
      </c>
      <c r="B9216" s="1" t="n">
        <v>45404</v>
      </c>
      <c r="C9216" s="1" t="n">
        <v>45710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15744-2024</t>
        </is>
      </c>
      <c r="B9217" s="1" t="n">
        <v>45404</v>
      </c>
      <c r="C9217" s="1" t="n">
        <v>45710</v>
      </c>
      <c r="D9217" t="inlineStr">
        <is>
          <t>ÖSTERGÖTLANDS LÄN</t>
        </is>
      </c>
      <c r="E9217" t="inlineStr">
        <is>
          <t>VALDEMARSVIK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15776-2024</t>
        </is>
      </c>
      <c r="B9218" s="1" t="n">
        <v>45404</v>
      </c>
      <c r="C9218" s="1" t="n">
        <v>45710</v>
      </c>
      <c r="D9218" t="inlineStr">
        <is>
          <t>ÖSTERGÖTLANDS LÄN</t>
        </is>
      </c>
      <c r="E9218" t="inlineStr">
        <is>
          <t>VALDEMARSVIK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15729-2024</t>
        </is>
      </c>
      <c r="B9219" s="1" t="n">
        <v>45404</v>
      </c>
      <c r="C9219" s="1" t="n">
        <v>45710</v>
      </c>
      <c r="D9219" t="inlineStr">
        <is>
          <t>ÖSTERGÖTLANDS LÄN</t>
        </is>
      </c>
      <c r="E9219" t="inlineStr">
        <is>
          <t>LINKÖPING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15777-2024</t>
        </is>
      </c>
      <c r="B9220" s="1" t="n">
        <v>45404</v>
      </c>
      <c r="C9220" s="1" t="n">
        <v>45710</v>
      </c>
      <c r="D9220" t="inlineStr">
        <is>
          <t>ÖSTERGÖTLANDS LÄN</t>
        </is>
      </c>
      <c r="E9220" t="inlineStr">
        <is>
          <t>SÖDERKÖPING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15648-2024</t>
        </is>
      </c>
      <c r="B9221" s="1" t="n">
        <v>45404</v>
      </c>
      <c r="C9221" s="1" t="n">
        <v>45710</v>
      </c>
      <c r="D9221" t="inlineStr">
        <is>
          <t>ÖSTERGÖTLANDS LÄN</t>
        </is>
      </c>
      <c r="E9221" t="inlineStr">
        <is>
          <t>VALDEMARSVIK</t>
        </is>
      </c>
      <c r="G9221" t="n">
        <v>6.2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15805-2024</t>
        </is>
      </c>
      <c r="B9222" s="1" t="n">
        <v>45404</v>
      </c>
      <c r="C9222" s="1" t="n">
        <v>45710</v>
      </c>
      <c r="D9222" t="inlineStr">
        <is>
          <t>ÖSTERGÖTLANDS LÄN</t>
        </is>
      </c>
      <c r="E9222" t="inlineStr">
        <is>
          <t>SÖDERKÖPING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15711-2024</t>
        </is>
      </c>
      <c r="B9223" s="1" t="n">
        <v>45404</v>
      </c>
      <c r="C9223" s="1" t="n">
        <v>45710</v>
      </c>
      <c r="D9223" t="inlineStr">
        <is>
          <t>ÖSTERGÖTLANDS LÄN</t>
        </is>
      </c>
      <c r="E9223" t="inlineStr">
        <is>
          <t>LINKÖPING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15731-2024</t>
        </is>
      </c>
      <c r="B9224" s="1" t="n">
        <v>45404</v>
      </c>
      <c r="C9224" s="1" t="n">
        <v>45710</v>
      </c>
      <c r="D9224" t="inlineStr">
        <is>
          <t>ÖSTERGÖTLANDS LÄN</t>
        </is>
      </c>
      <c r="E9224" t="inlineStr">
        <is>
          <t>VALDEMARSVIK</t>
        </is>
      </c>
      <c r="G9224" t="n">
        <v>1.5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15779-2024</t>
        </is>
      </c>
      <c r="B9225" s="1" t="n">
        <v>45404</v>
      </c>
      <c r="C9225" s="1" t="n">
        <v>45710</v>
      </c>
      <c r="D9225" t="inlineStr">
        <is>
          <t>ÖSTERGÖTLANDS LÄN</t>
        </is>
      </c>
      <c r="E9225" t="inlineStr">
        <is>
          <t>VALDEMARSVIK</t>
        </is>
      </c>
      <c r="G9225" t="n">
        <v>2.4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15783-2024</t>
        </is>
      </c>
      <c r="B9226" s="1" t="n">
        <v>45404</v>
      </c>
      <c r="C9226" s="1" t="n">
        <v>45710</v>
      </c>
      <c r="D9226" t="inlineStr">
        <is>
          <t>ÖSTERGÖTLANDS LÄN</t>
        </is>
      </c>
      <c r="E9226" t="inlineStr">
        <is>
          <t>VALDEMARSVIK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15787-2024</t>
        </is>
      </c>
      <c r="B9227" s="1" t="n">
        <v>45404</v>
      </c>
      <c r="C9227" s="1" t="n">
        <v>45710</v>
      </c>
      <c r="D9227" t="inlineStr">
        <is>
          <t>ÖSTERGÖTLANDS LÄN</t>
        </is>
      </c>
      <c r="E9227" t="inlineStr">
        <is>
          <t>VALDEMARSVIK</t>
        </is>
      </c>
      <c r="G9227" t="n">
        <v>2.7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15819-2024</t>
        </is>
      </c>
      <c r="B9228" s="1" t="n">
        <v>45404</v>
      </c>
      <c r="C9228" s="1" t="n">
        <v>45710</v>
      </c>
      <c r="D9228" t="inlineStr">
        <is>
          <t>ÖSTERGÖTLANDS LÄN</t>
        </is>
      </c>
      <c r="E9228" t="inlineStr">
        <is>
          <t>ÅTVIDABERG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15915-2024</t>
        </is>
      </c>
      <c r="B9229" s="1" t="n">
        <v>45405</v>
      </c>
      <c r="C9229" s="1" t="n">
        <v>45710</v>
      </c>
      <c r="D9229" t="inlineStr">
        <is>
          <t>ÖSTERGÖTLANDS LÄN</t>
        </is>
      </c>
      <c r="E9229" t="inlineStr">
        <is>
          <t>ÖDESHÖG</t>
        </is>
      </c>
      <c r="G9229" t="n">
        <v>0.4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15907-2024</t>
        </is>
      </c>
      <c r="B9230" s="1" t="n">
        <v>45405</v>
      </c>
      <c r="C9230" s="1" t="n">
        <v>45710</v>
      </c>
      <c r="D9230" t="inlineStr">
        <is>
          <t>ÖSTERGÖTLANDS LÄN</t>
        </is>
      </c>
      <c r="E9230" t="inlineStr">
        <is>
          <t>ÖDESHÖG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15868-2024</t>
        </is>
      </c>
      <c r="B9231" s="1" t="n">
        <v>45405</v>
      </c>
      <c r="C9231" s="1" t="n">
        <v>45710</v>
      </c>
      <c r="D9231" t="inlineStr">
        <is>
          <t>ÖSTERGÖTLANDS LÄN</t>
        </is>
      </c>
      <c r="E9231" t="inlineStr">
        <is>
          <t>NORRKÖPING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16041-2024</t>
        </is>
      </c>
      <c r="B9232" s="1" t="n">
        <v>45406</v>
      </c>
      <c r="C9232" s="1" t="n">
        <v>45710</v>
      </c>
      <c r="D9232" t="inlineStr">
        <is>
          <t>ÖSTERGÖTLANDS LÄN</t>
        </is>
      </c>
      <c r="E9232" t="inlineStr">
        <is>
          <t>FINSPÅNG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15909-2024</t>
        </is>
      </c>
      <c r="B9233" s="1" t="n">
        <v>45405</v>
      </c>
      <c r="C9233" s="1" t="n">
        <v>45710</v>
      </c>
      <c r="D9233" t="inlineStr">
        <is>
          <t>ÖSTERGÖTLANDS LÄN</t>
        </is>
      </c>
      <c r="E9233" t="inlineStr">
        <is>
          <t>ÖDESHÖG</t>
        </is>
      </c>
      <c r="G9233" t="n">
        <v>0.1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15869-2024</t>
        </is>
      </c>
      <c r="B9234" s="1" t="n">
        <v>45405</v>
      </c>
      <c r="C9234" s="1" t="n">
        <v>45710</v>
      </c>
      <c r="D9234" t="inlineStr">
        <is>
          <t>ÖSTERGÖTLANDS LÄN</t>
        </is>
      </c>
      <c r="E9234" t="inlineStr">
        <is>
          <t>NORRKÖPING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15906-2024</t>
        </is>
      </c>
      <c r="B9235" s="1" t="n">
        <v>45405</v>
      </c>
      <c r="C9235" s="1" t="n">
        <v>45710</v>
      </c>
      <c r="D9235" t="inlineStr">
        <is>
          <t>ÖSTERGÖTLANDS LÄN</t>
        </is>
      </c>
      <c r="E9235" t="inlineStr">
        <is>
          <t>ÖDESHÖG</t>
        </is>
      </c>
      <c r="G9235" t="n">
        <v>0.2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15870-2024</t>
        </is>
      </c>
      <c r="B9236" s="1" t="n">
        <v>45405</v>
      </c>
      <c r="C9236" s="1" t="n">
        <v>45710</v>
      </c>
      <c r="D9236" t="inlineStr">
        <is>
          <t>ÖSTERGÖTLANDS LÄN</t>
        </is>
      </c>
      <c r="E9236" t="inlineStr">
        <is>
          <t>NORRKÖPING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16201-2024</t>
        </is>
      </c>
      <c r="B9237" s="1" t="n">
        <v>45406</v>
      </c>
      <c r="C9237" s="1" t="n">
        <v>45710</v>
      </c>
      <c r="D9237" t="inlineStr">
        <is>
          <t>ÖSTERGÖTLANDS LÄN</t>
        </is>
      </c>
      <c r="E9237" t="inlineStr">
        <is>
          <t>KINDA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16206-2024</t>
        </is>
      </c>
      <c r="B9238" s="1" t="n">
        <v>45406</v>
      </c>
      <c r="C9238" s="1" t="n">
        <v>45710</v>
      </c>
      <c r="D9238" t="inlineStr">
        <is>
          <t>ÖSTERGÖTLANDS LÄN</t>
        </is>
      </c>
      <c r="E9238" t="inlineStr">
        <is>
          <t>YDRE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16205-2024</t>
        </is>
      </c>
      <c r="B9239" s="1" t="n">
        <v>45406</v>
      </c>
      <c r="C9239" s="1" t="n">
        <v>45710</v>
      </c>
      <c r="D9239" t="inlineStr">
        <is>
          <t>ÖSTERGÖTLANDS LÄN</t>
        </is>
      </c>
      <c r="E9239" t="inlineStr">
        <is>
          <t>YDRE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16156-2024</t>
        </is>
      </c>
      <c r="B9240" s="1" t="n">
        <v>45406</v>
      </c>
      <c r="C9240" s="1" t="n">
        <v>45710</v>
      </c>
      <c r="D9240" t="inlineStr">
        <is>
          <t>ÖSTERGÖTLANDS LÄN</t>
        </is>
      </c>
      <c r="E9240" t="inlineStr">
        <is>
          <t>LINKÖPING</t>
        </is>
      </c>
      <c r="F9240" t="inlineStr">
        <is>
          <t>Övriga Aktiebolag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16229-2024</t>
        </is>
      </c>
      <c r="B9241" s="1" t="n">
        <v>45407</v>
      </c>
      <c r="C9241" s="1" t="n">
        <v>45710</v>
      </c>
      <c r="D9241" t="inlineStr">
        <is>
          <t>ÖSTERGÖTLANDS LÄN</t>
        </is>
      </c>
      <c r="E9241" t="inlineStr">
        <is>
          <t>FINSPÅNG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16270-2024</t>
        </is>
      </c>
      <c r="B9242" s="1" t="n">
        <v>45407</v>
      </c>
      <c r="C9242" s="1" t="n">
        <v>45710</v>
      </c>
      <c r="D9242" t="inlineStr">
        <is>
          <t>ÖSTERGÖTLANDS LÄN</t>
        </is>
      </c>
      <c r="E9242" t="inlineStr">
        <is>
          <t>ÖDESHÖG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16289-2024</t>
        </is>
      </c>
      <c r="B9243" s="1" t="n">
        <v>45407</v>
      </c>
      <c r="C9243" s="1" t="n">
        <v>45710</v>
      </c>
      <c r="D9243" t="inlineStr">
        <is>
          <t>ÖSTERGÖTLANDS LÄN</t>
        </is>
      </c>
      <c r="E9243" t="inlineStr">
        <is>
          <t>MJÖLBY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16307-2024</t>
        </is>
      </c>
      <c r="B9244" s="1" t="n">
        <v>45407</v>
      </c>
      <c r="C9244" s="1" t="n">
        <v>45710</v>
      </c>
      <c r="D9244" t="inlineStr">
        <is>
          <t>ÖSTERGÖTLANDS LÄN</t>
        </is>
      </c>
      <c r="E9244" t="inlineStr">
        <is>
          <t>MJÖLBY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16319-2024</t>
        </is>
      </c>
      <c r="B9245" s="1" t="n">
        <v>45407</v>
      </c>
      <c r="C9245" s="1" t="n">
        <v>45710</v>
      </c>
      <c r="D9245" t="inlineStr">
        <is>
          <t>ÖSTERGÖTLANDS LÄN</t>
        </is>
      </c>
      <c r="E9245" t="inlineStr">
        <is>
          <t>ÅTVIDABERG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16405-2024</t>
        </is>
      </c>
      <c r="B9246" s="1" t="n">
        <v>45407</v>
      </c>
      <c r="C9246" s="1" t="n">
        <v>45710</v>
      </c>
      <c r="D9246" t="inlineStr">
        <is>
          <t>ÖSTERGÖTLANDS LÄN</t>
        </is>
      </c>
      <c r="E9246" t="inlineStr">
        <is>
          <t>VALDEMARSVIK</t>
        </is>
      </c>
      <c r="G9246" t="n">
        <v>2.4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16443-2024</t>
        </is>
      </c>
      <c r="B9247" s="1" t="n">
        <v>45407</v>
      </c>
      <c r="C9247" s="1" t="n">
        <v>45710</v>
      </c>
      <c r="D9247" t="inlineStr">
        <is>
          <t>ÖSTERGÖTLANDS LÄN</t>
        </is>
      </c>
      <c r="E9247" t="inlineStr">
        <is>
          <t>LINKÖPING</t>
        </is>
      </c>
      <c r="G9247" t="n">
        <v>3.2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16422-2024</t>
        </is>
      </c>
      <c r="B9248" s="1" t="n">
        <v>45407</v>
      </c>
      <c r="C9248" s="1" t="n">
        <v>45710</v>
      </c>
      <c r="D9248" t="inlineStr">
        <is>
          <t>ÖSTERGÖTLANDS LÄN</t>
        </is>
      </c>
      <c r="E9248" t="inlineStr">
        <is>
          <t>LINKÖPING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16304-2024</t>
        </is>
      </c>
      <c r="B9249" s="1" t="n">
        <v>45407</v>
      </c>
      <c r="C9249" s="1" t="n">
        <v>45710</v>
      </c>
      <c r="D9249" t="inlineStr">
        <is>
          <t>ÖSTERGÖTLANDS LÄN</t>
        </is>
      </c>
      <c r="E9249" t="inlineStr">
        <is>
          <t>MJÖLBY</t>
        </is>
      </c>
      <c r="G9249" t="n">
        <v>0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16404-2024</t>
        </is>
      </c>
      <c r="B9250" s="1" t="n">
        <v>45407</v>
      </c>
      <c r="C9250" s="1" t="n">
        <v>45710</v>
      </c>
      <c r="D9250" t="inlineStr">
        <is>
          <t>ÖSTERGÖTLANDS LÄN</t>
        </is>
      </c>
      <c r="E9250" t="inlineStr">
        <is>
          <t>VALDEMARSVIK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16432-2024</t>
        </is>
      </c>
      <c r="B9251" s="1" t="n">
        <v>45407</v>
      </c>
      <c r="C9251" s="1" t="n">
        <v>45710</v>
      </c>
      <c r="D9251" t="inlineStr">
        <is>
          <t>ÖSTERGÖTLANDS LÄN</t>
        </is>
      </c>
      <c r="E9251" t="inlineStr">
        <is>
          <t>KINDA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16444-2024</t>
        </is>
      </c>
      <c r="B9252" s="1" t="n">
        <v>45407</v>
      </c>
      <c r="C9252" s="1" t="n">
        <v>45710</v>
      </c>
      <c r="D9252" t="inlineStr">
        <is>
          <t>ÖSTERGÖTLANDS LÄN</t>
        </is>
      </c>
      <c r="E9252" t="inlineStr">
        <is>
          <t>LINKÖPING</t>
        </is>
      </c>
      <c r="G9252" t="n">
        <v>4.4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16613-2024</t>
        </is>
      </c>
      <c r="B9253" s="1" t="n">
        <v>45408</v>
      </c>
      <c r="C9253" s="1" t="n">
        <v>45710</v>
      </c>
      <c r="D9253" t="inlineStr">
        <is>
          <t>ÖSTERGÖTLANDS LÄN</t>
        </is>
      </c>
      <c r="E9253" t="inlineStr">
        <is>
          <t>VALDEMARSVIK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16480-2024</t>
        </is>
      </c>
      <c r="B9254" s="1" t="n">
        <v>45408</v>
      </c>
      <c r="C9254" s="1" t="n">
        <v>45710</v>
      </c>
      <c r="D9254" t="inlineStr">
        <is>
          <t>ÖSTERGÖTLANDS LÄN</t>
        </is>
      </c>
      <c r="E9254" t="inlineStr">
        <is>
          <t>ÅTVIDABERG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16484-2024</t>
        </is>
      </c>
      <c r="B9255" s="1" t="n">
        <v>45408</v>
      </c>
      <c r="C9255" s="1" t="n">
        <v>45710</v>
      </c>
      <c r="D9255" t="inlineStr">
        <is>
          <t>ÖSTERGÖTLANDS LÄN</t>
        </is>
      </c>
      <c r="E9255" t="inlineStr">
        <is>
          <t>NORRKÖPING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16572-2024</t>
        </is>
      </c>
      <c r="B9256" s="1" t="n">
        <v>45408</v>
      </c>
      <c r="C9256" s="1" t="n">
        <v>45710</v>
      </c>
      <c r="D9256" t="inlineStr">
        <is>
          <t>ÖSTERGÖTLANDS LÄN</t>
        </is>
      </c>
      <c r="E9256" t="inlineStr">
        <is>
          <t>FINSPÅNG</t>
        </is>
      </c>
      <c r="G9256" t="n">
        <v>2.9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16628-2024</t>
        </is>
      </c>
      <c r="B9257" s="1" t="n">
        <v>45408</v>
      </c>
      <c r="C9257" s="1" t="n">
        <v>45710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16502-2024</t>
        </is>
      </c>
      <c r="B9258" s="1" t="n">
        <v>45408</v>
      </c>
      <c r="C9258" s="1" t="n">
        <v>45710</v>
      </c>
      <c r="D9258" t="inlineStr">
        <is>
          <t>ÖSTERGÖTLANDS LÄN</t>
        </is>
      </c>
      <c r="E9258" t="inlineStr">
        <is>
          <t>KINDA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16582-2024</t>
        </is>
      </c>
      <c r="B9259" s="1" t="n">
        <v>45408</v>
      </c>
      <c r="C9259" s="1" t="n">
        <v>45710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16590-2024</t>
        </is>
      </c>
      <c r="B9260" s="1" t="n">
        <v>45408</v>
      </c>
      <c r="C9260" s="1" t="n">
        <v>45710</v>
      </c>
      <c r="D9260" t="inlineStr">
        <is>
          <t>ÖSTERGÖTLANDS LÄN</t>
        </is>
      </c>
      <c r="E9260" t="inlineStr">
        <is>
          <t>NORRKÖPING</t>
        </is>
      </c>
      <c r="G9260" t="n">
        <v>3.9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16606-2024</t>
        </is>
      </c>
      <c r="B9261" s="1" t="n">
        <v>45408</v>
      </c>
      <c r="C9261" s="1" t="n">
        <v>45710</v>
      </c>
      <c r="D9261" t="inlineStr">
        <is>
          <t>ÖSTERGÖTLANDS LÄN</t>
        </is>
      </c>
      <c r="E9261" t="inlineStr">
        <is>
          <t>NORRKÖPING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16942-2024</t>
        </is>
      </c>
      <c r="B9262" s="1" t="n">
        <v>45411</v>
      </c>
      <c r="C9262" s="1" t="n">
        <v>45710</v>
      </c>
      <c r="D9262" t="inlineStr">
        <is>
          <t>ÖSTERGÖTLANDS LÄN</t>
        </is>
      </c>
      <c r="E9262" t="inlineStr">
        <is>
          <t>VALDEMARSVIK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16771-2024</t>
        </is>
      </c>
      <c r="B9263" s="1" t="n">
        <v>45411</v>
      </c>
      <c r="C9263" s="1" t="n">
        <v>45710</v>
      </c>
      <c r="D9263" t="inlineStr">
        <is>
          <t>ÖSTERGÖTLANDS LÄN</t>
        </is>
      </c>
      <c r="E9263" t="inlineStr">
        <is>
          <t>VALDEMARSVIK</t>
        </is>
      </c>
      <c r="G9263" t="n">
        <v>5.4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16828-2024</t>
        </is>
      </c>
      <c r="B9264" s="1" t="n">
        <v>45411</v>
      </c>
      <c r="C9264" s="1" t="n">
        <v>45710</v>
      </c>
      <c r="D9264" t="inlineStr">
        <is>
          <t>ÖSTERGÖTLANDS LÄN</t>
        </is>
      </c>
      <c r="E9264" t="inlineStr">
        <is>
          <t>VALDEMARSVIK</t>
        </is>
      </c>
      <c r="G9264" t="n">
        <v>3.3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16747-2024</t>
        </is>
      </c>
      <c r="B9265" s="1" t="n">
        <v>45411</v>
      </c>
      <c r="C9265" s="1" t="n">
        <v>45710</v>
      </c>
      <c r="D9265" t="inlineStr">
        <is>
          <t>ÖSTERGÖTLANDS LÄN</t>
        </is>
      </c>
      <c r="E9265" t="inlineStr">
        <is>
          <t>KINDA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16925-2024</t>
        </is>
      </c>
      <c r="B9266" s="1" t="n">
        <v>45411</v>
      </c>
      <c r="C9266" s="1" t="n">
        <v>45710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16820-2024</t>
        </is>
      </c>
      <c r="B9267" s="1" t="n">
        <v>45411</v>
      </c>
      <c r="C9267" s="1" t="n">
        <v>45710</v>
      </c>
      <c r="D9267" t="inlineStr">
        <is>
          <t>ÖSTERGÖTLANDS LÄN</t>
        </is>
      </c>
      <c r="E9267" t="inlineStr">
        <is>
          <t>LINKÖPING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16940-2024</t>
        </is>
      </c>
      <c r="B9268" s="1" t="n">
        <v>45411</v>
      </c>
      <c r="C9268" s="1" t="n">
        <v>45710</v>
      </c>
      <c r="D9268" t="inlineStr">
        <is>
          <t>ÖSTERGÖTLANDS LÄN</t>
        </is>
      </c>
      <c r="E9268" t="inlineStr">
        <is>
          <t>VALDEMARSVIK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16809-2024</t>
        </is>
      </c>
      <c r="B9269" s="1" t="n">
        <v>45411</v>
      </c>
      <c r="C9269" s="1" t="n">
        <v>45710</v>
      </c>
      <c r="D9269" t="inlineStr">
        <is>
          <t>ÖSTERGÖTLANDS LÄN</t>
        </is>
      </c>
      <c r="E9269" t="inlineStr">
        <is>
          <t>LINKÖPING</t>
        </is>
      </c>
      <c r="G9269" t="n">
        <v>0.2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16774-2024</t>
        </is>
      </c>
      <c r="B9270" s="1" t="n">
        <v>45411</v>
      </c>
      <c r="C9270" s="1" t="n">
        <v>45710</v>
      </c>
      <c r="D9270" t="inlineStr">
        <is>
          <t>ÖSTERGÖTLANDS LÄN</t>
        </is>
      </c>
      <c r="E9270" t="inlineStr">
        <is>
          <t>VALDEMARSVIK</t>
        </is>
      </c>
      <c r="G9270" t="n">
        <v>3.6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16984-2024</t>
        </is>
      </c>
      <c r="B9271" s="1" t="n">
        <v>45412</v>
      </c>
      <c r="C9271" s="1" t="n">
        <v>45710</v>
      </c>
      <c r="D9271" t="inlineStr">
        <is>
          <t>ÖSTERGÖTLANDS LÄN</t>
        </is>
      </c>
      <c r="E9271" t="inlineStr">
        <is>
          <t>LINKÖPING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17155-2024</t>
        </is>
      </c>
      <c r="B9272" s="1" t="n">
        <v>45412</v>
      </c>
      <c r="C9272" s="1" t="n">
        <v>45710</v>
      </c>
      <c r="D9272" t="inlineStr">
        <is>
          <t>ÖSTERGÖTLANDS LÄN</t>
        </is>
      </c>
      <c r="E9272" t="inlineStr">
        <is>
          <t>LINKÖPING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17159-2024</t>
        </is>
      </c>
      <c r="B9273" s="1" t="n">
        <v>45412</v>
      </c>
      <c r="C9273" s="1" t="n">
        <v>45710</v>
      </c>
      <c r="D9273" t="inlineStr">
        <is>
          <t>ÖSTERGÖTLANDS LÄN</t>
        </is>
      </c>
      <c r="E9273" t="inlineStr">
        <is>
          <t>LINKÖPING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17136-2024</t>
        </is>
      </c>
      <c r="B9274" s="1" t="n">
        <v>45412</v>
      </c>
      <c r="C9274" s="1" t="n">
        <v>45710</v>
      </c>
      <c r="D9274" t="inlineStr">
        <is>
          <t>ÖSTERGÖTLANDS LÄN</t>
        </is>
      </c>
      <c r="E9274" t="inlineStr">
        <is>
          <t>ÖDESHÖG</t>
        </is>
      </c>
      <c r="G9274" t="n">
        <v>1.9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17164-2024</t>
        </is>
      </c>
      <c r="B9275" s="1" t="n">
        <v>45412</v>
      </c>
      <c r="C9275" s="1" t="n">
        <v>45710</v>
      </c>
      <c r="D9275" t="inlineStr">
        <is>
          <t>ÖSTERGÖTLANDS LÄN</t>
        </is>
      </c>
      <c r="E9275" t="inlineStr">
        <is>
          <t>FINSPÅNG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17126-2024</t>
        </is>
      </c>
      <c r="B9276" s="1" t="n">
        <v>45412</v>
      </c>
      <c r="C9276" s="1" t="n">
        <v>45710</v>
      </c>
      <c r="D9276" t="inlineStr">
        <is>
          <t>ÖSTERGÖTLANDS LÄN</t>
        </is>
      </c>
      <c r="E9276" t="inlineStr">
        <is>
          <t>ÖDESHÖG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17129-2024</t>
        </is>
      </c>
      <c r="B9277" s="1" t="n">
        <v>45412</v>
      </c>
      <c r="C9277" s="1" t="n">
        <v>45710</v>
      </c>
      <c r="D9277" t="inlineStr">
        <is>
          <t>ÖSTERGÖTLANDS LÄN</t>
        </is>
      </c>
      <c r="E9277" t="inlineStr">
        <is>
          <t>ÖDESHÖG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17108-2024</t>
        </is>
      </c>
      <c r="B9278" s="1" t="n">
        <v>45412</v>
      </c>
      <c r="C9278" s="1" t="n">
        <v>45710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17075-2024</t>
        </is>
      </c>
      <c r="B9279" s="1" t="n">
        <v>45412</v>
      </c>
      <c r="C9279" s="1" t="n">
        <v>45710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7.6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17157-2024</t>
        </is>
      </c>
      <c r="B9280" s="1" t="n">
        <v>45412</v>
      </c>
      <c r="C9280" s="1" t="n">
        <v>45710</v>
      </c>
      <c r="D9280" t="inlineStr">
        <is>
          <t>ÖSTERGÖTLANDS LÄN</t>
        </is>
      </c>
      <c r="E9280" t="inlineStr">
        <is>
          <t>LINKÖPING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17248-2024</t>
        </is>
      </c>
      <c r="B9281" s="1" t="n">
        <v>45414</v>
      </c>
      <c r="C9281" s="1" t="n">
        <v>45710</v>
      </c>
      <c r="D9281" t="inlineStr">
        <is>
          <t>ÖSTERGÖTLANDS LÄN</t>
        </is>
      </c>
      <c r="E9281" t="inlineStr">
        <is>
          <t>NORRKÖPING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17296-2024</t>
        </is>
      </c>
      <c r="B9282" s="1" t="n">
        <v>45414</v>
      </c>
      <c r="C9282" s="1" t="n">
        <v>45710</v>
      </c>
      <c r="D9282" t="inlineStr">
        <is>
          <t>ÖSTERGÖTLANDS LÄN</t>
        </is>
      </c>
      <c r="E9282" t="inlineStr">
        <is>
          <t>YDRE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17249-2024</t>
        </is>
      </c>
      <c r="B9283" s="1" t="n">
        <v>45414</v>
      </c>
      <c r="C9283" s="1" t="n">
        <v>45710</v>
      </c>
      <c r="D9283" t="inlineStr">
        <is>
          <t>ÖSTERGÖTLANDS LÄN</t>
        </is>
      </c>
      <c r="E9283" t="inlineStr">
        <is>
          <t>NORRKÖPING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17226-2024</t>
        </is>
      </c>
      <c r="B9284" s="1" t="n">
        <v>45414</v>
      </c>
      <c r="C9284" s="1" t="n">
        <v>45710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17251-2024</t>
        </is>
      </c>
      <c r="B9285" s="1" t="n">
        <v>45414</v>
      </c>
      <c r="C9285" s="1" t="n">
        <v>45710</v>
      </c>
      <c r="D9285" t="inlineStr">
        <is>
          <t>ÖSTERGÖTLANDS LÄN</t>
        </is>
      </c>
      <c r="E9285" t="inlineStr">
        <is>
          <t>ÖDESHÖG</t>
        </is>
      </c>
      <c r="G9285" t="n">
        <v>3.6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17277-2024</t>
        </is>
      </c>
      <c r="B9286" s="1" t="n">
        <v>45414</v>
      </c>
      <c r="C9286" s="1" t="n">
        <v>45710</v>
      </c>
      <c r="D9286" t="inlineStr">
        <is>
          <t>ÖSTERGÖTLANDS LÄN</t>
        </is>
      </c>
      <c r="E9286" t="inlineStr">
        <is>
          <t>YDRE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17283-2024</t>
        </is>
      </c>
      <c r="B9287" s="1" t="n">
        <v>45414</v>
      </c>
      <c r="C9287" s="1" t="n">
        <v>45710</v>
      </c>
      <c r="D9287" t="inlineStr">
        <is>
          <t>ÖSTERGÖTLANDS LÄN</t>
        </is>
      </c>
      <c r="E9287" t="inlineStr">
        <is>
          <t>LINKÖPING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17301-2024</t>
        </is>
      </c>
      <c r="B9288" s="1" t="n">
        <v>45414</v>
      </c>
      <c r="C9288" s="1" t="n">
        <v>45710</v>
      </c>
      <c r="D9288" t="inlineStr">
        <is>
          <t>ÖSTERGÖTLANDS LÄN</t>
        </is>
      </c>
      <c r="E9288" t="inlineStr">
        <is>
          <t>YDRE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17291-2024</t>
        </is>
      </c>
      <c r="B9289" s="1" t="n">
        <v>45414</v>
      </c>
      <c r="C9289" s="1" t="n">
        <v>45710</v>
      </c>
      <c r="D9289" t="inlineStr">
        <is>
          <t>ÖSTERGÖTLANDS LÄN</t>
        </is>
      </c>
      <c r="E9289" t="inlineStr">
        <is>
          <t>YDRE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17295-2024</t>
        </is>
      </c>
      <c r="B9290" s="1" t="n">
        <v>45414</v>
      </c>
      <c r="C9290" s="1" t="n">
        <v>45710</v>
      </c>
      <c r="D9290" t="inlineStr">
        <is>
          <t>ÖSTERGÖTLANDS LÄN</t>
        </is>
      </c>
      <c r="E9290" t="inlineStr">
        <is>
          <t>YDRE</t>
        </is>
      </c>
      <c r="G9290" t="n">
        <v>1.9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17327-2024</t>
        </is>
      </c>
      <c r="B9291" s="1" t="n">
        <v>45414</v>
      </c>
      <c r="C9291" s="1" t="n">
        <v>45710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17309-2024</t>
        </is>
      </c>
      <c r="B9292" s="1" t="n">
        <v>45414</v>
      </c>
      <c r="C9292" s="1" t="n">
        <v>45710</v>
      </c>
      <c r="D9292" t="inlineStr">
        <is>
          <t>ÖSTERGÖTLANDS LÄN</t>
        </is>
      </c>
      <c r="E9292" t="inlineStr">
        <is>
          <t>YDRE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17332-2024</t>
        </is>
      </c>
      <c r="B9293" s="1" t="n">
        <v>45414</v>
      </c>
      <c r="C9293" s="1" t="n">
        <v>45710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17383-2024</t>
        </is>
      </c>
      <c r="B9294" s="1" t="n">
        <v>45414</v>
      </c>
      <c r="C9294" s="1" t="n">
        <v>45710</v>
      </c>
      <c r="D9294" t="inlineStr">
        <is>
          <t>ÖSTERGÖTLANDS LÄN</t>
        </is>
      </c>
      <c r="E9294" t="inlineStr">
        <is>
          <t>VALDEMARSVIK</t>
        </is>
      </c>
      <c r="G9294" t="n">
        <v>4.7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17431-2024</t>
        </is>
      </c>
      <c r="B9295" s="1" t="n">
        <v>45415</v>
      </c>
      <c r="C9295" s="1" t="n">
        <v>45710</v>
      </c>
      <c r="D9295" t="inlineStr">
        <is>
          <t>ÖSTERGÖTLANDS LÄN</t>
        </is>
      </c>
      <c r="E9295" t="inlineStr">
        <is>
          <t>ÅTVIDABERG</t>
        </is>
      </c>
      <c r="G9295" t="n">
        <v>5.1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17439-2024</t>
        </is>
      </c>
      <c r="B9296" s="1" t="n">
        <v>45415</v>
      </c>
      <c r="C9296" s="1" t="n">
        <v>45710</v>
      </c>
      <c r="D9296" t="inlineStr">
        <is>
          <t>ÖSTERGÖTLANDS LÄN</t>
        </is>
      </c>
      <c r="E9296" t="inlineStr">
        <is>
          <t>YDRE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17430-2024</t>
        </is>
      </c>
      <c r="B9297" s="1" t="n">
        <v>45415</v>
      </c>
      <c r="C9297" s="1" t="n">
        <v>45710</v>
      </c>
      <c r="D9297" t="inlineStr">
        <is>
          <t>ÖSTERGÖTLANDS LÄN</t>
        </is>
      </c>
      <c r="E9297" t="inlineStr">
        <is>
          <t>ÅTVIDABERG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17446-2024</t>
        </is>
      </c>
      <c r="B9298" s="1" t="n">
        <v>45415</v>
      </c>
      <c r="C9298" s="1" t="n">
        <v>45710</v>
      </c>
      <c r="D9298" t="inlineStr">
        <is>
          <t>ÖSTERGÖTLANDS LÄN</t>
        </is>
      </c>
      <c r="E9298" t="inlineStr">
        <is>
          <t>YDRE</t>
        </is>
      </c>
      <c r="G9298" t="n">
        <v>1.7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17526-2024</t>
        </is>
      </c>
      <c r="B9299" s="1" t="n">
        <v>45415</v>
      </c>
      <c r="C9299" s="1" t="n">
        <v>45710</v>
      </c>
      <c r="D9299" t="inlineStr">
        <is>
          <t>ÖSTERGÖTLANDS LÄN</t>
        </is>
      </c>
      <c r="E9299" t="inlineStr">
        <is>
          <t>YDRE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17578-2024</t>
        </is>
      </c>
      <c r="B9300" s="1" t="n">
        <v>45415</v>
      </c>
      <c r="C9300" s="1" t="n">
        <v>45710</v>
      </c>
      <c r="D9300" t="inlineStr">
        <is>
          <t>ÖSTERGÖTLANDS LÄN</t>
        </is>
      </c>
      <c r="E9300" t="inlineStr">
        <is>
          <t>FINSPÅNG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17428-2024</t>
        </is>
      </c>
      <c r="B9301" s="1" t="n">
        <v>45415</v>
      </c>
      <c r="C9301" s="1" t="n">
        <v>45710</v>
      </c>
      <c r="D9301" t="inlineStr">
        <is>
          <t>ÖSTERGÖTLANDS LÄN</t>
        </is>
      </c>
      <c r="E9301" t="inlineStr">
        <is>
          <t>ÅTVIDABERG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17480-2024</t>
        </is>
      </c>
      <c r="B9302" s="1" t="n">
        <v>45415</v>
      </c>
      <c r="C9302" s="1" t="n">
        <v>45710</v>
      </c>
      <c r="D9302" t="inlineStr">
        <is>
          <t>ÖSTERGÖTLANDS LÄN</t>
        </is>
      </c>
      <c r="E9302" t="inlineStr">
        <is>
          <t>YDRE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17520-2024</t>
        </is>
      </c>
      <c r="B9303" s="1" t="n">
        <v>45415</v>
      </c>
      <c r="C9303" s="1" t="n">
        <v>45710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17618-2024</t>
        </is>
      </c>
      <c r="B9304" s="1" t="n">
        <v>45416</v>
      </c>
      <c r="C9304" s="1" t="n">
        <v>45710</v>
      </c>
      <c r="D9304" t="inlineStr">
        <is>
          <t>ÖSTERGÖTLANDS LÄN</t>
        </is>
      </c>
      <c r="E9304" t="inlineStr">
        <is>
          <t>ÖDESHÖG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17609-2024</t>
        </is>
      </c>
      <c r="B9305" s="1" t="n">
        <v>45416</v>
      </c>
      <c r="C9305" s="1" t="n">
        <v>45710</v>
      </c>
      <c r="D9305" t="inlineStr">
        <is>
          <t>ÖSTERGÖTLANDS LÄN</t>
        </is>
      </c>
      <c r="E9305" t="inlineStr">
        <is>
          <t>MJÖLBY</t>
        </is>
      </c>
      <c r="G9305" t="n">
        <v>3.6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17622-2024</t>
        </is>
      </c>
      <c r="B9306" s="1" t="n">
        <v>45417</v>
      </c>
      <c r="C9306" s="1" t="n">
        <v>45710</v>
      </c>
      <c r="D9306" t="inlineStr">
        <is>
          <t>ÖSTERGÖTLANDS LÄN</t>
        </is>
      </c>
      <c r="E9306" t="inlineStr">
        <is>
          <t>MJÖLBY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17621-2024</t>
        </is>
      </c>
      <c r="B9307" s="1" t="n">
        <v>45417</v>
      </c>
      <c r="C9307" s="1" t="n">
        <v>45710</v>
      </c>
      <c r="D9307" t="inlineStr">
        <is>
          <t>ÖSTERGÖTLANDS LÄN</t>
        </is>
      </c>
      <c r="E9307" t="inlineStr">
        <is>
          <t>MJÖLBY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17689-2024</t>
        </is>
      </c>
      <c r="B9308" s="1" t="n">
        <v>45418</v>
      </c>
      <c r="C9308" s="1" t="n">
        <v>45710</v>
      </c>
      <c r="D9308" t="inlineStr">
        <is>
          <t>ÖSTERGÖTLANDS LÄN</t>
        </is>
      </c>
      <c r="E9308" t="inlineStr">
        <is>
          <t>NORRKÖPING</t>
        </is>
      </c>
      <c r="F9308" t="inlineStr">
        <is>
          <t>Holmen skog AB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17696-2024</t>
        </is>
      </c>
      <c r="B9309" s="1" t="n">
        <v>45418</v>
      </c>
      <c r="C9309" s="1" t="n">
        <v>45710</v>
      </c>
      <c r="D9309" t="inlineStr">
        <is>
          <t>ÖSTERGÖTLANDS LÄN</t>
        </is>
      </c>
      <c r="E9309" t="inlineStr">
        <is>
          <t>NORRKÖPING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17713-2024</t>
        </is>
      </c>
      <c r="B9310" s="1" t="n">
        <v>45418</v>
      </c>
      <c r="C9310" s="1" t="n">
        <v>45710</v>
      </c>
      <c r="D9310" t="inlineStr">
        <is>
          <t>ÖSTERGÖTLANDS LÄN</t>
        </is>
      </c>
      <c r="E9310" t="inlineStr">
        <is>
          <t>NORRKÖPING</t>
        </is>
      </c>
      <c r="G9310" t="n">
        <v>8.9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17849-2024</t>
        </is>
      </c>
      <c r="B9311" s="1" t="n">
        <v>45419</v>
      </c>
      <c r="C9311" s="1" t="n">
        <v>45710</v>
      </c>
      <c r="D9311" t="inlineStr">
        <is>
          <t>ÖSTERGÖTLANDS LÄN</t>
        </is>
      </c>
      <c r="E9311" t="inlineStr">
        <is>
          <t>YDRE</t>
        </is>
      </c>
      <c r="G9311" t="n">
        <v>2.4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17968-2024</t>
        </is>
      </c>
      <c r="B9312" s="1" t="n">
        <v>45419</v>
      </c>
      <c r="C9312" s="1" t="n">
        <v>45710</v>
      </c>
      <c r="D9312" t="inlineStr">
        <is>
          <t>ÖSTERGÖTLANDS LÄN</t>
        </is>
      </c>
      <c r="E9312" t="inlineStr">
        <is>
          <t>YDRE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17984-2024</t>
        </is>
      </c>
      <c r="B9313" s="1" t="n">
        <v>45419</v>
      </c>
      <c r="C9313" s="1" t="n">
        <v>45710</v>
      </c>
      <c r="D9313" t="inlineStr">
        <is>
          <t>ÖSTERGÖTLANDS LÄN</t>
        </is>
      </c>
      <c r="E9313" t="inlineStr">
        <is>
          <t>ÖDESHÖG</t>
        </is>
      </c>
      <c r="G9313" t="n">
        <v>1.4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17992-2024</t>
        </is>
      </c>
      <c r="B9314" s="1" t="n">
        <v>45419</v>
      </c>
      <c r="C9314" s="1" t="n">
        <v>45710</v>
      </c>
      <c r="D9314" t="inlineStr">
        <is>
          <t>ÖSTERGÖTLANDS LÄN</t>
        </is>
      </c>
      <c r="E9314" t="inlineStr">
        <is>
          <t>ÖDESHÖG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18154-2024</t>
        </is>
      </c>
      <c r="B9315" s="1" t="n">
        <v>45420</v>
      </c>
      <c r="C9315" s="1" t="n">
        <v>45710</v>
      </c>
      <c r="D9315" t="inlineStr">
        <is>
          <t>ÖSTERGÖTLANDS LÄN</t>
        </is>
      </c>
      <c r="E9315" t="inlineStr">
        <is>
          <t>MJÖLBY</t>
        </is>
      </c>
      <c r="G9315" t="n">
        <v>4.4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18173-2024</t>
        </is>
      </c>
      <c r="B9316" s="1" t="n">
        <v>45420</v>
      </c>
      <c r="C9316" s="1" t="n">
        <v>45710</v>
      </c>
      <c r="D9316" t="inlineStr">
        <is>
          <t>ÖSTERGÖTLANDS LÄN</t>
        </is>
      </c>
      <c r="E9316" t="inlineStr">
        <is>
          <t>FINSPÅNG</t>
        </is>
      </c>
      <c r="G9316" t="n">
        <v>3.8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18127-2024</t>
        </is>
      </c>
      <c r="B9317" s="1" t="n">
        <v>45420</v>
      </c>
      <c r="C9317" s="1" t="n">
        <v>45710</v>
      </c>
      <c r="D9317" t="inlineStr">
        <is>
          <t>ÖSTERGÖTLANDS LÄN</t>
        </is>
      </c>
      <c r="E9317" t="inlineStr">
        <is>
          <t>ÖDESHÖG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18171-2024</t>
        </is>
      </c>
      <c r="B9318" s="1" t="n">
        <v>45420</v>
      </c>
      <c r="C9318" s="1" t="n">
        <v>45710</v>
      </c>
      <c r="D9318" t="inlineStr">
        <is>
          <t>ÖSTERGÖTLANDS LÄN</t>
        </is>
      </c>
      <c r="E9318" t="inlineStr">
        <is>
          <t>FINSPÅNG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18261-2024</t>
        </is>
      </c>
      <c r="B9319" s="1" t="n">
        <v>45421</v>
      </c>
      <c r="C9319" s="1" t="n">
        <v>45710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18265-2024</t>
        </is>
      </c>
      <c r="B9320" s="1" t="n">
        <v>45421</v>
      </c>
      <c r="C9320" s="1" t="n">
        <v>45710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7.9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18254-2024</t>
        </is>
      </c>
      <c r="B9321" s="1" t="n">
        <v>45421</v>
      </c>
      <c r="C9321" s="1" t="n">
        <v>45710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18258-2024</t>
        </is>
      </c>
      <c r="B9322" s="1" t="n">
        <v>45421</v>
      </c>
      <c r="C9322" s="1" t="n">
        <v>45710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18262-2024</t>
        </is>
      </c>
      <c r="B9323" s="1" t="n">
        <v>45421</v>
      </c>
      <c r="C9323" s="1" t="n">
        <v>45710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3.4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18264-2024</t>
        </is>
      </c>
      <c r="B9324" s="1" t="n">
        <v>45421</v>
      </c>
      <c r="C9324" s="1" t="n">
        <v>45710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18263-2024</t>
        </is>
      </c>
      <c r="B9325" s="1" t="n">
        <v>45421</v>
      </c>
      <c r="C9325" s="1" t="n">
        <v>45710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18353-2024</t>
        </is>
      </c>
      <c r="B9326" s="1" t="n">
        <v>45422</v>
      </c>
      <c r="C9326" s="1" t="n">
        <v>45710</v>
      </c>
      <c r="D9326" t="inlineStr">
        <is>
          <t>ÖSTERGÖTLANDS LÄN</t>
        </is>
      </c>
      <c r="E9326" t="inlineStr">
        <is>
          <t>BOXHOLM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18324-2024</t>
        </is>
      </c>
      <c r="B9327" s="1" t="n">
        <v>45422</v>
      </c>
      <c r="C9327" s="1" t="n">
        <v>45710</v>
      </c>
      <c r="D9327" t="inlineStr">
        <is>
          <t>ÖSTERGÖTLANDS LÄN</t>
        </is>
      </c>
      <c r="E9327" t="inlineStr">
        <is>
          <t>YDRE</t>
        </is>
      </c>
      <c r="F9327" t="inlineStr">
        <is>
          <t>Sveaskog</t>
        </is>
      </c>
      <c r="G9327" t="n">
        <v>8.9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18356-2024</t>
        </is>
      </c>
      <c r="B9328" s="1" t="n">
        <v>45422</v>
      </c>
      <c r="C9328" s="1" t="n">
        <v>45710</v>
      </c>
      <c r="D9328" t="inlineStr">
        <is>
          <t>ÖSTERGÖTLANDS LÄN</t>
        </is>
      </c>
      <c r="E9328" t="inlineStr">
        <is>
          <t>FINSPÅNG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18292-2024</t>
        </is>
      </c>
      <c r="B9329" s="1" t="n">
        <v>45422</v>
      </c>
      <c r="C9329" s="1" t="n">
        <v>45710</v>
      </c>
      <c r="D9329" t="inlineStr">
        <is>
          <t>ÖSTERGÖTLANDS LÄN</t>
        </is>
      </c>
      <c r="E9329" t="inlineStr">
        <is>
          <t>BOXHOLM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18288-2024</t>
        </is>
      </c>
      <c r="B9330" s="1" t="n">
        <v>45423</v>
      </c>
      <c r="C9330" s="1" t="n">
        <v>45710</v>
      </c>
      <c r="D9330" t="inlineStr">
        <is>
          <t>ÖSTERGÖTLANDS LÄN</t>
        </is>
      </c>
      <c r="E9330" t="inlineStr">
        <is>
          <t>FINSPÅNG</t>
        </is>
      </c>
      <c r="G9330" t="n">
        <v>8.800000000000001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18533-2024</t>
        </is>
      </c>
      <c r="B9331" s="1" t="n">
        <v>45425</v>
      </c>
      <c r="C9331" s="1" t="n">
        <v>45710</v>
      </c>
      <c r="D9331" t="inlineStr">
        <is>
          <t>ÖSTERGÖTLANDS LÄN</t>
        </is>
      </c>
      <c r="E9331" t="inlineStr">
        <is>
          <t>KINDA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18586-2024</t>
        </is>
      </c>
      <c r="B9332" s="1" t="n">
        <v>45425</v>
      </c>
      <c r="C9332" s="1" t="n">
        <v>45710</v>
      </c>
      <c r="D9332" t="inlineStr">
        <is>
          <t>ÖSTERGÖTLANDS LÄN</t>
        </is>
      </c>
      <c r="E9332" t="inlineStr">
        <is>
          <t>SÖDERKÖPING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18590-2024</t>
        </is>
      </c>
      <c r="B9333" s="1" t="n">
        <v>45425</v>
      </c>
      <c r="C9333" s="1" t="n">
        <v>45710</v>
      </c>
      <c r="D9333" t="inlineStr">
        <is>
          <t>ÖSTERGÖTLANDS LÄN</t>
        </is>
      </c>
      <c r="E9333" t="inlineStr">
        <is>
          <t>NORRKÖPING</t>
        </is>
      </c>
      <c r="G9333" t="n">
        <v>6.6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18498-2024</t>
        </is>
      </c>
      <c r="B9334" s="1" t="n">
        <v>45425</v>
      </c>
      <c r="C9334" s="1" t="n">
        <v>45710</v>
      </c>
      <c r="D9334" t="inlineStr">
        <is>
          <t>ÖSTERGÖTLANDS LÄN</t>
        </is>
      </c>
      <c r="E9334" t="inlineStr">
        <is>
          <t>MJÖLBY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18531-2024</t>
        </is>
      </c>
      <c r="B9335" s="1" t="n">
        <v>45425</v>
      </c>
      <c r="C9335" s="1" t="n">
        <v>45710</v>
      </c>
      <c r="D9335" t="inlineStr">
        <is>
          <t>ÖSTERGÖTLANDS LÄN</t>
        </is>
      </c>
      <c r="E9335" t="inlineStr">
        <is>
          <t>KINDA</t>
        </is>
      </c>
      <c r="G9335" t="n">
        <v>2.8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18535-2024</t>
        </is>
      </c>
      <c r="B9336" s="1" t="n">
        <v>45425</v>
      </c>
      <c r="C9336" s="1" t="n">
        <v>45710</v>
      </c>
      <c r="D9336" t="inlineStr">
        <is>
          <t>ÖSTERGÖTLANDS LÄN</t>
        </is>
      </c>
      <c r="E9336" t="inlineStr">
        <is>
          <t>KINDA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18592-2024</t>
        </is>
      </c>
      <c r="B9337" s="1" t="n">
        <v>45425</v>
      </c>
      <c r="C9337" s="1" t="n">
        <v>45710</v>
      </c>
      <c r="D9337" t="inlineStr">
        <is>
          <t>ÖSTERGÖTLANDS LÄN</t>
        </is>
      </c>
      <c r="E9337" t="inlineStr">
        <is>
          <t>NORRKÖPING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18597-2024</t>
        </is>
      </c>
      <c r="B9338" s="1" t="n">
        <v>45425</v>
      </c>
      <c r="C9338" s="1" t="n">
        <v>45710</v>
      </c>
      <c r="D9338" t="inlineStr">
        <is>
          <t>ÖSTERGÖTLANDS LÄN</t>
        </is>
      </c>
      <c r="E9338" t="inlineStr">
        <is>
          <t>NORRKÖPING</t>
        </is>
      </c>
      <c r="G9338" t="n">
        <v>3.7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18526-2024</t>
        </is>
      </c>
      <c r="B9339" s="1" t="n">
        <v>45425</v>
      </c>
      <c r="C9339" s="1" t="n">
        <v>45710</v>
      </c>
      <c r="D9339" t="inlineStr">
        <is>
          <t>ÖSTERGÖTLANDS LÄN</t>
        </is>
      </c>
      <c r="E9339" t="inlineStr">
        <is>
          <t>KINDA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18534-2024</t>
        </is>
      </c>
      <c r="B9340" s="1" t="n">
        <v>45425</v>
      </c>
      <c r="C9340" s="1" t="n">
        <v>45710</v>
      </c>
      <c r="D9340" t="inlineStr">
        <is>
          <t>ÖSTERGÖTLANDS LÄN</t>
        </is>
      </c>
      <c r="E9340" t="inlineStr">
        <is>
          <t>KINDA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18583-2024</t>
        </is>
      </c>
      <c r="B9341" s="1" t="n">
        <v>45425</v>
      </c>
      <c r="C9341" s="1" t="n">
        <v>45710</v>
      </c>
      <c r="D9341" t="inlineStr">
        <is>
          <t>ÖSTERGÖTLANDS LÄN</t>
        </is>
      </c>
      <c r="E9341" t="inlineStr">
        <is>
          <t>VALDEMARSVIK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18591-2024</t>
        </is>
      </c>
      <c r="B9342" s="1" t="n">
        <v>45425</v>
      </c>
      <c r="C9342" s="1" t="n">
        <v>45710</v>
      </c>
      <c r="D9342" t="inlineStr">
        <is>
          <t>ÖSTERGÖTLANDS LÄN</t>
        </is>
      </c>
      <c r="E9342" t="inlineStr">
        <is>
          <t>NORRKÖPING</t>
        </is>
      </c>
      <c r="G9342" t="n">
        <v>7.2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18458-2024</t>
        </is>
      </c>
      <c r="B9343" s="1" t="n">
        <v>45425</v>
      </c>
      <c r="C9343" s="1" t="n">
        <v>45710</v>
      </c>
      <c r="D9343" t="inlineStr">
        <is>
          <t>ÖSTERGÖTLANDS LÄN</t>
        </is>
      </c>
      <c r="E9343" t="inlineStr">
        <is>
          <t>MOTALA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18523-2024</t>
        </is>
      </c>
      <c r="B9344" s="1" t="n">
        <v>45425</v>
      </c>
      <c r="C9344" s="1" t="n">
        <v>45710</v>
      </c>
      <c r="D9344" t="inlineStr">
        <is>
          <t>ÖSTERGÖTLANDS LÄN</t>
        </is>
      </c>
      <c r="E9344" t="inlineStr">
        <is>
          <t>KINDA</t>
        </is>
      </c>
      <c r="G9344" t="n">
        <v>3.3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18532-2024</t>
        </is>
      </c>
      <c r="B9345" s="1" t="n">
        <v>45425</v>
      </c>
      <c r="C9345" s="1" t="n">
        <v>45710</v>
      </c>
      <c r="D9345" t="inlineStr">
        <is>
          <t>ÖSTERGÖTLANDS LÄN</t>
        </is>
      </c>
      <c r="E9345" t="inlineStr">
        <is>
          <t>KINDA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18536-2024</t>
        </is>
      </c>
      <c r="B9346" s="1" t="n">
        <v>45425</v>
      </c>
      <c r="C9346" s="1" t="n">
        <v>45710</v>
      </c>
      <c r="D9346" t="inlineStr">
        <is>
          <t>ÖSTERGÖTLANDS LÄN</t>
        </is>
      </c>
      <c r="E9346" t="inlineStr">
        <is>
          <t>KINDA</t>
        </is>
      </c>
      <c r="G9346" t="n">
        <v>4.5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18585-2024</t>
        </is>
      </c>
      <c r="B9347" s="1" t="n">
        <v>45425</v>
      </c>
      <c r="C9347" s="1" t="n">
        <v>45710</v>
      </c>
      <c r="D9347" t="inlineStr">
        <is>
          <t>ÖSTERGÖTLANDS LÄN</t>
        </is>
      </c>
      <c r="E9347" t="inlineStr">
        <is>
          <t>FINSPÅNG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18598-2024</t>
        </is>
      </c>
      <c r="B9348" s="1" t="n">
        <v>45426</v>
      </c>
      <c r="C9348" s="1" t="n">
        <v>45710</v>
      </c>
      <c r="D9348" t="inlineStr">
        <is>
          <t>ÖSTERGÖTLANDS LÄN</t>
        </is>
      </c>
      <c r="E9348" t="inlineStr">
        <is>
          <t>NORRKÖPING</t>
        </is>
      </c>
      <c r="G9348" t="n">
        <v>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18660-2024</t>
        </is>
      </c>
      <c r="B9349" s="1" t="n">
        <v>45426</v>
      </c>
      <c r="C9349" s="1" t="n">
        <v>45710</v>
      </c>
      <c r="D9349" t="inlineStr">
        <is>
          <t>ÖSTERGÖTLANDS LÄN</t>
        </is>
      </c>
      <c r="E9349" t="inlineStr">
        <is>
          <t>FINSPÅNG</t>
        </is>
      </c>
      <c r="G9349" t="n">
        <v>4.9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18658-2024</t>
        </is>
      </c>
      <c r="B9350" s="1" t="n">
        <v>45426</v>
      </c>
      <c r="C9350" s="1" t="n">
        <v>45710</v>
      </c>
      <c r="D9350" t="inlineStr">
        <is>
          <t>ÖSTERGÖTLANDS LÄN</t>
        </is>
      </c>
      <c r="E9350" t="inlineStr">
        <is>
          <t>FINSPÅNG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18659-2024</t>
        </is>
      </c>
      <c r="B9351" s="1" t="n">
        <v>45426</v>
      </c>
      <c r="C9351" s="1" t="n">
        <v>45710</v>
      </c>
      <c r="D9351" t="inlineStr">
        <is>
          <t>ÖSTERGÖTLANDS LÄN</t>
        </is>
      </c>
      <c r="E9351" t="inlineStr">
        <is>
          <t>FINSPÅNG</t>
        </is>
      </c>
      <c r="G9351" t="n">
        <v>2.2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18794-2024</t>
        </is>
      </c>
      <c r="B9352" s="1" t="n">
        <v>45426</v>
      </c>
      <c r="C9352" s="1" t="n">
        <v>45710</v>
      </c>
      <c r="D9352" t="inlineStr">
        <is>
          <t>ÖSTERGÖTLANDS LÄN</t>
        </is>
      </c>
      <c r="E9352" t="inlineStr">
        <is>
          <t>SÖDERKÖPING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18657-2024</t>
        </is>
      </c>
      <c r="B9353" s="1" t="n">
        <v>45426</v>
      </c>
      <c r="C9353" s="1" t="n">
        <v>45710</v>
      </c>
      <c r="D9353" t="inlineStr">
        <is>
          <t>ÖSTERGÖTLANDS LÄN</t>
        </is>
      </c>
      <c r="E9353" t="inlineStr">
        <is>
          <t>FINSPÅNG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18858-2024</t>
        </is>
      </c>
      <c r="B9354" s="1" t="n">
        <v>45426</v>
      </c>
      <c r="C9354" s="1" t="n">
        <v>45710</v>
      </c>
      <c r="D9354" t="inlineStr">
        <is>
          <t>ÖSTERGÖTLANDS LÄN</t>
        </is>
      </c>
      <c r="E9354" t="inlineStr">
        <is>
          <t>ÅTVIDABERG</t>
        </is>
      </c>
      <c r="G9354" t="n">
        <v>4.2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18823-2024</t>
        </is>
      </c>
      <c r="B9355" s="1" t="n">
        <v>45426</v>
      </c>
      <c r="C9355" s="1" t="n">
        <v>45710</v>
      </c>
      <c r="D9355" t="inlineStr">
        <is>
          <t>ÖSTERGÖTLANDS LÄN</t>
        </is>
      </c>
      <c r="E9355" t="inlineStr">
        <is>
          <t>FINSPÅNG</t>
        </is>
      </c>
      <c r="G9355" t="n">
        <v>4.8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18656-2024</t>
        </is>
      </c>
      <c r="B9356" s="1" t="n">
        <v>45426</v>
      </c>
      <c r="C9356" s="1" t="n">
        <v>45710</v>
      </c>
      <c r="D9356" t="inlineStr">
        <is>
          <t>ÖSTERGÖTLANDS LÄN</t>
        </is>
      </c>
      <c r="E9356" t="inlineStr">
        <is>
          <t>FINSPÅNG</t>
        </is>
      </c>
      <c r="G9356" t="n">
        <v>1.7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19059-2024</t>
        </is>
      </c>
      <c r="B9357" s="1" t="n">
        <v>45427</v>
      </c>
      <c r="C9357" s="1" t="n">
        <v>45710</v>
      </c>
      <c r="D9357" t="inlineStr">
        <is>
          <t>ÖSTERGÖTLANDS LÄN</t>
        </is>
      </c>
      <c r="E9357" t="inlineStr">
        <is>
          <t>MOTALA</t>
        </is>
      </c>
      <c r="G9357" t="n">
        <v>8.300000000000001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18921-2024</t>
        </is>
      </c>
      <c r="B9358" s="1" t="n">
        <v>45427</v>
      </c>
      <c r="C9358" s="1" t="n">
        <v>45710</v>
      </c>
      <c r="D9358" t="inlineStr">
        <is>
          <t>ÖSTERGÖTLANDS LÄN</t>
        </is>
      </c>
      <c r="E9358" t="inlineStr">
        <is>
          <t>MOTALA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18950-2024</t>
        </is>
      </c>
      <c r="B9359" s="1" t="n">
        <v>45427</v>
      </c>
      <c r="C9359" s="1" t="n">
        <v>45710</v>
      </c>
      <c r="D9359" t="inlineStr">
        <is>
          <t>ÖSTERGÖTLANDS LÄN</t>
        </is>
      </c>
      <c r="E9359" t="inlineStr">
        <is>
          <t>KINDA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18947-2024</t>
        </is>
      </c>
      <c r="B9360" s="1" t="n">
        <v>45427</v>
      </c>
      <c r="C9360" s="1" t="n">
        <v>45710</v>
      </c>
      <c r="D9360" t="inlineStr">
        <is>
          <t>ÖSTERGÖTLANDS LÄN</t>
        </is>
      </c>
      <c r="E9360" t="inlineStr">
        <is>
          <t>MJÖLBY</t>
        </is>
      </c>
      <c r="G9360" t="n">
        <v>3.7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18924-2024</t>
        </is>
      </c>
      <c r="B9361" s="1" t="n">
        <v>45427</v>
      </c>
      <c r="C9361" s="1" t="n">
        <v>45710</v>
      </c>
      <c r="D9361" t="inlineStr">
        <is>
          <t>ÖSTERGÖTLANDS LÄN</t>
        </is>
      </c>
      <c r="E9361" t="inlineStr">
        <is>
          <t>MOTALA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18916-2024</t>
        </is>
      </c>
      <c r="B9362" s="1" t="n">
        <v>45427</v>
      </c>
      <c r="C9362" s="1" t="n">
        <v>45710</v>
      </c>
      <c r="D9362" t="inlineStr">
        <is>
          <t>ÖSTERGÖTLANDS LÄN</t>
        </is>
      </c>
      <c r="E9362" t="inlineStr">
        <is>
          <t>LINKÖPING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19160-2024</t>
        </is>
      </c>
      <c r="B9363" s="1" t="n">
        <v>45428</v>
      </c>
      <c r="C9363" s="1" t="n">
        <v>45710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19184-2024</t>
        </is>
      </c>
      <c r="B9364" s="1" t="n">
        <v>45428</v>
      </c>
      <c r="C9364" s="1" t="n">
        <v>45710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9.5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19232-2024</t>
        </is>
      </c>
      <c r="B9365" s="1" t="n">
        <v>45428</v>
      </c>
      <c r="C9365" s="1" t="n">
        <v>45710</v>
      </c>
      <c r="D9365" t="inlineStr">
        <is>
          <t>ÖSTERGÖTLANDS LÄN</t>
        </is>
      </c>
      <c r="E9365" t="inlineStr">
        <is>
          <t>MOTALA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19262-2024</t>
        </is>
      </c>
      <c r="B9366" s="1" t="n">
        <v>45428</v>
      </c>
      <c r="C9366" s="1" t="n">
        <v>45710</v>
      </c>
      <c r="D9366" t="inlineStr">
        <is>
          <t>ÖSTERGÖTLANDS LÄN</t>
        </is>
      </c>
      <c r="E9366" t="inlineStr">
        <is>
          <t>YDRE</t>
        </is>
      </c>
      <c r="G9366" t="n">
        <v>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19170-2024</t>
        </is>
      </c>
      <c r="B9367" s="1" t="n">
        <v>45428</v>
      </c>
      <c r="C9367" s="1" t="n">
        <v>45710</v>
      </c>
      <c r="D9367" t="inlineStr">
        <is>
          <t>ÖSTERGÖTLANDS LÄN</t>
        </is>
      </c>
      <c r="E9367" t="inlineStr">
        <is>
          <t>FINSPÅNG</t>
        </is>
      </c>
      <c r="F9367" t="inlineStr">
        <is>
          <t>Holmen skog AB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19191-2024</t>
        </is>
      </c>
      <c r="B9368" s="1" t="n">
        <v>45428</v>
      </c>
      <c r="C9368" s="1" t="n">
        <v>45710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19261-2024</t>
        </is>
      </c>
      <c r="B9369" s="1" t="n">
        <v>45428</v>
      </c>
      <c r="C9369" s="1" t="n">
        <v>45710</v>
      </c>
      <c r="D9369" t="inlineStr">
        <is>
          <t>ÖSTERGÖTLANDS LÄN</t>
        </is>
      </c>
      <c r="E9369" t="inlineStr">
        <is>
          <t>YDRE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19281-2024</t>
        </is>
      </c>
      <c r="B9370" s="1" t="n">
        <v>45428</v>
      </c>
      <c r="C9370" s="1" t="n">
        <v>45710</v>
      </c>
      <c r="D9370" t="inlineStr">
        <is>
          <t>ÖSTERGÖTLANDS LÄN</t>
        </is>
      </c>
      <c r="E9370" t="inlineStr">
        <is>
          <t>ÖDESHÖG</t>
        </is>
      </c>
      <c r="G9370" t="n">
        <v>6.1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19285-2024</t>
        </is>
      </c>
      <c r="B9371" s="1" t="n">
        <v>45428</v>
      </c>
      <c r="C9371" s="1" t="n">
        <v>45710</v>
      </c>
      <c r="D9371" t="inlineStr">
        <is>
          <t>ÖSTERGÖTLANDS LÄN</t>
        </is>
      </c>
      <c r="E9371" t="inlineStr">
        <is>
          <t>ÖDESHÖG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19137-2024</t>
        </is>
      </c>
      <c r="B9372" s="1" t="n">
        <v>45428</v>
      </c>
      <c r="C9372" s="1" t="n">
        <v>45710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19194-2024</t>
        </is>
      </c>
      <c r="B9373" s="1" t="n">
        <v>45428</v>
      </c>
      <c r="C9373" s="1" t="n">
        <v>45710</v>
      </c>
      <c r="D9373" t="inlineStr">
        <is>
          <t>ÖSTERGÖTLANDS LÄN</t>
        </is>
      </c>
      <c r="E9373" t="inlineStr">
        <is>
          <t>FINSPÅNG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19263-2024</t>
        </is>
      </c>
      <c r="B9374" s="1" t="n">
        <v>45428</v>
      </c>
      <c r="C9374" s="1" t="n">
        <v>45710</v>
      </c>
      <c r="D9374" t="inlineStr">
        <is>
          <t>ÖSTERGÖTLANDS LÄN</t>
        </is>
      </c>
      <c r="E9374" t="inlineStr">
        <is>
          <t>FINSPÅNG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19279-2024</t>
        </is>
      </c>
      <c r="B9375" s="1" t="n">
        <v>45428</v>
      </c>
      <c r="C9375" s="1" t="n">
        <v>45710</v>
      </c>
      <c r="D9375" t="inlineStr">
        <is>
          <t>ÖSTERGÖTLANDS LÄN</t>
        </is>
      </c>
      <c r="E9375" t="inlineStr">
        <is>
          <t>ÖDESHÖG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19283-2024</t>
        </is>
      </c>
      <c r="B9376" s="1" t="n">
        <v>45428</v>
      </c>
      <c r="C9376" s="1" t="n">
        <v>45710</v>
      </c>
      <c r="D9376" t="inlineStr">
        <is>
          <t>ÖSTERGÖTLANDS LÄN</t>
        </is>
      </c>
      <c r="E9376" t="inlineStr">
        <is>
          <t>ÖDESHÖG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19287-2024</t>
        </is>
      </c>
      <c r="B9377" s="1" t="n">
        <v>45428</v>
      </c>
      <c r="C9377" s="1" t="n">
        <v>45710</v>
      </c>
      <c r="D9377" t="inlineStr">
        <is>
          <t>ÖSTERGÖTLANDS LÄN</t>
        </is>
      </c>
      <c r="E9377" t="inlineStr">
        <is>
          <t>FINSPÅNG</t>
        </is>
      </c>
      <c r="G9377" t="n">
        <v>9.5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19195-2024</t>
        </is>
      </c>
      <c r="B9378" s="1" t="n">
        <v>45428</v>
      </c>
      <c r="C9378" s="1" t="n">
        <v>45710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19234-2024</t>
        </is>
      </c>
      <c r="B9379" s="1" t="n">
        <v>45428</v>
      </c>
      <c r="C9379" s="1" t="n">
        <v>45710</v>
      </c>
      <c r="D9379" t="inlineStr">
        <is>
          <t>ÖSTERGÖTLANDS LÄN</t>
        </is>
      </c>
      <c r="E9379" t="inlineStr">
        <is>
          <t>MOTALA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19284-2024</t>
        </is>
      </c>
      <c r="B9380" s="1" t="n">
        <v>45428</v>
      </c>
      <c r="C9380" s="1" t="n">
        <v>45710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19464-2024</t>
        </is>
      </c>
      <c r="B9381" s="1" t="n">
        <v>45429</v>
      </c>
      <c r="C9381" s="1" t="n">
        <v>45710</v>
      </c>
      <c r="D9381" t="inlineStr">
        <is>
          <t>ÖSTERGÖTLANDS LÄN</t>
        </is>
      </c>
      <c r="E9381" t="inlineStr">
        <is>
          <t>LINKÖPING</t>
        </is>
      </c>
      <c r="G9381" t="n">
        <v>2.7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19430-2024</t>
        </is>
      </c>
      <c r="B9382" s="1" t="n">
        <v>45429</v>
      </c>
      <c r="C9382" s="1" t="n">
        <v>45710</v>
      </c>
      <c r="D9382" t="inlineStr">
        <is>
          <t>ÖSTERGÖTLANDS LÄN</t>
        </is>
      </c>
      <c r="E9382" t="inlineStr">
        <is>
          <t>MJÖLBY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19532-2024</t>
        </is>
      </c>
      <c r="B9383" s="1" t="n">
        <v>45429</v>
      </c>
      <c r="C9383" s="1" t="n">
        <v>45710</v>
      </c>
      <c r="D9383" t="inlineStr">
        <is>
          <t>ÖSTERGÖTLANDS LÄN</t>
        </is>
      </c>
      <c r="E9383" t="inlineStr">
        <is>
          <t>MOTALA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19561-2024</t>
        </is>
      </c>
      <c r="B9384" s="1" t="n">
        <v>45429</v>
      </c>
      <c r="C9384" s="1" t="n">
        <v>45710</v>
      </c>
      <c r="D9384" t="inlineStr">
        <is>
          <t>ÖSTERGÖTLANDS LÄN</t>
        </is>
      </c>
      <c r="E9384" t="inlineStr">
        <is>
          <t>BOXHOLM</t>
        </is>
      </c>
      <c r="G9384" t="n">
        <v>5.5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19560-2024</t>
        </is>
      </c>
      <c r="B9385" s="1" t="n">
        <v>45429</v>
      </c>
      <c r="C9385" s="1" t="n">
        <v>45710</v>
      </c>
      <c r="D9385" t="inlineStr">
        <is>
          <t>ÖSTERGÖTLANDS LÄN</t>
        </is>
      </c>
      <c r="E9385" t="inlineStr">
        <is>
          <t>BOXHOLM</t>
        </is>
      </c>
      <c r="G9385" t="n">
        <v>3.8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19526-2024</t>
        </is>
      </c>
      <c r="B9386" s="1" t="n">
        <v>45429</v>
      </c>
      <c r="C9386" s="1" t="n">
        <v>45710</v>
      </c>
      <c r="D9386" t="inlineStr">
        <is>
          <t>ÖSTERGÖTLANDS LÄN</t>
        </is>
      </c>
      <c r="E9386" t="inlineStr">
        <is>
          <t>MOTALA</t>
        </is>
      </c>
      <c r="G9386" t="n">
        <v>6.5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19530-2024</t>
        </is>
      </c>
      <c r="B9387" s="1" t="n">
        <v>45429</v>
      </c>
      <c r="C9387" s="1" t="n">
        <v>45710</v>
      </c>
      <c r="D9387" t="inlineStr">
        <is>
          <t>ÖSTERGÖTLANDS LÄN</t>
        </is>
      </c>
      <c r="E9387" t="inlineStr">
        <is>
          <t>MOTALA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19605-2024</t>
        </is>
      </c>
      <c r="B9388" s="1" t="n">
        <v>45431</v>
      </c>
      <c r="C9388" s="1" t="n">
        <v>45710</v>
      </c>
      <c r="D9388" t="inlineStr">
        <is>
          <t>ÖSTERGÖTLANDS LÄN</t>
        </is>
      </c>
      <c r="E9388" t="inlineStr">
        <is>
          <t>FINSPÅNG</t>
        </is>
      </c>
      <c r="G9388" t="n">
        <v>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19702-2024</t>
        </is>
      </c>
      <c r="B9389" s="1" t="n">
        <v>45432</v>
      </c>
      <c r="C9389" s="1" t="n">
        <v>45710</v>
      </c>
      <c r="D9389" t="inlineStr">
        <is>
          <t>ÖSTERGÖTLANDS LÄN</t>
        </is>
      </c>
      <c r="E9389" t="inlineStr">
        <is>
          <t>NORRKÖPING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19726-2024</t>
        </is>
      </c>
      <c r="B9390" s="1" t="n">
        <v>45432</v>
      </c>
      <c r="C9390" s="1" t="n">
        <v>45710</v>
      </c>
      <c r="D9390" t="inlineStr">
        <is>
          <t>ÖSTERGÖTLANDS LÄN</t>
        </is>
      </c>
      <c r="E9390" t="inlineStr">
        <is>
          <t>LINKÖPING</t>
        </is>
      </c>
      <c r="F9390" t="inlineStr">
        <is>
          <t>Allmännings- och besparingsskogar</t>
        </is>
      </c>
      <c r="G9390" t="n">
        <v>6.5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19742-2024</t>
        </is>
      </c>
      <c r="B9391" s="1" t="n">
        <v>45432</v>
      </c>
      <c r="C9391" s="1" t="n">
        <v>45710</v>
      </c>
      <c r="D9391" t="inlineStr">
        <is>
          <t>ÖSTERGÖTLANDS LÄN</t>
        </is>
      </c>
      <c r="E9391" t="inlineStr">
        <is>
          <t>MJÖLBY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19745-2024</t>
        </is>
      </c>
      <c r="B9392" s="1" t="n">
        <v>45432</v>
      </c>
      <c r="C9392" s="1" t="n">
        <v>45710</v>
      </c>
      <c r="D9392" t="inlineStr">
        <is>
          <t>ÖSTERGÖTLANDS LÄN</t>
        </is>
      </c>
      <c r="E9392" t="inlineStr">
        <is>
          <t>VALDEMARSVIK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19749-2024</t>
        </is>
      </c>
      <c r="B9393" s="1" t="n">
        <v>45432</v>
      </c>
      <c r="C9393" s="1" t="n">
        <v>45710</v>
      </c>
      <c r="D9393" t="inlineStr">
        <is>
          <t>ÖSTERGÖTLANDS LÄN</t>
        </is>
      </c>
      <c r="E9393" t="inlineStr">
        <is>
          <t>MJÖLBY</t>
        </is>
      </c>
      <c r="G9393" t="n">
        <v>5.5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19739-2024</t>
        </is>
      </c>
      <c r="B9394" s="1" t="n">
        <v>45432</v>
      </c>
      <c r="C9394" s="1" t="n">
        <v>45710</v>
      </c>
      <c r="D9394" t="inlineStr">
        <is>
          <t>ÖSTERGÖTLANDS LÄN</t>
        </is>
      </c>
      <c r="E9394" t="inlineStr">
        <is>
          <t>NORRKÖPING</t>
        </is>
      </c>
      <c r="G9394" t="n">
        <v>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19747-2024</t>
        </is>
      </c>
      <c r="B9395" s="1" t="n">
        <v>45432</v>
      </c>
      <c r="C9395" s="1" t="n">
        <v>45710</v>
      </c>
      <c r="D9395" t="inlineStr">
        <is>
          <t>ÖSTERGÖTLANDS LÄN</t>
        </is>
      </c>
      <c r="E9395" t="inlineStr">
        <is>
          <t>VALDEMARSVIK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19769-2024</t>
        </is>
      </c>
      <c r="B9396" s="1" t="n">
        <v>45432</v>
      </c>
      <c r="C9396" s="1" t="n">
        <v>45710</v>
      </c>
      <c r="D9396" t="inlineStr">
        <is>
          <t>ÖSTERGÖTLANDS LÄN</t>
        </is>
      </c>
      <c r="E9396" t="inlineStr">
        <is>
          <t>YDRE</t>
        </is>
      </c>
      <c r="G9396" t="n">
        <v>3.1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19755-2024</t>
        </is>
      </c>
      <c r="B9397" s="1" t="n">
        <v>45432</v>
      </c>
      <c r="C9397" s="1" t="n">
        <v>45710</v>
      </c>
      <c r="D9397" t="inlineStr">
        <is>
          <t>ÖSTERGÖTLANDS LÄN</t>
        </is>
      </c>
      <c r="E9397" t="inlineStr">
        <is>
          <t>MJÖLBY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19771-2024</t>
        </is>
      </c>
      <c r="B9398" s="1" t="n">
        <v>45432</v>
      </c>
      <c r="C9398" s="1" t="n">
        <v>45710</v>
      </c>
      <c r="D9398" t="inlineStr">
        <is>
          <t>ÖSTERGÖTLANDS LÄN</t>
        </is>
      </c>
      <c r="E9398" t="inlineStr">
        <is>
          <t>YDRE</t>
        </is>
      </c>
      <c r="G9398" t="n">
        <v>2.3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19613-2024</t>
        </is>
      </c>
      <c r="B9399" s="1" t="n">
        <v>45432</v>
      </c>
      <c r="C9399" s="1" t="n">
        <v>45710</v>
      </c>
      <c r="D9399" t="inlineStr">
        <is>
          <t>ÖSTERGÖTLANDS LÄN</t>
        </is>
      </c>
      <c r="E9399" t="inlineStr">
        <is>
          <t>KINDA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19700-2024</t>
        </is>
      </c>
      <c r="B9400" s="1" t="n">
        <v>45432</v>
      </c>
      <c r="C9400" s="1" t="n">
        <v>45710</v>
      </c>
      <c r="D9400" t="inlineStr">
        <is>
          <t>ÖSTERGÖTLANDS LÄN</t>
        </is>
      </c>
      <c r="E9400" t="inlineStr">
        <is>
          <t>NORRKÖPING</t>
        </is>
      </c>
      <c r="G9400" t="n">
        <v>16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19752-2024</t>
        </is>
      </c>
      <c r="B9401" s="1" t="n">
        <v>45432</v>
      </c>
      <c r="C9401" s="1" t="n">
        <v>45710</v>
      </c>
      <c r="D9401" t="inlineStr">
        <is>
          <t>ÖSTERGÖTLANDS LÄN</t>
        </is>
      </c>
      <c r="E9401" t="inlineStr">
        <is>
          <t>MJÖLBY</t>
        </is>
      </c>
      <c r="G9401" t="n">
        <v>4.6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19768-2024</t>
        </is>
      </c>
      <c r="B9402" s="1" t="n">
        <v>45432</v>
      </c>
      <c r="C9402" s="1" t="n">
        <v>45710</v>
      </c>
      <c r="D9402" t="inlineStr">
        <is>
          <t>ÖSTERGÖTLANDS LÄN</t>
        </is>
      </c>
      <c r="E9402" t="inlineStr">
        <is>
          <t>YDRE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19903-2024</t>
        </is>
      </c>
      <c r="B9403" s="1" t="n">
        <v>45433</v>
      </c>
      <c r="C9403" s="1" t="n">
        <v>45710</v>
      </c>
      <c r="D9403" t="inlineStr">
        <is>
          <t>ÖSTERGÖTLANDS LÄN</t>
        </is>
      </c>
      <c r="E9403" t="inlineStr">
        <is>
          <t>SÖDERKÖPING</t>
        </is>
      </c>
      <c r="G9403" t="n">
        <v>6.9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19912-2024</t>
        </is>
      </c>
      <c r="B9404" s="1" t="n">
        <v>45433</v>
      </c>
      <c r="C9404" s="1" t="n">
        <v>45710</v>
      </c>
      <c r="D9404" t="inlineStr">
        <is>
          <t>ÖSTERGÖTLANDS LÄN</t>
        </is>
      </c>
      <c r="E9404" t="inlineStr">
        <is>
          <t>ÅTVIDABERG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19906-2024</t>
        </is>
      </c>
      <c r="B9405" s="1" t="n">
        <v>45433</v>
      </c>
      <c r="C9405" s="1" t="n">
        <v>45710</v>
      </c>
      <c r="D9405" t="inlineStr">
        <is>
          <t>ÖSTERGÖTLANDS LÄN</t>
        </is>
      </c>
      <c r="E9405" t="inlineStr">
        <is>
          <t>ÅTVIDABERG</t>
        </is>
      </c>
      <c r="G9405" t="n">
        <v>3.2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19921-2024</t>
        </is>
      </c>
      <c r="B9406" s="1" t="n">
        <v>45433</v>
      </c>
      <c r="C9406" s="1" t="n">
        <v>45710</v>
      </c>
      <c r="D9406" t="inlineStr">
        <is>
          <t>ÖSTERGÖTLANDS LÄN</t>
        </is>
      </c>
      <c r="E9406" t="inlineStr">
        <is>
          <t>ÅTVIDABERG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19925-2024</t>
        </is>
      </c>
      <c r="B9407" s="1" t="n">
        <v>45433</v>
      </c>
      <c r="C9407" s="1" t="n">
        <v>45710</v>
      </c>
      <c r="D9407" t="inlineStr">
        <is>
          <t>ÖSTERGÖTLANDS LÄN</t>
        </is>
      </c>
      <c r="E9407" t="inlineStr">
        <is>
          <t>VALDEMARSVIK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19937-2024</t>
        </is>
      </c>
      <c r="B9408" s="1" t="n">
        <v>45433</v>
      </c>
      <c r="C9408" s="1" t="n">
        <v>45710</v>
      </c>
      <c r="D9408" t="inlineStr">
        <is>
          <t>ÖSTERGÖTLANDS LÄN</t>
        </is>
      </c>
      <c r="E9408" t="inlineStr">
        <is>
          <t>VALDEMARSVIK</t>
        </is>
      </c>
      <c r="G9408" t="n">
        <v>11.9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19967-2024</t>
        </is>
      </c>
      <c r="B9409" s="1" t="n">
        <v>45433</v>
      </c>
      <c r="C9409" s="1" t="n">
        <v>45710</v>
      </c>
      <c r="D9409" t="inlineStr">
        <is>
          <t>ÖSTERGÖTLANDS LÄN</t>
        </is>
      </c>
      <c r="E9409" t="inlineStr">
        <is>
          <t>NORRKÖPING</t>
        </is>
      </c>
      <c r="G9409" t="n">
        <v>3.8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19961-2024</t>
        </is>
      </c>
      <c r="B9410" s="1" t="n">
        <v>45433</v>
      </c>
      <c r="C9410" s="1" t="n">
        <v>45710</v>
      </c>
      <c r="D9410" t="inlineStr">
        <is>
          <t>ÖSTERGÖTLANDS LÄN</t>
        </is>
      </c>
      <c r="E9410" t="inlineStr">
        <is>
          <t>ÅTVIDABERG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19977-2024</t>
        </is>
      </c>
      <c r="B9411" s="1" t="n">
        <v>45433</v>
      </c>
      <c r="C9411" s="1" t="n">
        <v>45710</v>
      </c>
      <c r="D9411" t="inlineStr">
        <is>
          <t>ÖSTERGÖTLANDS LÄN</t>
        </is>
      </c>
      <c r="E9411" t="inlineStr">
        <is>
          <t>SÖDERKÖPING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19981-2024</t>
        </is>
      </c>
      <c r="B9412" s="1" t="n">
        <v>45433</v>
      </c>
      <c r="C9412" s="1" t="n">
        <v>45710</v>
      </c>
      <c r="D9412" t="inlineStr">
        <is>
          <t>ÖSTERGÖTLANDS LÄN</t>
        </is>
      </c>
      <c r="E9412" t="inlineStr">
        <is>
          <t>VALDEMARSVIK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19966-2024</t>
        </is>
      </c>
      <c r="B9413" s="1" t="n">
        <v>45433</v>
      </c>
      <c r="C9413" s="1" t="n">
        <v>45710</v>
      </c>
      <c r="D9413" t="inlineStr">
        <is>
          <t>ÖSTERGÖTLANDS LÄN</t>
        </is>
      </c>
      <c r="E9413" t="inlineStr">
        <is>
          <t>NORRKÖPING</t>
        </is>
      </c>
      <c r="G9413" t="n">
        <v>5.6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19979-2024</t>
        </is>
      </c>
      <c r="B9414" s="1" t="n">
        <v>45433</v>
      </c>
      <c r="C9414" s="1" t="n">
        <v>45710</v>
      </c>
      <c r="D9414" t="inlineStr">
        <is>
          <t>ÖSTERGÖTLANDS LÄN</t>
        </is>
      </c>
      <c r="E9414" t="inlineStr">
        <is>
          <t>VALDEMARSVIK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19983-2024</t>
        </is>
      </c>
      <c r="B9415" s="1" t="n">
        <v>45433</v>
      </c>
      <c r="C9415" s="1" t="n">
        <v>45710</v>
      </c>
      <c r="D9415" t="inlineStr">
        <is>
          <t>ÖSTERGÖTLANDS LÄN</t>
        </is>
      </c>
      <c r="E9415" t="inlineStr">
        <is>
          <t>VALDEMARSVIK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19974-2024</t>
        </is>
      </c>
      <c r="B9416" s="1" t="n">
        <v>45433</v>
      </c>
      <c r="C9416" s="1" t="n">
        <v>45710</v>
      </c>
      <c r="D9416" t="inlineStr">
        <is>
          <t>ÖSTERGÖTLANDS LÄN</t>
        </is>
      </c>
      <c r="E9416" t="inlineStr">
        <is>
          <t>SÖDERKÖPING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19978-2024</t>
        </is>
      </c>
      <c r="B9417" s="1" t="n">
        <v>45433</v>
      </c>
      <c r="C9417" s="1" t="n">
        <v>45710</v>
      </c>
      <c r="D9417" t="inlineStr">
        <is>
          <t>ÖSTERGÖTLANDS LÄN</t>
        </is>
      </c>
      <c r="E9417" t="inlineStr">
        <is>
          <t>SÖDERKÖPING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19982-2024</t>
        </is>
      </c>
      <c r="B9418" s="1" t="n">
        <v>45433</v>
      </c>
      <c r="C9418" s="1" t="n">
        <v>45710</v>
      </c>
      <c r="D9418" t="inlineStr">
        <is>
          <t>ÖSTERGÖTLANDS LÄN</t>
        </is>
      </c>
      <c r="E9418" t="inlineStr">
        <is>
          <t>VALDEMARSVIK</t>
        </is>
      </c>
      <c r="G9418" t="n">
        <v>2.4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20023-2024</t>
        </is>
      </c>
      <c r="B9419" s="1" t="n">
        <v>45434</v>
      </c>
      <c r="C9419" s="1" t="n">
        <v>45710</v>
      </c>
      <c r="D9419" t="inlineStr">
        <is>
          <t>ÖSTERGÖTLANDS LÄN</t>
        </is>
      </c>
      <c r="E9419" t="inlineStr">
        <is>
          <t>SÖDERKÖPING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20158-2024</t>
        </is>
      </c>
      <c r="B9420" s="1" t="n">
        <v>45434</v>
      </c>
      <c r="C9420" s="1" t="n">
        <v>45710</v>
      </c>
      <c r="D9420" t="inlineStr">
        <is>
          <t>ÖSTERGÖTLANDS LÄN</t>
        </is>
      </c>
      <c r="E9420" t="inlineStr">
        <is>
          <t>YDRE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20162-2024</t>
        </is>
      </c>
      <c r="B9421" s="1" t="n">
        <v>45434</v>
      </c>
      <c r="C9421" s="1" t="n">
        <v>45710</v>
      </c>
      <c r="D9421" t="inlineStr">
        <is>
          <t>ÖSTERGÖTLANDS LÄN</t>
        </is>
      </c>
      <c r="E9421" t="inlineStr">
        <is>
          <t>YDRE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20169-2024</t>
        </is>
      </c>
      <c r="B9422" s="1" t="n">
        <v>45434</v>
      </c>
      <c r="C9422" s="1" t="n">
        <v>45710</v>
      </c>
      <c r="D9422" t="inlineStr">
        <is>
          <t>ÖSTERGÖTLANDS LÄN</t>
        </is>
      </c>
      <c r="E9422" t="inlineStr">
        <is>
          <t>YDRE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20356-2024</t>
        </is>
      </c>
      <c r="B9423" s="1" t="n">
        <v>45435</v>
      </c>
      <c r="C9423" s="1" t="n">
        <v>45710</v>
      </c>
      <c r="D9423" t="inlineStr">
        <is>
          <t>ÖSTERGÖTLANDS LÄN</t>
        </is>
      </c>
      <c r="E9423" t="inlineStr">
        <is>
          <t>NORRKÖPING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20446-2024</t>
        </is>
      </c>
      <c r="B9424" s="1" t="n">
        <v>45435</v>
      </c>
      <c r="C9424" s="1" t="n">
        <v>45710</v>
      </c>
      <c r="D9424" t="inlineStr">
        <is>
          <t>ÖSTERGÖTLANDS LÄN</t>
        </is>
      </c>
      <c r="E9424" t="inlineStr">
        <is>
          <t>ÅTVIDABERG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20450-2024</t>
        </is>
      </c>
      <c r="B9425" s="1" t="n">
        <v>45435</v>
      </c>
      <c r="C9425" s="1" t="n">
        <v>45710</v>
      </c>
      <c r="D9425" t="inlineStr">
        <is>
          <t>ÖSTERGÖTLANDS LÄN</t>
        </is>
      </c>
      <c r="E9425" t="inlineStr">
        <is>
          <t>ÅTVIDABERG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20310-2024</t>
        </is>
      </c>
      <c r="B9426" s="1" t="n">
        <v>45435</v>
      </c>
      <c r="C9426" s="1" t="n">
        <v>45710</v>
      </c>
      <c r="D9426" t="inlineStr">
        <is>
          <t>ÖSTERGÖTLANDS LÄN</t>
        </is>
      </c>
      <c r="E9426" t="inlineStr">
        <is>
          <t>SÖDERKÖPING</t>
        </is>
      </c>
      <c r="G9426" t="n">
        <v>1.4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20423-2024</t>
        </is>
      </c>
      <c r="B9427" s="1" t="n">
        <v>45435</v>
      </c>
      <c r="C9427" s="1" t="n">
        <v>45710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Holmen skog AB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20484-2024</t>
        </is>
      </c>
      <c r="B9428" s="1" t="n">
        <v>45435</v>
      </c>
      <c r="C9428" s="1" t="n">
        <v>45710</v>
      </c>
      <c r="D9428" t="inlineStr">
        <is>
          <t>ÖSTERGÖTLANDS LÄN</t>
        </is>
      </c>
      <c r="E9428" t="inlineStr">
        <is>
          <t>VALDEMARSVIK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20455-2024</t>
        </is>
      </c>
      <c r="B9429" s="1" t="n">
        <v>45435</v>
      </c>
      <c r="C9429" s="1" t="n">
        <v>45710</v>
      </c>
      <c r="D9429" t="inlineStr">
        <is>
          <t>ÖSTERGÖTLANDS LÄN</t>
        </is>
      </c>
      <c r="E9429" t="inlineStr">
        <is>
          <t>LINKÖPING</t>
        </is>
      </c>
      <c r="G9429" t="n">
        <v>2.6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20483-2024</t>
        </is>
      </c>
      <c r="B9430" s="1" t="n">
        <v>45435</v>
      </c>
      <c r="C9430" s="1" t="n">
        <v>45710</v>
      </c>
      <c r="D9430" t="inlineStr">
        <is>
          <t>ÖSTERGÖTLANDS LÄN</t>
        </is>
      </c>
      <c r="E9430" t="inlineStr">
        <is>
          <t>VALDEMARSVIK</t>
        </is>
      </c>
      <c r="G9430" t="n">
        <v>2.1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20487-2024</t>
        </is>
      </c>
      <c r="B9431" s="1" t="n">
        <v>45435</v>
      </c>
      <c r="C9431" s="1" t="n">
        <v>45710</v>
      </c>
      <c r="D9431" t="inlineStr">
        <is>
          <t>ÖSTERGÖTLANDS LÄN</t>
        </is>
      </c>
      <c r="E9431" t="inlineStr">
        <is>
          <t>MOTALA</t>
        </is>
      </c>
      <c r="G9431" t="n">
        <v>5.1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20532-2024</t>
        </is>
      </c>
      <c r="B9432" s="1" t="n">
        <v>45436</v>
      </c>
      <c r="C9432" s="1" t="n">
        <v>45710</v>
      </c>
      <c r="D9432" t="inlineStr">
        <is>
          <t>ÖSTERGÖTLANDS LÄN</t>
        </is>
      </c>
      <c r="E9432" t="inlineStr">
        <is>
          <t>FINSPÅNG</t>
        </is>
      </c>
      <c r="G9432" t="n">
        <v>7.7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20540-2024</t>
        </is>
      </c>
      <c r="B9433" s="1" t="n">
        <v>45436</v>
      </c>
      <c r="C9433" s="1" t="n">
        <v>45710</v>
      </c>
      <c r="D9433" t="inlineStr">
        <is>
          <t>ÖSTERGÖTLANDS LÄN</t>
        </is>
      </c>
      <c r="E9433" t="inlineStr">
        <is>
          <t>YDRE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20716-2024</t>
        </is>
      </c>
      <c r="B9434" s="1" t="n">
        <v>45436</v>
      </c>
      <c r="C9434" s="1" t="n">
        <v>45710</v>
      </c>
      <c r="D9434" t="inlineStr">
        <is>
          <t>ÖSTERGÖTLANDS LÄN</t>
        </is>
      </c>
      <c r="E9434" t="inlineStr">
        <is>
          <t>YDRE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20531-2024</t>
        </is>
      </c>
      <c r="B9435" s="1" t="n">
        <v>45436</v>
      </c>
      <c r="C9435" s="1" t="n">
        <v>45710</v>
      </c>
      <c r="D9435" t="inlineStr">
        <is>
          <t>ÖSTERGÖTLANDS LÄN</t>
        </is>
      </c>
      <c r="E9435" t="inlineStr">
        <is>
          <t>FINSPÅNG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20579-2024</t>
        </is>
      </c>
      <c r="B9436" s="1" t="n">
        <v>45436</v>
      </c>
      <c r="C9436" s="1" t="n">
        <v>45710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20583-2024</t>
        </is>
      </c>
      <c r="B9437" s="1" t="n">
        <v>45436</v>
      </c>
      <c r="C9437" s="1" t="n">
        <v>45710</v>
      </c>
      <c r="D9437" t="inlineStr">
        <is>
          <t>ÖSTERGÖTLANDS LÄN</t>
        </is>
      </c>
      <c r="E9437" t="inlineStr">
        <is>
          <t>NORRKÖPING</t>
        </is>
      </c>
      <c r="F9437" t="inlineStr">
        <is>
          <t>Holmen skog AB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20587-2024</t>
        </is>
      </c>
      <c r="B9438" s="1" t="n">
        <v>45436</v>
      </c>
      <c r="C9438" s="1" t="n">
        <v>45710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0.5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20747-2024</t>
        </is>
      </c>
      <c r="B9439" s="1" t="n">
        <v>45436</v>
      </c>
      <c r="C9439" s="1" t="n">
        <v>45710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4.3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20687-2024</t>
        </is>
      </c>
      <c r="B9440" s="1" t="n">
        <v>45436</v>
      </c>
      <c r="C9440" s="1" t="n">
        <v>45710</v>
      </c>
      <c r="D9440" t="inlineStr">
        <is>
          <t>ÖSTERGÖTLANDS LÄN</t>
        </is>
      </c>
      <c r="E9440" t="inlineStr">
        <is>
          <t>YDRE</t>
        </is>
      </c>
      <c r="G9440" t="n">
        <v>3.8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20926-2024</t>
        </is>
      </c>
      <c r="B9441" s="1" t="n">
        <v>45439</v>
      </c>
      <c r="C9441" s="1" t="n">
        <v>45710</v>
      </c>
      <c r="D9441" t="inlineStr">
        <is>
          <t>ÖSTERGÖTLANDS LÄN</t>
        </is>
      </c>
      <c r="E9441" t="inlineStr">
        <is>
          <t>SÖDERKÖPING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20906-2024</t>
        </is>
      </c>
      <c r="B9442" s="1" t="n">
        <v>45439</v>
      </c>
      <c r="C9442" s="1" t="n">
        <v>45710</v>
      </c>
      <c r="D9442" t="inlineStr">
        <is>
          <t>ÖSTERGÖTLANDS LÄN</t>
        </is>
      </c>
      <c r="E9442" t="inlineStr">
        <is>
          <t>ÅTVIDABERG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20829-2024</t>
        </is>
      </c>
      <c r="B9443" s="1" t="n">
        <v>45439</v>
      </c>
      <c r="C9443" s="1" t="n">
        <v>45710</v>
      </c>
      <c r="D9443" t="inlineStr">
        <is>
          <t>ÖSTERGÖTLANDS LÄN</t>
        </is>
      </c>
      <c r="E9443" t="inlineStr">
        <is>
          <t>ÅTVIDABERG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21021-2024</t>
        </is>
      </c>
      <c r="B9444" s="1" t="n">
        <v>45439</v>
      </c>
      <c r="C9444" s="1" t="n">
        <v>45710</v>
      </c>
      <c r="D9444" t="inlineStr">
        <is>
          <t>ÖSTERGÖTLANDS LÄN</t>
        </is>
      </c>
      <c r="E9444" t="inlineStr">
        <is>
          <t>ÖDESHÖG</t>
        </is>
      </c>
      <c r="G9444" t="n">
        <v>4.3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20843-2024</t>
        </is>
      </c>
      <c r="B9445" s="1" t="n">
        <v>45439</v>
      </c>
      <c r="C9445" s="1" t="n">
        <v>45710</v>
      </c>
      <c r="D9445" t="inlineStr">
        <is>
          <t>ÖSTERGÖTLANDS LÄN</t>
        </is>
      </c>
      <c r="E9445" t="inlineStr">
        <is>
          <t>ÅTVIDABERG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21046-2024</t>
        </is>
      </c>
      <c r="B9446" s="1" t="n">
        <v>45439</v>
      </c>
      <c r="C9446" s="1" t="n">
        <v>45710</v>
      </c>
      <c r="D9446" t="inlineStr">
        <is>
          <t>ÖSTERGÖTLANDS LÄN</t>
        </is>
      </c>
      <c r="E9446" t="inlineStr">
        <is>
          <t>MOTALA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20920-2024</t>
        </is>
      </c>
      <c r="B9447" s="1" t="n">
        <v>45439</v>
      </c>
      <c r="C9447" s="1" t="n">
        <v>45710</v>
      </c>
      <c r="D9447" t="inlineStr">
        <is>
          <t>ÖSTERGÖTLANDS LÄN</t>
        </is>
      </c>
      <c r="E9447" t="inlineStr">
        <is>
          <t>SÖDERKÖPING</t>
        </is>
      </c>
      <c r="G9447" t="n">
        <v>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20916-2024</t>
        </is>
      </c>
      <c r="B9448" s="1" t="n">
        <v>45439</v>
      </c>
      <c r="C9448" s="1" t="n">
        <v>45710</v>
      </c>
      <c r="D9448" t="inlineStr">
        <is>
          <t>ÖSTERGÖTLANDS LÄN</t>
        </is>
      </c>
      <c r="E9448" t="inlineStr">
        <is>
          <t>SÖDERKÖPING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21071-2024</t>
        </is>
      </c>
      <c r="B9449" s="1" t="n">
        <v>45439</v>
      </c>
      <c r="C9449" s="1" t="n">
        <v>45710</v>
      </c>
      <c r="D9449" t="inlineStr">
        <is>
          <t>ÖSTERGÖTLANDS LÄN</t>
        </is>
      </c>
      <c r="E9449" t="inlineStr">
        <is>
          <t>KINDA</t>
        </is>
      </c>
      <c r="G9449" t="n">
        <v>0.5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21050-2024</t>
        </is>
      </c>
      <c r="B9450" s="1" t="n">
        <v>45439</v>
      </c>
      <c r="C9450" s="1" t="n">
        <v>45710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Allmännings- och besparingsskogar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20882-2024</t>
        </is>
      </c>
      <c r="B9451" s="1" t="n">
        <v>45439</v>
      </c>
      <c r="C9451" s="1" t="n">
        <v>45710</v>
      </c>
      <c r="D9451" t="inlineStr">
        <is>
          <t>ÖSTERGÖTLANDS LÄN</t>
        </is>
      </c>
      <c r="E9451" t="inlineStr">
        <is>
          <t>ÅTVIDABERG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21048-2024</t>
        </is>
      </c>
      <c r="B9452" s="1" t="n">
        <v>45439</v>
      </c>
      <c r="C9452" s="1" t="n">
        <v>45710</v>
      </c>
      <c r="D9452" t="inlineStr">
        <is>
          <t>ÖSTERGÖTLANDS LÄN</t>
        </is>
      </c>
      <c r="E9452" t="inlineStr">
        <is>
          <t>MOTALA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20958-2024</t>
        </is>
      </c>
      <c r="B9453" s="1" t="n">
        <v>45439</v>
      </c>
      <c r="C9453" s="1" t="n">
        <v>45710</v>
      </c>
      <c r="D9453" t="inlineStr">
        <is>
          <t>ÖSTERGÖTLANDS LÄN</t>
        </is>
      </c>
      <c r="E9453" t="inlineStr">
        <is>
          <t>SÖDERKÖPING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21178-2024</t>
        </is>
      </c>
      <c r="B9454" s="1" t="n">
        <v>45440</v>
      </c>
      <c r="C9454" s="1" t="n">
        <v>45710</v>
      </c>
      <c r="D9454" t="inlineStr">
        <is>
          <t>ÖSTERGÖTLANDS LÄN</t>
        </is>
      </c>
      <c r="E9454" t="inlineStr">
        <is>
          <t>SÖDERKÖPING</t>
        </is>
      </c>
      <c r="G9454" t="n">
        <v>4.2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21181-2024</t>
        </is>
      </c>
      <c r="B9455" s="1" t="n">
        <v>45440</v>
      </c>
      <c r="C9455" s="1" t="n">
        <v>45710</v>
      </c>
      <c r="D9455" t="inlineStr">
        <is>
          <t>ÖSTERGÖTLANDS LÄN</t>
        </is>
      </c>
      <c r="E9455" t="inlineStr">
        <is>
          <t>FINSPÅNG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21204-2024</t>
        </is>
      </c>
      <c r="B9456" s="1" t="n">
        <v>45440</v>
      </c>
      <c r="C9456" s="1" t="n">
        <v>45710</v>
      </c>
      <c r="D9456" t="inlineStr">
        <is>
          <t>ÖSTERGÖTLANDS LÄN</t>
        </is>
      </c>
      <c r="E9456" t="inlineStr">
        <is>
          <t>MOTALA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21201-2024</t>
        </is>
      </c>
      <c r="B9457" s="1" t="n">
        <v>45440</v>
      </c>
      <c r="C9457" s="1" t="n">
        <v>45710</v>
      </c>
      <c r="D9457" t="inlineStr">
        <is>
          <t>ÖSTERGÖTLANDS LÄN</t>
        </is>
      </c>
      <c r="E9457" t="inlineStr">
        <is>
          <t>MOTALA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21206-2024</t>
        </is>
      </c>
      <c r="B9458" s="1" t="n">
        <v>45440</v>
      </c>
      <c r="C9458" s="1" t="n">
        <v>45710</v>
      </c>
      <c r="D9458" t="inlineStr">
        <is>
          <t>ÖSTERGÖTLANDS LÄN</t>
        </is>
      </c>
      <c r="E9458" t="inlineStr">
        <is>
          <t>MOTALA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21218-2024</t>
        </is>
      </c>
      <c r="B9459" s="1" t="n">
        <v>45440</v>
      </c>
      <c r="C9459" s="1" t="n">
        <v>45710</v>
      </c>
      <c r="D9459" t="inlineStr">
        <is>
          <t>ÖSTERGÖTLANDS LÄN</t>
        </is>
      </c>
      <c r="E9459" t="inlineStr">
        <is>
          <t>MOTALA</t>
        </is>
      </c>
      <c r="G9459" t="n">
        <v>7.2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21295-2024</t>
        </is>
      </c>
      <c r="B9460" s="1" t="n">
        <v>45440</v>
      </c>
      <c r="C9460" s="1" t="n">
        <v>45710</v>
      </c>
      <c r="D9460" t="inlineStr">
        <is>
          <t>ÖSTERGÖTLANDS LÄN</t>
        </is>
      </c>
      <c r="E9460" t="inlineStr">
        <is>
          <t>ÅTVIDABERG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21276-2024</t>
        </is>
      </c>
      <c r="B9461" s="1" t="n">
        <v>45440</v>
      </c>
      <c r="C9461" s="1" t="n">
        <v>45710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21284-2024</t>
        </is>
      </c>
      <c r="B9462" s="1" t="n">
        <v>45440</v>
      </c>
      <c r="C9462" s="1" t="n">
        <v>45710</v>
      </c>
      <c r="D9462" t="inlineStr">
        <is>
          <t>ÖSTERGÖTLANDS LÄN</t>
        </is>
      </c>
      <c r="E9462" t="inlineStr">
        <is>
          <t>ÅTVIDABERG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21321-2024</t>
        </is>
      </c>
      <c r="B9463" s="1" t="n">
        <v>45440</v>
      </c>
      <c r="C9463" s="1" t="n">
        <v>45710</v>
      </c>
      <c r="D9463" t="inlineStr">
        <is>
          <t>ÖSTERGÖTLANDS LÄN</t>
        </is>
      </c>
      <c r="E9463" t="inlineStr">
        <is>
          <t>SÖDERKÖPING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21309-2024</t>
        </is>
      </c>
      <c r="B9464" s="1" t="n">
        <v>45440</v>
      </c>
      <c r="C9464" s="1" t="n">
        <v>45710</v>
      </c>
      <c r="D9464" t="inlineStr">
        <is>
          <t>ÖSTERGÖTLANDS LÄN</t>
        </is>
      </c>
      <c r="E9464" t="inlineStr">
        <is>
          <t>ÅTVIDABERG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21318-2024</t>
        </is>
      </c>
      <c r="B9465" s="1" t="n">
        <v>45440</v>
      </c>
      <c r="C9465" s="1" t="n">
        <v>45710</v>
      </c>
      <c r="D9465" t="inlineStr">
        <is>
          <t>ÖSTERGÖTLANDS LÄN</t>
        </is>
      </c>
      <c r="E9465" t="inlineStr">
        <is>
          <t>SÖDERKÖPING</t>
        </is>
      </c>
      <c r="G9465" t="n">
        <v>6.7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21274-2024</t>
        </is>
      </c>
      <c r="B9466" s="1" t="n">
        <v>45440</v>
      </c>
      <c r="C9466" s="1" t="n">
        <v>45710</v>
      </c>
      <c r="D9466" t="inlineStr">
        <is>
          <t>ÖSTERGÖTLANDS LÄN</t>
        </is>
      </c>
      <c r="E9466" t="inlineStr">
        <is>
          <t>ÅTVIDABERG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21286-2024</t>
        </is>
      </c>
      <c r="B9467" s="1" t="n">
        <v>45440</v>
      </c>
      <c r="C9467" s="1" t="n">
        <v>45710</v>
      </c>
      <c r="D9467" t="inlineStr">
        <is>
          <t>ÖSTERGÖTLANDS LÄN</t>
        </is>
      </c>
      <c r="E9467" t="inlineStr">
        <is>
          <t>ÅTVIDABERG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21294-2024</t>
        </is>
      </c>
      <c r="B9468" s="1" t="n">
        <v>45440</v>
      </c>
      <c r="C9468" s="1" t="n">
        <v>45710</v>
      </c>
      <c r="D9468" t="inlineStr">
        <is>
          <t>ÖSTERGÖTLANDS LÄN</t>
        </is>
      </c>
      <c r="E9468" t="inlineStr">
        <is>
          <t>ÅTVIDABERG</t>
        </is>
      </c>
      <c r="G9468" t="n">
        <v>0.4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21298-2024</t>
        </is>
      </c>
      <c r="B9469" s="1" t="n">
        <v>45440</v>
      </c>
      <c r="C9469" s="1" t="n">
        <v>45710</v>
      </c>
      <c r="D9469" t="inlineStr">
        <is>
          <t>ÖSTERGÖTLANDS LÄN</t>
        </is>
      </c>
      <c r="E9469" t="inlineStr">
        <is>
          <t>ÅTVIDABERG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21319-2024</t>
        </is>
      </c>
      <c r="B9470" s="1" t="n">
        <v>45440</v>
      </c>
      <c r="C9470" s="1" t="n">
        <v>45710</v>
      </c>
      <c r="D9470" t="inlineStr">
        <is>
          <t>ÖSTERGÖTLANDS LÄN</t>
        </is>
      </c>
      <c r="E9470" t="inlineStr">
        <is>
          <t>SÖDERKÖPING</t>
        </is>
      </c>
      <c r="G9470" t="n">
        <v>1.6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21506-2024</t>
        </is>
      </c>
      <c r="B9471" s="1" t="n">
        <v>45441</v>
      </c>
      <c r="C9471" s="1" t="n">
        <v>45710</v>
      </c>
      <c r="D9471" t="inlineStr">
        <is>
          <t>ÖSTERGÖTLANDS LÄN</t>
        </is>
      </c>
      <c r="E9471" t="inlineStr">
        <is>
          <t>FINSPÅNG</t>
        </is>
      </c>
      <c r="F9471" t="inlineStr">
        <is>
          <t>Holmen skog AB</t>
        </is>
      </c>
      <c r="G9471" t="n">
        <v>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21463-2024</t>
        </is>
      </c>
      <c r="B9472" s="1" t="n">
        <v>45441</v>
      </c>
      <c r="C9472" s="1" t="n">
        <v>45710</v>
      </c>
      <c r="D9472" t="inlineStr">
        <is>
          <t>ÖSTERGÖTLANDS LÄN</t>
        </is>
      </c>
      <c r="E9472" t="inlineStr">
        <is>
          <t>KINDA</t>
        </is>
      </c>
      <c r="G9472" t="n">
        <v>3.6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21532-2024</t>
        </is>
      </c>
      <c r="B9473" s="1" t="n">
        <v>45441</v>
      </c>
      <c r="C9473" s="1" t="n">
        <v>45710</v>
      </c>
      <c r="D9473" t="inlineStr">
        <is>
          <t>ÖSTERGÖTLANDS LÄN</t>
        </is>
      </c>
      <c r="E9473" t="inlineStr">
        <is>
          <t>FINSPÅNG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21572-2024</t>
        </is>
      </c>
      <c r="B9474" s="1" t="n">
        <v>45441</v>
      </c>
      <c r="C9474" s="1" t="n">
        <v>45710</v>
      </c>
      <c r="D9474" t="inlineStr">
        <is>
          <t>ÖSTERGÖTLANDS LÄN</t>
        </is>
      </c>
      <c r="E9474" t="inlineStr">
        <is>
          <t>ÅTVIDABERG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21517-2024</t>
        </is>
      </c>
      <c r="B9475" s="1" t="n">
        <v>45441</v>
      </c>
      <c r="C9475" s="1" t="n">
        <v>45710</v>
      </c>
      <c r="D9475" t="inlineStr">
        <is>
          <t>ÖSTERGÖTLANDS LÄN</t>
        </is>
      </c>
      <c r="E9475" t="inlineStr">
        <is>
          <t>FINSPÅNG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21543-2024</t>
        </is>
      </c>
      <c r="B9476" s="1" t="n">
        <v>45441</v>
      </c>
      <c r="C9476" s="1" t="n">
        <v>45710</v>
      </c>
      <c r="D9476" t="inlineStr">
        <is>
          <t>ÖSTERGÖTLANDS LÄN</t>
        </is>
      </c>
      <c r="E9476" t="inlineStr">
        <is>
          <t>YDRE</t>
        </is>
      </c>
      <c r="F9476" t="inlineStr">
        <is>
          <t>Sveaskog</t>
        </is>
      </c>
      <c r="G9476" t="n">
        <v>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21436-2024</t>
        </is>
      </c>
      <c r="B9477" s="1" t="n">
        <v>45441</v>
      </c>
      <c r="C9477" s="1" t="n">
        <v>45710</v>
      </c>
      <c r="D9477" t="inlineStr">
        <is>
          <t>ÖSTERGÖTLANDS LÄN</t>
        </is>
      </c>
      <c r="E9477" t="inlineStr">
        <is>
          <t>NORRKÖPING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21742-2024</t>
        </is>
      </c>
      <c r="B9478" s="1" t="n">
        <v>45442</v>
      </c>
      <c r="C9478" s="1" t="n">
        <v>45710</v>
      </c>
      <c r="D9478" t="inlineStr">
        <is>
          <t>ÖSTERGÖTLANDS LÄN</t>
        </is>
      </c>
      <c r="E9478" t="inlineStr">
        <is>
          <t>LINKÖPING</t>
        </is>
      </c>
      <c r="F9478" t="inlineStr">
        <is>
          <t>Kyrkan</t>
        </is>
      </c>
      <c r="G9478" t="n">
        <v>3.6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21770-2024</t>
        </is>
      </c>
      <c r="B9479" s="1" t="n">
        <v>45442</v>
      </c>
      <c r="C9479" s="1" t="n">
        <v>45710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Holmen skog AB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21782-2024</t>
        </is>
      </c>
      <c r="B9480" s="1" t="n">
        <v>45442</v>
      </c>
      <c r="C9480" s="1" t="n">
        <v>45710</v>
      </c>
      <c r="D9480" t="inlineStr">
        <is>
          <t>ÖSTERGÖTLANDS LÄN</t>
        </is>
      </c>
      <c r="E9480" t="inlineStr">
        <is>
          <t>LINKÖPING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21790-2024</t>
        </is>
      </c>
      <c r="B9481" s="1" t="n">
        <v>45442</v>
      </c>
      <c r="C9481" s="1" t="n">
        <v>45710</v>
      </c>
      <c r="D9481" t="inlineStr">
        <is>
          <t>ÖSTERGÖTLANDS LÄN</t>
        </is>
      </c>
      <c r="E9481" t="inlineStr">
        <is>
          <t>KINDA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21798-2024</t>
        </is>
      </c>
      <c r="B9482" s="1" t="n">
        <v>45442</v>
      </c>
      <c r="C9482" s="1" t="n">
        <v>45710</v>
      </c>
      <c r="D9482" t="inlineStr">
        <is>
          <t>ÖSTERGÖTLANDS LÄN</t>
        </is>
      </c>
      <c r="E9482" t="inlineStr">
        <is>
          <t>KINDA</t>
        </is>
      </c>
      <c r="G9482" t="n">
        <v>2.9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21810-2024</t>
        </is>
      </c>
      <c r="B9483" s="1" t="n">
        <v>45442</v>
      </c>
      <c r="C9483" s="1" t="n">
        <v>45710</v>
      </c>
      <c r="D9483" t="inlineStr">
        <is>
          <t>ÖSTERGÖTLANDS LÄN</t>
        </is>
      </c>
      <c r="E9483" t="inlineStr">
        <is>
          <t>NORRKÖPING</t>
        </is>
      </c>
      <c r="F9483" t="inlineStr">
        <is>
          <t>Holmen skog AB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21793-2024</t>
        </is>
      </c>
      <c r="B9484" s="1" t="n">
        <v>45442</v>
      </c>
      <c r="C9484" s="1" t="n">
        <v>45710</v>
      </c>
      <c r="D9484" t="inlineStr">
        <is>
          <t>ÖSTERGÖTLANDS LÄN</t>
        </is>
      </c>
      <c r="E9484" t="inlineStr">
        <is>
          <t>KINDA</t>
        </is>
      </c>
      <c r="G9484" t="n">
        <v>2.1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21813-2024</t>
        </is>
      </c>
      <c r="B9485" s="1" t="n">
        <v>45442</v>
      </c>
      <c r="C9485" s="1" t="n">
        <v>45710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Holmen skog AB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21716-2024</t>
        </is>
      </c>
      <c r="B9486" s="1" t="n">
        <v>45442</v>
      </c>
      <c r="C9486" s="1" t="n">
        <v>45710</v>
      </c>
      <c r="D9486" t="inlineStr">
        <is>
          <t>ÖSTERGÖTLANDS LÄN</t>
        </is>
      </c>
      <c r="E9486" t="inlineStr">
        <is>
          <t>KINDA</t>
        </is>
      </c>
      <c r="G9486" t="n">
        <v>0.2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21764-2024</t>
        </is>
      </c>
      <c r="B9487" s="1" t="n">
        <v>45442</v>
      </c>
      <c r="C9487" s="1" t="n">
        <v>45710</v>
      </c>
      <c r="D9487" t="inlineStr">
        <is>
          <t>ÖSTERGÖTLANDS LÄN</t>
        </is>
      </c>
      <c r="E9487" t="inlineStr">
        <is>
          <t>FINSPÅNG</t>
        </is>
      </c>
      <c r="F9487" t="inlineStr">
        <is>
          <t>Holmen skog AB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21772-2024</t>
        </is>
      </c>
      <c r="B9488" s="1" t="n">
        <v>45442</v>
      </c>
      <c r="C9488" s="1" t="n">
        <v>45710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Holmen skog AB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21780-2024</t>
        </is>
      </c>
      <c r="B9489" s="1" t="n">
        <v>45442</v>
      </c>
      <c r="C9489" s="1" t="n">
        <v>45710</v>
      </c>
      <c r="D9489" t="inlineStr">
        <is>
          <t>ÖSTERGÖTLANDS LÄN</t>
        </is>
      </c>
      <c r="E9489" t="inlineStr">
        <is>
          <t>ÅTVIDABERG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21784-2024</t>
        </is>
      </c>
      <c r="B9490" s="1" t="n">
        <v>45442</v>
      </c>
      <c r="C9490" s="1" t="n">
        <v>45710</v>
      </c>
      <c r="D9490" t="inlineStr">
        <is>
          <t>ÖSTERGÖTLANDS LÄN</t>
        </is>
      </c>
      <c r="E9490" t="inlineStr">
        <is>
          <t>LINKÖPING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21788-2024</t>
        </is>
      </c>
      <c r="B9491" s="1" t="n">
        <v>45442</v>
      </c>
      <c r="C9491" s="1" t="n">
        <v>45710</v>
      </c>
      <c r="D9491" t="inlineStr">
        <is>
          <t>ÖSTERGÖTLANDS LÄN</t>
        </is>
      </c>
      <c r="E9491" t="inlineStr">
        <is>
          <t>KINDA</t>
        </is>
      </c>
      <c r="G9491" t="n">
        <v>6.6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21796-2024</t>
        </is>
      </c>
      <c r="B9492" s="1" t="n">
        <v>45442</v>
      </c>
      <c r="C9492" s="1" t="n">
        <v>45710</v>
      </c>
      <c r="D9492" t="inlineStr">
        <is>
          <t>ÖSTERGÖTLANDS LÄN</t>
        </is>
      </c>
      <c r="E9492" t="inlineStr">
        <is>
          <t>KINDA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21820-2024</t>
        </is>
      </c>
      <c r="B9493" s="1" t="n">
        <v>45442</v>
      </c>
      <c r="C9493" s="1" t="n">
        <v>45710</v>
      </c>
      <c r="D9493" t="inlineStr">
        <is>
          <t>ÖSTERGÖTLANDS LÄN</t>
        </is>
      </c>
      <c r="E9493" t="inlineStr">
        <is>
          <t>VALDEMARSVIK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21664-2024</t>
        </is>
      </c>
      <c r="B9494" s="1" t="n">
        <v>45442</v>
      </c>
      <c r="C9494" s="1" t="n">
        <v>45710</v>
      </c>
      <c r="D9494" t="inlineStr">
        <is>
          <t>ÖSTERGÖTLANDS LÄN</t>
        </is>
      </c>
      <c r="E9494" t="inlineStr">
        <is>
          <t>NORRKÖPING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21719-2024</t>
        </is>
      </c>
      <c r="B9495" s="1" t="n">
        <v>45442</v>
      </c>
      <c r="C9495" s="1" t="n">
        <v>45710</v>
      </c>
      <c r="D9495" t="inlineStr">
        <is>
          <t>ÖSTERGÖTLANDS LÄN</t>
        </is>
      </c>
      <c r="E9495" t="inlineStr">
        <is>
          <t>FINSPÅNG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21767-2024</t>
        </is>
      </c>
      <c r="B9496" s="1" t="n">
        <v>45442</v>
      </c>
      <c r="C9496" s="1" t="n">
        <v>45710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Holmen skog AB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21779-2024</t>
        </is>
      </c>
      <c r="B9497" s="1" t="n">
        <v>45442</v>
      </c>
      <c r="C9497" s="1" t="n">
        <v>45710</v>
      </c>
      <c r="D9497" t="inlineStr">
        <is>
          <t>ÖSTERGÖTLANDS LÄN</t>
        </is>
      </c>
      <c r="E9497" t="inlineStr">
        <is>
          <t>ÅTVIDABERG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21791-2024</t>
        </is>
      </c>
      <c r="B9498" s="1" t="n">
        <v>45442</v>
      </c>
      <c r="C9498" s="1" t="n">
        <v>45710</v>
      </c>
      <c r="D9498" t="inlineStr">
        <is>
          <t>ÖSTERGÖTLANDS LÄN</t>
        </is>
      </c>
      <c r="E9498" t="inlineStr">
        <is>
          <t>KINDA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21795-2024</t>
        </is>
      </c>
      <c r="B9499" s="1" t="n">
        <v>45442</v>
      </c>
      <c r="C9499" s="1" t="n">
        <v>45710</v>
      </c>
      <c r="D9499" t="inlineStr">
        <is>
          <t>ÖSTERGÖTLANDS LÄN</t>
        </is>
      </c>
      <c r="E9499" t="inlineStr">
        <is>
          <t>KINDA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22032-2024</t>
        </is>
      </c>
      <c r="B9500" s="1" t="n">
        <v>45443</v>
      </c>
      <c r="C9500" s="1" t="n">
        <v>45710</v>
      </c>
      <c r="D9500" t="inlineStr">
        <is>
          <t>ÖSTERGÖTLANDS LÄN</t>
        </is>
      </c>
      <c r="E9500" t="inlineStr">
        <is>
          <t>MJÖLBY</t>
        </is>
      </c>
      <c r="G9500" t="n">
        <v>3.2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22036-2024</t>
        </is>
      </c>
      <c r="B9501" s="1" t="n">
        <v>45443</v>
      </c>
      <c r="C9501" s="1" t="n">
        <v>45710</v>
      </c>
      <c r="D9501" t="inlineStr">
        <is>
          <t>ÖSTERGÖTLANDS LÄN</t>
        </is>
      </c>
      <c r="E9501" t="inlineStr">
        <is>
          <t>ÅTVIDABERG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22056-2024</t>
        </is>
      </c>
      <c r="B9502" s="1" t="n">
        <v>45443</v>
      </c>
      <c r="C9502" s="1" t="n">
        <v>45710</v>
      </c>
      <c r="D9502" t="inlineStr">
        <is>
          <t>ÖSTERGÖTLANDS LÄN</t>
        </is>
      </c>
      <c r="E9502" t="inlineStr">
        <is>
          <t>ÅTVIDABERG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22060-2024</t>
        </is>
      </c>
      <c r="B9503" s="1" t="n">
        <v>45443</v>
      </c>
      <c r="C9503" s="1" t="n">
        <v>45710</v>
      </c>
      <c r="D9503" t="inlineStr">
        <is>
          <t>ÖSTERGÖTLANDS LÄN</t>
        </is>
      </c>
      <c r="E9503" t="inlineStr">
        <is>
          <t>ÅTVIDABERG</t>
        </is>
      </c>
      <c r="G9503" t="n">
        <v>2.2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22064-2024</t>
        </is>
      </c>
      <c r="B9504" s="1" t="n">
        <v>45443</v>
      </c>
      <c r="C9504" s="1" t="n">
        <v>45710</v>
      </c>
      <c r="D9504" t="inlineStr">
        <is>
          <t>ÖSTERGÖTLANDS LÄN</t>
        </is>
      </c>
      <c r="E9504" t="inlineStr">
        <is>
          <t>ÅTVIDABERG</t>
        </is>
      </c>
      <c r="G9504" t="n">
        <v>1.4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21986-2024</t>
        </is>
      </c>
      <c r="B9505" s="1" t="n">
        <v>45443</v>
      </c>
      <c r="C9505" s="1" t="n">
        <v>45710</v>
      </c>
      <c r="D9505" t="inlineStr">
        <is>
          <t>ÖSTERGÖTLANDS LÄN</t>
        </is>
      </c>
      <c r="E9505" t="inlineStr">
        <is>
          <t>ÅTVIDABERG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21983-2024</t>
        </is>
      </c>
      <c r="B9506" s="1" t="n">
        <v>45443</v>
      </c>
      <c r="C9506" s="1" t="n">
        <v>45710</v>
      </c>
      <c r="D9506" t="inlineStr">
        <is>
          <t>ÖSTERGÖTLANDS LÄN</t>
        </is>
      </c>
      <c r="E9506" t="inlineStr">
        <is>
          <t>ÅTVIDABERG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22066-2024</t>
        </is>
      </c>
      <c r="B9507" s="1" t="n">
        <v>45443</v>
      </c>
      <c r="C9507" s="1" t="n">
        <v>45710</v>
      </c>
      <c r="D9507" t="inlineStr">
        <is>
          <t>ÖSTERGÖTLANDS LÄN</t>
        </is>
      </c>
      <c r="E9507" t="inlineStr">
        <is>
          <t>ÅTVIDABERG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22070-2024</t>
        </is>
      </c>
      <c r="B9508" s="1" t="n">
        <v>45443</v>
      </c>
      <c r="C9508" s="1" t="n">
        <v>45710</v>
      </c>
      <c r="D9508" t="inlineStr">
        <is>
          <t>ÖSTERGÖTLANDS LÄN</t>
        </is>
      </c>
      <c r="E9508" t="inlineStr">
        <is>
          <t>ÅTVIDABERG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22082-2024</t>
        </is>
      </c>
      <c r="B9509" s="1" t="n">
        <v>45443</v>
      </c>
      <c r="C9509" s="1" t="n">
        <v>45710</v>
      </c>
      <c r="D9509" t="inlineStr">
        <is>
          <t>ÖSTERGÖTLANDS LÄN</t>
        </is>
      </c>
      <c r="E9509" t="inlineStr">
        <is>
          <t>LINKÖPING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22069-2024</t>
        </is>
      </c>
      <c r="B9510" s="1" t="n">
        <v>45443</v>
      </c>
      <c r="C9510" s="1" t="n">
        <v>45710</v>
      </c>
      <c r="D9510" t="inlineStr">
        <is>
          <t>ÖSTERGÖTLANDS LÄN</t>
        </is>
      </c>
      <c r="E9510" t="inlineStr">
        <is>
          <t>ÅTVIDABERG</t>
        </is>
      </c>
      <c r="G9510" t="n">
        <v>2.8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21909-2024</t>
        </is>
      </c>
      <c r="B9511" s="1" t="n">
        <v>45443</v>
      </c>
      <c r="C9511" s="1" t="n">
        <v>45710</v>
      </c>
      <c r="D9511" t="inlineStr">
        <is>
          <t>ÖSTERGÖTLANDS LÄN</t>
        </is>
      </c>
      <c r="E9511" t="inlineStr">
        <is>
          <t>VALDEMARSVIK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22129-2024</t>
        </is>
      </c>
      <c r="B9512" s="1" t="n">
        <v>45444</v>
      </c>
      <c r="C9512" s="1" t="n">
        <v>45710</v>
      </c>
      <c r="D9512" t="inlineStr">
        <is>
          <t>ÖSTERGÖTLANDS LÄN</t>
        </is>
      </c>
      <c r="E9512" t="inlineStr">
        <is>
          <t>BOXHOLM</t>
        </is>
      </c>
      <c r="F9512" t="inlineStr">
        <is>
          <t>Övriga Aktiebolag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22128-2024</t>
        </is>
      </c>
      <c r="B9513" s="1" t="n">
        <v>45444</v>
      </c>
      <c r="C9513" s="1" t="n">
        <v>45710</v>
      </c>
      <c r="D9513" t="inlineStr">
        <is>
          <t>ÖSTERGÖTLANDS LÄN</t>
        </is>
      </c>
      <c r="E9513" t="inlineStr">
        <is>
          <t>BOXHOLM</t>
        </is>
      </c>
      <c r="F9513" t="inlineStr">
        <is>
          <t>Övriga Aktiebolag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22151-2024</t>
        </is>
      </c>
      <c r="B9514" s="1" t="n">
        <v>45445</v>
      </c>
      <c r="C9514" s="1" t="n">
        <v>45710</v>
      </c>
      <c r="D9514" t="inlineStr">
        <is>
          <t>ÖSTERGÖTLANDS LÄN</t>
        </is>
      </c>
      <c r="E9514" t="inlineStr">
        <is>
          <t>KINDA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22328-2024</t>
        </is>
      </c>
      <c r="B9515" s="1" t="n">
        <v>45446</v>
      </c>
      <c r="C9515" s="1" t="n">
        <v>45710</v>
      </c>
      <c r="D9515" t="inlineStr">
        <is>
          <t>ÖSTERGÖTLANDS LÄN</t>
        </is>
      </c>
      <c r="E9515" t="inlineStr">
        <is>
          <t>MJÖLBY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22259-2024</t>
        </is>
      </c>
      <c r="B9516" s="1" t="n">
        <v>45446</v>
      </c>
      <c r="C9516" s="1" t="n">
        <v>45710</v>
      </c>
      <c r="D9516" t="inlineStr">
        <is>
          <t>ÖSTERGÖTLANDS LÄN</t>
        </is>
      </c>
      <c r="E9516" t="inlineStr">
        <is>
          <t>FINSPÅNG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22292-2024</t>
        </is>
      </c>
      <c r="B9517" s="1" t="n">
        <v>45446</v>
      </c>
      <c r="C9517" s="1" t="n">
        <v>45710</v>
      </c>
      <c r="D9517" t="inlineStr">
        <is>
          <t>ÖSTERGÖTLANDS LÄN</t>
        </is>
      </c>
      <c r="E9517" t="inlineStr">
        <is>
          <t>NORRKÖPING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22308-2024</t>
        </is>
      </c>
      <c r="B9518" s="1" t="n">
        <v>45446</v>
      </c>
      <c r="C9518" s="1" t="n">
        <v>45710</v>
      </c>
      <c r="D9518" t="inlineStr">
        <is>
          <t>ÖSTERGÖTLANDS LÄN</t>
        </is>
      </c>
      <c r="E9518" t="inlineStr">
        <is>
          <t>FINSPÅNG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22291-2024</t>
        </is>
      </c>
      <c r="B9519" s="1" t="n">
        <v>45446</v>
      </c>
      <c r="C9519" s="1" t="n">
        <v>45710</v>
      </c>
      <c r="D9519" t="inlineStr">
        <is>
          <t>ÖSTERGÖTLANDS LÄN</t>
        </is>
      </c>
      <c r="E9519" t="inlineStr">
        <is>
          <t>MOTALA</t>
        </is>
      </c>
      <c r="F9519" t="inlineStr">
        <is>
          <t>Sveaskog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22286-2024</t>
        </is>
      </c>
      <c r="B9520" s="1" t="n">
        <v>45446</v>
      </c>
      <c r="C9520" s="1" t="n">
        <v>45710</v>
      </c>
      <c r="D9520" t="inlineStr">
        <is>
          <t>ÖSTERGÖTLANDS LÄN</t>
        </is>
      </c>
      <c r="E9520" t="inlineStr">
        <is>
          <t>MOTALA</t>
        </is>
      </c>
      <c r="F9520" t="inlineStr">
        <is>
          <t>Sveaskog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22322-2024</t>
        </is>
      </c>
      <c r="B9521" s="1" t="n">
        <v>45446</v>
      </c>
      <c r="C9521" s="1" t="n">
        <v>45710</v>
      </c>
      <c r="D9521" t="inlineStr">
        <is>
          <t>ÖSTERGÖTLANDS LÄN</t>
        </is>
      </c>
      <c r="E9521" t="inlineStr">
        <is>
          <t>NORRKÖPING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22284-2024</t>
        </is>
      </c>
      <c r="B9522" s="1" t="n">
        <v>45446</v>
      </c>
      <c r="C9522" s="1" t="n">
        <v>45710</v>
      </c>
      <c r="D9522" t="inlineStr">
        <is>
          <t>ÖSTERGÖTLANDS LÄN</t>
        </is>
      </c>
      <c r="E9522" t="inlineStr">
        <is>
          <t>MOTALA</t>
        </is>
      </c>
      <c r="F9522" t="inlineStr">
        <is>
          <t>Sveaskog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22188-2024</t>
        </is>
      </c>
      <c r="B9523" s="1" t="n">
        <v>45446</v>
      </c>
      <c r="C9523" s="1" t="n">
        <v>45710</v>
      </c>
      <c r="D9523" t="inlineStr">
        <is>
          <t>ÖSTERGÖTLANDS LÄN</t>
        </is>
      </c>
      <c r="E9523" t="inlineStr">
        <is>
          <t>NORRKÖPING</t>
        </is>
      </c>
      <c r="G9523" t="n">
        <v>3.3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22178-2024</t>
        </is>
      </c>
      <c r="B9524" s="1" t="n">
        <v>45446</v>
      </c>
      <c r="C9524" s="1" t="n">
        <v>45710</v>
      </c>
      <c r="D9524" t="inlineStr">
        <is>
          <t>ÖSTERGÖTLANDS LÄN</t>
        </is>
      </c>
      <c r="E9524" t="inlineStr">
        <is>
          <t>ÅTVIDABERG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22319-2024</t>
        </is>
      </c>
      <c r="B9525" s="1" t="n">
        <v>45446</v>
      </c>
      <c r="C9525" s="1" t="n">
        <v>45710</v>
      </c>
      <c r="D9525" t="inlineStr">
        <is>
          <t>ÖSTERGÖTLANDS LÄN</t>
        </is>
      </c>
      <c r="E9525" t="inlineStr">
        <is>
          <t>NORRKÖPING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22307-2024</t>
        </is>
      </c>
      <c r="B9526" s="1" t="n">
        <v>45446</v>
      </c>
      <c r="C9526" s="1" t="n">
        <v>45710</v>
      </c>
      <c r="D9526" t="inlineStr">
        <is>
          <t>ÖSTERGÖTLANDS LÄN</t>
        </is>
      </c>
      <c r="E9526" t="inlineStr">
        <is>
          <t>MJÖLBY</t>
        </is>
      </c>
      <c r="G9526" t="n">
        <v>2.3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22189-2024</t>
        </is>
      </c>
      <c r="B9527" s="1" t="n">
        <v>45446</v>
      </c>
      <c r="C9527" s="1" t="n">
        <v>45710</v>
      </c>
      <c r="D9527" t="inlineStr">
        <is>
          <t>ÖSTERGÖTLANDS LÄN</t>
        </is>
      </c>
      <c r="E9527" t="inlineStr">
        <is>
          <t>ÅTVIDABERG</t>
        </is>
      </c>
      <c r="F9527" t="inlineStr">
        <is>
          <t>Kyrkan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22579-2024</t>
        </is>
      </c>
      <c r="B9528" s="1" t="n">
        <v>45447</v>
      </c>
      <c r="C9528" s="1" t="n">
        <v>45710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22555-2024</t>
        </is>
      </c>
      <c r="B9529" s="1" t="n">
        <v>45447</v>
      </c>
      <c r="C9529" s="1" t="n">
        <v>45710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26.7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22638-2024</t>
        </is>
      </c>
      <c r="B9530" s="1" t="n">
        <v>45447</v>
      </c>
      <c r="C9530" s="1" t="n">
        <v>45710</v>
      </c>
      <c r="D9530" t="inlineStr">
        <is>
          <t>ÖSTERGÖTLANDS LÄN</t>
        </is>
      </c>
      <c r="E9530" t="inlineStr">
        <is>
          <t>NORRKÖPING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22613-2024</t>
        </is>
      </c>
      <c r="B9531" s="1" t="n">
        <v>45447</v>
      </c>
      <c r="C9531" s="1" t="n">
        <v>45710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22592-2024</t>
        </is>
      </c>
      <c r="B9532" s="1" t="n">
        <v>45447</v>
      </c>
      <c r="C9532" s="1" t="n">
        <v>45710</v>
      </c>
      <c r="D9532" t="inlineStr">
        <is>
          <t>ÖSTERGÖTLANDS LÄN</t>
        </is>
      </c>
      <c r="E9532" t="inlineStr">
        <is>
          <t>VALDEMARSVIK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22531-2024</t>
        </is>
      </c>
      <c r="B9533" s="1" t="n">
        <v>45447</v>
      </c>
      <c r="C9533" s="1" t="n">
        <v>45710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22497-2024</t>
        </is>
      </c>
      <c r="B9534" s="1" t="n">
        <v>45447</v>
      </c>
      <c r="C9534" s="1" t="n">
        <v>45710</v>
      </c>
      <c r="D9534" t="inlineStr">
        <is>
          <t>ÖSTERGÖTLANDS LÄN</t>
        </is>
      </c>
      <c r="E9534" t="inlineStr">
        <is>
          <t>ÅTVIDABERG</t>
        </is>
      </c>
      <c r="G9534" t="n">
        <v>3.4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22488-2024</t>
        </is>
      </c>
      <c r="B9535" s="1" t="n">
        <v>45447</v>
      </c>
      <c r="C9535" s="1" t="n">
        <v>45710</v>
      </c>
      <c r="D9535" t="inlineStr">
        <is>
          <t>ÖSTERGÖTLANDS LÄN</t>
        </is>
      </c>
      <c r="E9535" t="inlineStr">
        <is>
          <t>ÅTVIDABERG</t>
        </is>
      </c>
      <c r="G9535" t="n">
        <v>2.4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22512-2024</t>
        </is>
      </c>
      <c r="B9536" s="1" t="n">
        <v>45447</v>
      </c>
      <c r="C9536" s="1" t="n">
        <v>45710</v>
      </c>
      <c r="D9536" t="inlineStr">
        <is>
          <t>ÖSTERGÖTLANDS LÄN</t>
        </is>
      </c>
      <c r="E9536" t="inlineStr">
        <is>
          <t>SÖDERKÖPING</t>
        </is>
      </c>
      <c r="F9536" t="inlineStr">
        <is>
          <t>Kommuner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22602-2024</t>
        </is>
      </c>
      <c r="B9537" s="1" t="n">
        <v>45447</v>
      </c>
      <c r="C9537" s="1" t="n">
        <v>45710</v>
      </c>
      <c r="D9537" t="inlineStr">
        <is>
          <t>ÖSTERGÖTLANDS LÄN</t>
        </is>
      </c>
      <c r="E9537" t="inlineStr">
        <is>
          <t>VALDEMARSVIK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22698-2024</t>
        </is>
      </c>
      <c r="B9538" s="1" t="n">
        <v>45448</v>
      </c>
      <c r="C9538" s="1" t="n">
        <v>45710</v>
      </c>
      <c r="D9538" t="inlineStr">
        <is>
          <t>ÖSTERGÖTLANDS LÄN</t>
        </is>
      </c>
      <c r="E9538" t="inlineStr">
        <is>
          <t>VALDEMARSVIK</t>
        </is>
      </c>
      <c r="G9538" t="n">
        <v>3.3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22813-2024</t>
        </is>
      </c>
      <c r="B9539" s="1" t="n">
        <v>45448</v>
      </c>
      <c r="C9539" s="1" t="n">
        <v>45710</v>
      </c>
      <c r="D9539" t="inlineStr">
        <is>
          <t>ÖSTERGÖTLANDS LÄN</t>
        </is>
      </c>
      <c r="E9539" t="inlineStr">
        <is>
          <t>KINDA</t>
        </is>
      </c>
      <c r="F9539" t="inlineStr">
        <is>
          <t>Allmännings- och besparingsskogar</t>
        </is>
      </c>
      <c r="G9539" t="n">
        <v>6.8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22703-2024</t>
        </is>
      </c>
      <c r="B9540" s="1" t="n">
        <v>45448</v>
      </c>
      <c r="C9540" s="1" t="n">
        <v>45710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Allmännings- och besparingsskogar</t>
        </is>
      </c>
      <c r="G9540" t="n">
        <v>3.6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22707-2024</t>
        </is>
      </c>
      <c r="B9541" s="1" t="n">
        <v>45448</v>
      </c>
      <c r="C9541" s="1" t="n">
        <v>45710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Allmännings- och besparingsskogar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22771-2024</t>
        </is>
      </c>
      <c r="B9542" s="1" t="n">
        <v>45448</v>
      </c>
      <c r="C9542" s="1" t="n">
        <v>45710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Sveaskog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22770-2024</t>
        </is>
      </c>
      <c r="B9543" s="1" t="n">
        <v>45448</v>
      </c>
      <c r="C9543" s="1" t="n">
        <v>45710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Sveaskog</t>
        </is>
      </c>
      <c r="G9543" t="n">
        <v>3.4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22774-2024</t>
        </is>
      </c>
      <c r="B9544" s="1" t="n">
        <v>45448</v>
      </c>
      <c r="C9544" s="1" t="n">
        <v>45710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Sveaskog</t>
        </is>
      </c>
      <c r="G9544" t="n">
        <v>3.3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22778-2024</t>
        </is>
      </c>
      <c r="B9545" s="1" t="n">
        <v>45448</v>
      </c>
      <c r="C9545" s="1" t="n">
        <v>45710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Sveaskog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22772-2024</t>
        </is>
      </c>
      <c r="B9546" s="1" t="n">
        <v>45448</v>
      </c>
      <c r="C9546" s="1" t="n">
        <v>45710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22918-2024</t>
        </is>
      </c>
      <c r="B9547" s="1" t="n">
        <v>45448</v>
      </c>
      <c r="C9547" s="1" t="n">
        <v>45710</v>
      </c>
      <c r="D9547" t="inlineStr">
        <is>
          <t>ÖSTERGÖTLANDS LÄN</t>
        </is>
      </c>
      <c r="E9547" t="inlineStr">
        <is>
          <t>YDRE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22959-2024</t>
        </is>
      </c>
      <c r="B9548" s="1" t="n">
        <v>45449</v>
      </c>
      <c r="C9548" s="1" t="n">
        <v>45710</v>
      </c>
      <c r="D9548" t="inlineStr">
        <is>
          <t>ÖSTERGÖTLANDS LÄN</t>
        </is>
      </c>
      <c r="E9548" t="inlineStr">
        <is>
          <t>YDRE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23123-2024</t>
        </is>
      </c>
      <c r="B9549" s="1" t="n">
        <v>45450</v>
      </c>
      <c r="C9549" s="1" t="n">
        <v>45710</v>
      </c>
      <c r="D9549" t="inlineStr">
        <is>
          <t>ÖSTERGÖTLANDS LÄN</t>
        </is>
      </c>
      <c r="E9549" t="inlineStr">
        <is>
          <t>VALDEMARSVIK</t>
        </is>
      </c>
      <c r="G9549" t="n">
        <v>5.5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23190-2024</t>
        </is>
      </c>
      <c r="B9550" s="1" t="n">
        <v>45451</v>
      </c>
      <c r="C9550" s="1" t="n">
        <v>45710</v>
      </c>
      <c r="D9550" t="inlineStr">
        <is>
          <t>ÖSTERGÖTLANDS LÄN</t>
        </is>
      </c>
      <c r="E9550" t="inlineStr">
        <is>
          <t>NORRKÖPING</t>
        </is>
      </c>
      <c r="G9550" t="n">
        <v>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23192-2024</t>
        </is>
      </c>
      <c r="B9551" s="1" t="n">
        <v>45451</v>
      </c>
      <c r="C9551" s="1" t="n">
        <v>45710</v>
      </c>
      <c r="D9551" t="inlineStr">
        <is>
          <t>ÖSTERGÖTLANDS LÄN</t>
        </is>
      </c>
      <c r="E9551" t="inlineStr">
        <is>
          <t>NORRKÖPING</t>
        </is>
      </c>
      <c r="G9551" t="n">
        <v>3.9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23194-2024</t>
        </is>
      </c>
      <c r="B9552" s="1" t="n">
        <v>45451</v>
      </c>
      <c r="C9552" s="1" t="n">
        <v>45710</v>
      </c>
      <c r="D9552" t="inlineStr">
        <is>
          <t>ÖSTERGÖTLANDS LÄN</t>
        </is>
      </c>
      <c r="E9552" t="inlineStr">
        <is>
          <t>NORRKÖPING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23368-2024</t>
        </is>
      </c>
      <c r="B9553" s="1" t="n">
        <v>45453</v>
      </c>
      <c r="C9553" s="1" t="n">
        <v>45710</v>
      </c>
      <c r="D9553" t="inlineStr">
        <is>
          <t>ÖSTERGÖTLANDS LÄN</t>
        </is>
      </c>
      <c r="E9553" t="inlineStr">
        <is>
          <t>NORRKÖPING</t>
        </is>
      </c>
      <c r="G9553" t="n">
        <v>2.4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23372-2024</t>
        </is>
      </c>
      <c r="B9554" s="1" t="n">
        <v>45453</v>
      </c>
      <c r="C9554" s="1" t="n">
        <v>45710</v>
      </c>
      <c r="D9554" t="inlineStr">
        <is>
          <t>ÖSTERGÖTLANDS LÄN</t>
        </is>
      </c>
      <c r="E9554" t="inlineStr">
        <is>
          <t>YDRE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23380-2024</t>
        </is>
      </c>
      <c r="B9555" s="1" t="n">
        <v>45453</v>
      </c>
      <c r="C9555" s="1" t="n">
        <v>45710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Allmännings- och besparingsskogar</t>
        </is>
      </c>
      <c r="G9555" t="n">
        <v>6.6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23358-2024</t>
        </is>
      </c>
      <c r="B9556" s="1" t="n">
        <v>45453</v>
      </c>
      <c r="C9556" s="1" t="n">
        <v>45710</v>
      </c>
      <c r="D9556" t="inlineStr">
        <is>
          <t>ÖSTERGÖTLANDS LÄN</t>
        </is>
      </c>
      <c r="E9556" t="inlineStr">
        <is>
          <t>NORRKÖPING</t>
        </is>
      </c>
      <c r="G9556" t="n">
        <v>1.1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23362-2024</t>
        </is>
      </c>
      <c r="B9557" s="1" t="n">
        <v>45453</v>
      </c>
      <c r="C9557" s="1" t="n">
        <v>45710</v>
      </c>
      <c r="D9557" t="inlineStr">
        <is>
          <t>ÖSTERGÖTLANDS LÄN</t>
        </is>
      </c>
      <c r="E9557" t="inlineStr">
        <is>
          <t>YDRE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23366-2024</t>
        </is>
      </c>
      <c r="B9558" s="1" t="n">
        <v>45453</v>
      </c>
      <c r="C9558" s="1" t="n">
        <v>45710</v>
      </c>
      <c r="D9558" t="inlineStr">
        <is>
          <t>ÖSTERGÖTLANDS LÄN</t>
        </is>
      </c>
      <c r="E9558" t="inlineStr">
        <is>
          <t>NORRKÖPING</t>
        </is>
      </c>
      <c r="G9558" t="n">
        <v>5.4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23381-2024</t>
        </is>
      </c>
      <c r="B9559" s="1" t="n">
        <v>45453</v>
      </c>
      <c r="C9559" s="1" t="n">
        <v>45710</v>
      </c>
      <c r="D9559" t="inlineStr">
        <is>
          <t>ÖSTERGÖTLANDS LÄN</t>
        </is>
      </c>
      <c r="E9559" t="inlineStr">
        <is>
          <t>YDRE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23373-2024</t>
        </is>
      </c>
      <c r="B9560" s="1" t="n">
        <v>45453</v>
      </c>
      <c r="C9560" s="1" t="n">
        <v>45710</v>
      </c>
      <c r="D9560" t="inlineStr">
        <is>
          <t>ÖSTERGÖTLANDS LÄN</t>
        </is>
      </c>
      <c r="E9560" t="inlineStr">
        <is>
          <t>NORRKÖPING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23369-2024</t>
        </is>
      </c>
      <c r="B9561" s="1" t="n">
        <v>45453</v>
      </c>
      <c r="C9561" s="1" t="n">
        <v>45710</v>
      </c>
      <c r="D9561" t="inlineStr">
        <is>
          <t>ÖSTERGÖTLANDS LÄN</t>
        </is>
      </c>
      <c r="E9561" t="inlineStr">
        <is>
          <t>YDRE</t>
        </is>
      </c>
      <c r="G9561" t="n">
        <v>5.9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23349-2024</t>
        </is>
      </c>
      <c r="B9562" s="1" t="n">
        <v>45453</v>
      </c>
      <c r="C9562" s="1" t="n">
        <v>45710</v>
      </c>
      <c r="D9562" t="inlineStr">
        <is>
          <t>ÖSTERGÖTLANDS LÄN</t>
        </is>
      </c>
      <c r="E9562" t="inlineStr">
        <is>
          <t>NORRKÖPING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23304-2024</t>
        </is>
      </c>
      <c r="B9563" s="1" t="n">
        <v>45453</v>
      </c>
      <c r="C9563" s="1" t="n">
        <v>45710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Holmen skog AB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23269-2024</t>
        </is>
      </c>
      <c r="B9564" s="1" t="n">
        <v>45453</v>
      </c>
      <c r="C9564" s="1" t="n">
        <v>45710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Allmännings- och besparingsskogar</t>
        </is>
      </c>
      <c r="G9564" t="n">
        <v>8.800000000000001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23508-2024</t>
        </is>
      </c>
      <c r="B9565" s="1" t="n">
        <v>45453</v>
      </c>
      <c r="C9565" s="1" t="n">
        <v>45710</v>
      </c>
      <c r="D9565" t="inlineStr">
        <is>
          <t>ÖSTERGÖTLANDS LÄN</t>
        </is>
      </c>
      <c r="E9565" t="inlineStr">
        <is>
          <t>ÅTVIDABERG</t>
        </is>
      </c>
      <c r="G9565" t="n">
        <v>4.7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23491-2024</t>
        </is>
      </c>
      <c r="B9566" s="1" t="n">
        <v>45453</v>
      </c>
      <c r="C9566" s="1" t="n">
        <v>45710</v>
      </c>
      <c r="D9566" t="inlineStr">
        <is>
          <t>ÖSTERGÖTLANDS LÄN</t>
        </is>
      </c>
      <c r="E9566" t="inlineStr">
        <is>
          <t>LINKÖPING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23351-2024</t>
        </is>
      </c>
      <c r="B9567" s="1" t="n">
        <v>45453</v>
      </c>
      <c r="C9567" s="1" t="n">
        <v>45710</v>
      </c>
      <c r="D9567" t="inlineStr">
        <is>
          <t>ÖSTERGÖTLANDS LÄN</t>
        </is>
      </c>
      <c r="E9567" t="inlineStr">
        <is>
          <t>NORRKÖPING</t>
        </is>
      </c>
      <c r="G9567" t="n">
        <v>4.9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23290-2024</t>
        </is>
      </c>
      <c r="B9568" s="1" t="n">
        <v>45453</v>
      </c>
      <c r="C9568" s="1" t="n">
        <v>45710</v>
      </c>
      <c r="D9568" t="inlineStr">
        <is>
          <t>ÖSTERGÖTLANDS LÄN</t>
        </is>
      </c>
      <c r="E9568" t="inlineStr">
        <is>
          <t>KINDA</t>
        </is>
      </c>
      <c r="F9568" t="inlineStr">
        <is>
          <t>Kyrkan</t>
        </is>
      </c>
      <c r="G9568" t="n">
        <v>8.9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23611-2024</t>
        </is>
      </c>
      <c r="B9569" s="1" t="n">
        <v>45454</v>
      </c>
      <c r="C9569" s="1" t="n">
        <v>45710</v>
      </c>
      <c r="D9569" t="inlineStr">
        <is>
          <t>ÖSTERGÖTLANDS LÄN</t>
        </is>
      </c>
      <c r="E9569" t="inlineStr">
        <is>
          <t>FINSPÅNG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23609-2024</t>
        </is>
      </c>
      <c r="B9570" s="1" t="n">
        <v>45454</v>
      </c>
      <c r="C9570" s="1" t="n">
        <v>45710</v>
      </c>
      <c r="D9570" t="inlineStr">
        <is>
          <t>ÖSTERGÖTLANDS LÄN</t>
        </is>
      </c>
      <c r="E9570" t="inlineStr">
        <is>
          <t>FINSPÅNG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23580-2024</t>
        </is>
      </c>
      <c r="B9571" s="1" t="n">
        <v>45454</v>
      </c>
      <c r="C9571" s="1" t="n">
        <v>45710</v>
      </c>
      <c r="D9571" t="inlineStr">
        <is>
          <t>ÖSTERGÖTLANDS LÄN</t>
        </is>
      </c>
      <c r="E9571" t="inlineStr">
        <is>
          <t>MOTALA</t>
        </is>
      </c>
      <c r="G9571" t="n">
        <v>3.9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23916-2024</t>
        </is>
      </c>
      <c r="B9572" s="1" t="n">
        <v>45455</v>
      </c>
      <c r="C9572" s="1" t="n">
        <v>45710</v>
      </c>
      <c r="D9572" t="inlineStr">
        <is>
          <t>ÖSTERGÖTLANDS LÄN</t>
        </is>
      </c>
      <c r="E9572" t="inlineStr">
        <is>
          <t>FINSPÅNG</t>
        </is>
      </c>
      <c r="G9572" t="n">
        <v>2.6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23915-2024</t>
        </is>
      </c>
      <c r="B9573" s="1" t="n">
        <v>45455</v>
      </c>
      <c r="C9573" s="1" t="n">
        <v>45710</v>
      </c>
      <c r="D9573" t="inlineStr">
        <is>
          <t>ÖSTERGÖTLANDS LÄN</t>
        </is>
      </c>
      <c r="E9573" t="inlineStr">
        <is>
          <t>FINSPÅNG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24023-2024</t>
        </is>
      </c>
      <c r="B9574" s="1" t="n">
        <v>45456</v>
      </c>
      <c r="C9574" s="1" t="n">
        <v>45710</v>
      </c>
      <c r="D9574" t="inlineStr">
        <is>
          <t>ÖSTERGÖTLANDS LÄN</t>
        </is>
      </c>
      <c r="E9574" t="inlineStr">
        <is>
          <t>KINDA</t>
        </is>
      </c>
      <c r="G9574" t="n">
        <v>7.1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24076-2024</t>
        </is>
      </c>
      <c r="B9575" s="1" t="n">
        <v>45456</v>
      </c>
      <c r="C9575" s="1" t="n">
        <v>45710</v>
      </c>
      <c r="D9575" t="inlineStr">
        <is>
          <t>ÖSTERGÖTLANDS LÄN</t>
        </is>
      </c>
      <c r="E9575" t="inlineStr">
        <is>
          <t>KINDA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24110-2024</t>
        </is>
      </c>
      <c r="B9576" s="1" t="n">
        <v>45456</v>
      </c>
      <c r="C9576" s="1" t="n">
        <v>45710</v>
      </c>
      <c r="D9576" t="inlineStr">
        <is>
          <t>ÖSTERGÖTLANDS LÄN</t>
        </is>
      </c>
      <c r="E9576" t="inlineStr">
        <is>
          <t>KINDA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23994-2024</t>
        </is>
      </c>
      <c r="B9577" s="1" t="n">
        <v>45456</v>
      </c>
      <c r="C9577" s="1" t="n">
        <v>45710</v>
      </c>
      <c r="D9577" t="inlineStr">
        <is>
          <t>ÖSTERGÖTLANDS LÄN</t>
        </is>
      </c>
      <c r="E9577" t="inlineStr">
        <is>
          <t>FINSPÅNG</t>
        </is>
      </c>
      <c r="F9577" t="inlineStr">
        <is>
          <t>Naturvårdsverket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24015-2024</t>
        </is>
      </c>
      <c r="B9578" s="1" t="n">
        <v>45456</v>
      </c>
      <c r="C9578" s="1" t="n">
        <v>45710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24040-2024</t>
        </is>
      </c>
      <c r="B9579" s="1" t="n">
        <v>45456</v>
      </c>
      <c r="C9579" s="1" t="n">
        <v>45710</v>
      </c>
      <c r="D9579" t="inlineStr">
        <is>
          <t>ÖSTERGÖTLANDS LÄN</t>
        </is>
      </c>
      <c r="E9579" t="inlineStr">
        <is>
          <t>MOTALA</t>
        </is>
      </c>
      <c r="F9579" t="inlineStr">
        <is>
          <t>Allmännings- och besparingsskogar</t>
        </is>
      </c>
      <c r="G9579" t="n">
        <v>2.9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24103-2024</t>
        </is>
      </c>
      <c r="B9580" s="1" t="n">
        <v>45456</v>
      </c>
      <c r="C9580" s="1" t="n">
        <v>45710</v>
      </c>
      <c r="D9580" t="inlineStr">
        <is>
          <t>ÖSTERGÖTLANDS LÄN</t>
        </is>
      </c>
      <c r="E9580" t="inlineStr">
        <is>
          <t>NORRKÖPING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24111-2024</t>
        </is>
      </c>
      <c r="B9581" s="1" t="n">
        <v>45456</v>
      </c>
      <c r="C9581" s="1" t="n">
        <v>45710</v>
      </c>
      <c r="D9581" t="inlineStr">
        <is>
          <t>ÖSTERGÖTLANDS LÄN</t>
        </is>
      </c>
      <c r="E9581" t="inlineStr">
        <is>
          <t>KINDA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24152-2024</t>
        </is>
      </c>
      <c r="B9582" s="1" t="n">
        <v>45456</v>
      </c>
      <c r="C9582" s="1" t="n">
        <v>45710</v>
      </c>
      <c r="D9582" t="inlineStr">
        <is>
          <t>ÖSTERGÖTLANDS LÄN</t>
        </is>
      </c>
      <c r="E9582" t="inlineStr">
        <is>
          <t>KINDA</t>
        </is>
      </c>
      <c r="G9582" t="n">
        <v>0.9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24012-2024</t>
        </is>
      </c>
      <c r="B9583" s="1" t="n">
        <v>45456</v>
      </c>
      <c r="C9583" s="1" t="n">
        <v>45710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0.5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24049-2024</t>
        </is>
      </c>
      <c r="B9584" s="1" t="n">
        <v>45456</v>
      </c>
      <c r="C9584" s="1" t="n">
        <v>45710</v>
      </c>
      <c r="D9584" t="inlineStr">
        <is>
          <t>ÖSTERGÖTLANDS LÄN</t>
        </is>
      </c>
      <c r="E9584" t="inlineStr">
        <is>
          <t>VALDEMARSVIK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24104-2024</t>
        </is>
      </c>
      <c r="B9585" s="1" t="n">
        <v>45456</v>
      </c>
      <c r="C9585" s="1" t="n">
        <v>45710</v>
      </c>
      <c r="D9585" t="inlineStr">
        <is>
          <t>ÖSTERGÖTLANDS LÄN</t>
        </is>
      </c>
      <c r="E9585" t="inlineStr">
        <is>
          <t>NORRKÖPING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24018-2024</t>
        </is>
      </c>
      <c r="B9586" s="1" t="n">
        <v>45456</v>
      </c>
      <c r="C9586" s="1" t="n">
        <v>45710</v>
      </c>
      <c r="D9586" t="inlineStr">
        <is>
          <t>ÖSTERGÖTLANDS LÄN</t>
        </is>
      </c>
      <c r="E9586" t="inlineStr">
        <is>
          <t>FINSPÅNG</t>
        </is>
      </c>
      <c r="F9586" t="inlineStr">
        <is>
          <t>Holmen skog AB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24038-2024</t>
        </is>
      </c>
      <c r="B9587" s="1" t="n">
        <v>45456</v>
      </c>
      <c r="C9587" s="1" t="n">
        <v>45710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Allmännings- och besparingsskogar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24150-2024</t>
        </is>
      </c>
      <c r="B9588" s="1" t="n">
        <v>45456</v>
      </c>
      <c r="C9588" s="1" t="n">
        <v>45710</v>
      </c>
      <c r="D9588" t="inlineStr">
        <is>
          <t>ÖSTERGÖTLANDS LÄN</t>
        </is>
      </c>
      <c r="E9588" t="inlineStr">
        <is>
          <t>KINDA</t>
        </is>
      </c>
      <c r="G9588" t="n">
        <v>0.5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24151-2024</t>
        </is>
      </c>
      <c r="B9589" s="1" t="n">
        <v>45456</v>
      </c>
      <c r="C9589" s="1" t="n">
        <v>45710</v>
      </c>
      <c r="D9589" t="inlineStr">
        <is>
          <t>ÖSTERGÖTLANDS LÄN</t>
        </is>
      </c>
      <c r="E9589" t="inlineStr">
        <is>
          <t>LINKÖPING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24298-2024</t>
        </is>
      </c>
      <c r="B9590" s="1" t="n">
        <v>45457</v>
      </c>
      <c r="C9590" s="1" t="n">
        <v>45710</v>
      </c>
      <c r="D9590" t="inlineStr">
        <is>
          <t>ÖSTERGÖTLANDS LÄN</t>
        </is>
      </c>
      <c r="E9590" t="inlineStr">
        <is>
          <t>ÅTVIDABERG</t>
        </is>
      </c>
      <c r="F9590" t="inlineStr">
        <is>
          <t>Sveaskog</t>
        </is>
      </c>
      <c r="G9590" t="n">
        <v>2.2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24354-2024</t>
        </is>
      </c>
      <c r="B9591" s="1" t="n">
        <v>45457</v>
      </c>
      <c r="C9591" s="1" t="n">
        <v>45710</v>
      </c>
      <c r="D9591" t="inlineStr">
        <is>
          <t>ÖSTERGÖTLANDS LÄN</t>
        </is>
      </c>
      <c r="E9591" t="inlineStr">
        <is>
          <t>NORRKÖPING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24394-2024</t>
        </is>
      </c>
      <c r="B9592" s="1" t="n">
        <v>45457</v>
      </c>
      <c r="C9592" s="1" t="n">
        <v>45710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Allmännings- och besparingsskogar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24398-2024</t>
        </is>
      </c>
      <c r="B9593" s="1" t="n">
        <v>45457</v>
      </c>
      <c r="C9593" s="1" t="n">
        <v>45710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Allmännings- och besparingsskogar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24373-2024</t>
        </is>
      </c>
      <c r="B9594" s="1" t="n">
        <v>45457</v>
      </c>
      <c r="C9594" s="1" t="n">
        <v>45710</v>
      </c>
      <c r="D9594" t="inlineStr">
        <is>
          <t>ÖSTERGÖTLANDS LÄN</t>
        </is>
      </c>
      <c r="E9594" t="inlineStr">
        <is>
          <t>NORRKÖPING</t>
        </is>
      </c>
      <c r="F9594" t="inlineStr">
        <is>
          <t>Kyrkan</t>
        </is>
      </c>
      <c r="G9594" t="n">
        <v>5.1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24397-2024</t>
        </is>
      </c>
      <c r="B9595" s="1" t="n">
        <v>45457</v>
      </c>
      <c r="C9595" s="1" t="n">
        <v>45710</v>
      </c>
      <c r="D9595" t="inlineStr">
        <is>
          <t>ÖSTERGÖTLANDS LÄN</t>
        </is>
      </c>
      <c r="E9595" t="inlineStr">
        <is>
          <t>NORRKÖPING</t>
        </is>
      </c>
      <c r="F9595" t="inlineStr">
        <is>
          <t>Kyrkan</t>
        </is>
      </c>
      <c r="G9595" t="n">
        <v>1.6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24408-2024</t>
        </is>
      </c>
      <c r="B9596" s="1" t="n">
        <v>45457</v>
      </c>
      <c r="C9596" s="1" t="n">
        <v>45710</v>
      </c>
      <c r="D9596" t="inlineStr">
        <is>
          <t>ÖSTERGÖTLANDS LÄN</t>
        </is>
      </c>
      <c r="E9596" t="inlineStr">
        <is>
          <t>NORRKÖPING</t>
        </is>
      </c>
      <c r="F9596" t="inlineStr">
        <is>
          <t>Kyrkan</t>
        </is>
      </c>
      <c r="G9596" t="n">
        <v>3.2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24412-2024</t>
        </is>
      </c>
      <c r="B9597" s="1" t="n">
        <v>45457</v>
      </c>
      <c r="C9597" s="1" t="n">
        <v>45710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Allmännings- och besparingsskogar</t>
        </is>
      </c>
      <c r="G9597" t="n">
        <v>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24351-2024</t>
        </is>
      </c>
      <c r="B9598" s="1" t="n">
        <v>45457</v>
      </c>
      <c r="C9598" s="1" t="n">
        <v>45710</v>
      </c>
      <c r="D9598" t="inlineStr">
        <is>
          <t>ÖSTERGÖTLANDS LÄN</t>
        </is>
      </c>
      <c r="E9598" t="inlineStr">
        <is>
          <t>LINKÖPING</t>
        </is>
      </c>
      <c r="G9598" t="n">
        <v>11.9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24692-2024</t>
        </is>
      </c>
      <c r="B9599" s="1" t="n">
        <v>45460</v>
      </c>
      <c r="C9599" s="1" t="n">
        <v>45710</v>
      </c>
      <c r="D9599" t="inlineStr">
        <is>
          <t>ÖSTERGÖTLANDS LÄN</t>
        </is>
      </c>
      <c r="E9599" t="inlineStr">
        <is>
          <t>MOTALA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24701-2024</t>
        </is>
      </c>
      <c r="B9600" s="1" t="n">
        <v>45460</v>
      </c>
      <c r="C9600" s="1" t="n">
        <v>45710</v>
      </c>
      <c r="D9600" t="inlineStr">
        <is>
          <t>ÖSTERGÖTLANDS LÄN</t>
        </is>
      </c>
      <c r="E9600" t="inlineStr">
        <is>
          <t>MOTALA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24693-2024</t>
        </is>
      </c>
      <c r="B9601" s="1" t="n">
        <v>45460</v>
      </c>
      <c r="C9601" s="1" t="n">
        <v>45710</v>
      </c>
      <c r="D9601" t="inlineStr">
        <is>
          <t>ÖSTERGÖTLANDS LÄN</t>
        </is>
      </c>
      <c r="E9601" t="inlineStr">
        <is>
          <t>YDRE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24689-2024</t>
        </is>
      </c>
      <c r="B9602" s="1" t="n">
        <v>45460</v>
      </c>
      <c r="C9602" s="1" t="n">
        <v>45710</v>
      </c>
      <c r="D9602" t="inlineStr">
        <is>
          <t>ÖSTERGÖTLANDS LÄN</t>
        </is>
      </c>
      <c r="E9602" t="inlineStr">
        <is>
          <t>YDRE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24672-2024</t>
        </is>
      </c>
      <c r="B9603" s="1" t="n">
        <v>45460</v>
      </c>
      <c r="C9603" s="1" t="n">
        <v>45710</v>
      </c>
      <c r="D9603" t="inlineStr">
        <is>
          <t>ÖSTERGÖTLANDS LÄN</t>
        </is>
      </c>
      <c r="E9603" t="inlineStr">
        <is>
          <t>VALDEMARSVIK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24508-2024</t>
        </is>
      </c>
      <c r="B9604" s="1" t="n">
        <v>45460</v>
      </c>
      <c r="C9604" s="1" t="n">
        <v>45710</v>
      </c>
      <c r="D9604" t="inlineStr">
        <is>
          <t>ÖSTERGÖTLANDS LÄN</t>
        </is>
      </c>
      <c r="E9604" t="inlineStr">
        <is>
          <t>BOXHOLM</t>
        </is>
      </c>
      <c r="G9604" t="n">
        <v>0.4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24586-2024</t>
        </is>
      </c>
      <c r="B9605" s="1" t="n">
        <v>45460</v>
      </c>
      <c r="C9605" s="1" t="n">
        <v>45710</v>
      </c>
      <c r="D9605" t="inlineStr">
        <is>
          <t>ÖSTERGÖTLANDS LÄN</t>
        </is>
      </c>
      <c r="E9605" t="inlineStr">
        <is>
          <t>LINKÖPING</t>
        </is>
      </c>
      <c r="G9605" t="n">
        <v>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24637-2024</t>
        </is>
      </c>
      <c r="B9606" s="1" t="n">
        <v>45460</v>
      </c>
      <c r="C9606" s="1" t="n">
        <v>45710</v>
      </c>
      <c r="D9606" t="inlineStr">
        <is>
          <t>ÖSTERGÖTLANDS LÄN</t>
        </is>
      </c>
      <c r="E9606" t="inlineStr">
        <is>
          <t>YDRE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24510-2024</t>
        </is>
      </c>
      <c r="B9607" s="1" t="n">
        <v>45460</v>
      </c>
      <c r="C9607" s="1" t="n">
        <v>45710</v>
      </c>
      <c r="D9607" t="inlineStr">
        <is>
          <t>ÖSTERGÖTLANDS LÄN</t>
        </is>
      </c>
      <c r="E9607" t="inlineStr">
        <is>
          <t>BOXHOLM</t>
        </is>
      </c>
      <c r="G9607" t="n">
        <v>0.5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24690-2024</t>
        </is>
      </c>
      <c r="B9608" s="1" t="n">
        <v>45460</v>
      </c>
      <c r="C9608" s="1" t="n">
        <v>45710</v>
      </c>
      <c r="D9608" t="inlineStr">
        <is>
          <t>ÖSTERGÖTLANDS LÄN</t>
        </is>
      </c>
      <c r="E9608" t="inlineStr">
        <is>
          <t>MOTALA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24935-2024</t>
        </is>
      </c>
      <c r="B9609" s="1" t="n">
        <v>45461</v>
      </c>
      <c r="C9609" s="1" t="n">
        <v>45710</v>
      </c>
      <c r="D9609" t="inlineStr">
        <is>
          <t>ÖSTERGÖTLANDS LÄN</t>
        </is>
      </c>
      <c r="E9609" t="inlineStr">
        <is>
          <t>ÅTVIDABERG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24842-2024</t>
        </is>
      </c>
      <c r="B9610" s="1" t="n">
        <v>45461</v>
      </c>
      <c r="C9610" s="1" t="n">
        <v>45710</v>
      </c>
      <c r="D9610" t="inlineStr">
        <is>
          <t>ÖSTERGÖTLANDS LÄN</t>
        </is>
      </c>
      <c r="E9610" t="inlineStr">
        <is>
          <t>KINDA</t>
        </is>
      </c>
      <c r="G9610" t="n">
        <v>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24841-2024</t>
        </is>
      </c>
      <c r="B9611" s="1" t="n">
        <v>45461</v>
      </c>
      <c r="C9611" s="1" t="n">
        <v>45710</v>
      </c>
      <c r="D9611" t="inlineStr">
        <is>
          <t>ÖSTERGÖTLANDS LÄN</t>
        </is>
      </c>
      <c r="E9611" t="inlineStr">
        <is>
          <t>KINDA</t>
        </is>
      </c>
      <c r="G9611" t="n">
        <v>3.1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24839-2024</t>
        </is>
      </c>
      <c r="B9612" s="1" t="n">
        <v>45461</v>
      </c>
      <c r="C9612" s="1" t="n">
        <v>45710</v>
      </c>
      <c r="D9612" t="inlineStr">
        <is>
          <t>ÖSTERGÖTLANDS LÄN</t>
        </is>
      </c>
      <c r="E9612" t="inlineStr">
        <is>
          <t>KINDA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24843-2024</t>
        </is>
      </c>
      <c r="B9613" s="1" t="n">
        <v>45461</v>
      </c>
      <c r="C9613" s="1" t="n">
        <v>45710</v>
      </c>
      <c r="D9613" t="inlineStr">
        <is>
          <t>ÖSTERGÖTLANDS LÄN</t>
        </is>
      </c>
      <c r="E9613" t="inlineStr">
        <is>
          <t>KINDA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24904-2024</t>
        </is>
      </c>
      <c r="B9614" s="1" t="n">
        <v>45461</v>
      </c>
      <c r="C9614" s="1" t="n">
        <v>45710</v>
      </c>
      <c r="D9614" t="inlineStr">
        <is>
          <t>ÖSTERGÖTLANDS LÄN</t>
        </is>
      </c>
      <c r="E9614" t="inlineStr">
        <is>
          <t>LINKÖPING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24844-2024</t>
        </is>
      </c>
      <c r="B9615" s="1" t="n">
        <v>45461</v>
      </c>
      <c r="C9615" s="1" t="n">
        <v>45710</v>
      </c>
      <c r="D9615" t="inlineStr">
        <is>
          <t>ÖSTERGÖTLANDS LÄN</t>
        </is>
      </c>
      <c r="E9615" t="inlineStr">
        <is>
          <t>KINDA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25212-2024</t>
        </is>
      </c>
      <c r="B9616" s="1" t="n">
        <v>45462</v>
      </c>
      <c r="C9616" s="1" t="n">
        <v>45710</v>
      </c>
      <c r="D9616" t="inlineStr">
        <is>
          <t>ÖSTERGÖTLANDS LÄN</t>
        </is>
      </c>
      <c r="E9616" t="inlineStr">
        <is>
          <t>KINDA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  <c r="U9616">
        <f>HYPERLINK("https://klasma.github.io/Logging_0513/knärot/A 25212-2024 karta knärot.png", "A 25212-2024")</f>
        <v/>
      </c>
      <c r="V9616">
        <f>HYPERLINK("https://klasma.github.io/Logging_0513/klagomål/A 25212-2024 FSC-klagomål.docx", "A 25212-2024")</f>
        <v/>
      </c>
      <c r="W9616">
        <f>HYPERLINK("https://klasma.github.io/Logging_0513/klagomålsmail/A 25212-2024 FSC-klagomål mail.docx", "A 25212-2024")</f>
        <v/>
      </c>
      <c r="X9616">
        <f>HYPERLINK("https://klasma.github.io/Logging_0513/tillsyn/A 25212-2024 tillsynsbegäran.docx", "A 25212-2024")</f>
        <v/>
      </c>
      <c r="Y9616">
        <f>HYPERLINK("https://klasma.github.io/Logging_0513/tillsynsmail/A 25212-2024 tillsynsbegäran mail.docx", "A 25212-2024")</f>
        <v/>
      </c>
    </row>
    <row r="9617" ht="15" customHeight="1">
      <c r="A9617" t="inlineStr">
        <is>
          <t>A 25307-2024</t>
        </is>
      </c>
      <c r="B9617" s="1" t="n">
        <v>45462</v>
      </c>
      <c r="C9617" s="1" t="n">
        <v>45710</v>
      </c>
      <c r="D9617" t="inlineStr">
        <is>
          <t>ÖSTERGÖTLANDS LÄN</t>
        </is>
      </c>
      <c r="E9617" t="inlineStr">
        <is>
          <t>BOXHOLM</t>
        </is>
      </c>
      <c r="F9617" t="inlineStr">
        <is>
          <t>Övriga Aktiebolag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25279-2024</t>
        </is>
      </c>
      <c r="B9618" s="1" t="n">
        <v>45462</v>
      </c>
      <c r="C9618" s="1" t="n">
        <v>45710</v>
      </c>
      <c r="D9618" t="inlineStr">
        <is>
          <t>ÖSTERGÖTLANDS LÄN</t>
        </is>
      </c>
      <c r="E9618" t="inlineStr">
        <is>
          <t>BOXHOLM</t>
        </is>
      </c>
      <c r="F9618" t="inlineStr">
        <is>
          <t>Övriga Aktiebolag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25162-2024</t>
        </is>
      </c>
      <c r="B9619" s="1" t="n">
        <v>45462</v>
      </c>
      <c r="C9619" s="1" t="n">
        <v>45710</v>
      </c>
      <c r="D9619" t="inlineStr">
        <is>
          <t>ÖSTERGÖTLANDS LÄN</t>
        </is>
      </c>
      <c r="E9619" t="inlineStr">
        <is>
          <t>KINDA</t>
        </is>
      </c>
      <c r="F9619" t="inlineStr">
        <is>
          <t>Kommuner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25150-2024</t>
        </is>
      </c>
      <c r="B9620" s="1" t="n">
        <v>45462</v>
      </c>
      <c r="C9620" s="1" t="n">
        <v>45710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Kommuner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25191-2024</t>
        </is>
      </c>
      <c r="B9621" s="1" t="n">
        <v>45462</v>
      </c>
      <c r="C9621" s="1" t="n">
        <v>45710</v>
      </c>
      <c r="D9621" t="inlineStr">
        <is>
          <t>ÖSTERGÖTLANDS LÄN</t>
        </is>
      </c>
      <c r="E9621" t="inlineStr">
        <is>
          <t>KINDA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25127-2024</t>
        </is>
      </c>
      <c r="B9622" s="1" t="n">
        <v>45462</v>
      </c>
      <c r="C9622" s="1" t="n">
        <v>45710</v>
      </c>
      <c r="D9622" t="inlineStr">
        <is>
          <t>ÖSTERGÖTLANDS LÄN</t>
        </is>
      </c>
      <c r="E9622" t="inlineStr">
        <is>
          <t>BOXHOLM</t>
        </is>
      </c>
      <c r="F9622" t="inlineStr">
        <is>
          <t>Övriga Aktiebolag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25679-2024</t>
        </is>
      </c>
      <c r="B9623" s="1" t="n">
        <v>45463</v>
      </c>
      <c r="C9623" s="1" t="n">
        <v>45710</v>
      </c>
      <c r="D9623" t="inlineStr">
        <is>
          <t>ÖSTERGÖTLANDS LÄN</t>
        </is>
      </c>
      <c r="E9623" t="inlineStr">
        <is>
          <t>FINSPÅNG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25568-2024</t>
        </is>
      </c>
      <c r="B9624" s="1" t="n">
        <v>45463</v>
      </c>
      <c r="C9624" s="1" t="n">
        <v>45710</v>
      </c>
      <c r="D9624" t="inlineStr">
        <is>
          <t>ÖSTERGÖTLANDS LÄN</t>
        </is>
      </c>
      <c r="E9624" t="inlineStr">
        <is>
          <t>LINKÖPING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25678-2024</t>
        </is>
      </c>
      <c r="B9625" s="1" t="n">
        <v>45463</v>
      </c>
      <c r="C9625" s="1" t="n">
        <v>45710</v>
      </c>
      <c r="D9625" t="inlineStr">
        <is>
          <t>ÖSTERGÖTLANDS LÄN</t>
        </is>
      </c>
      <c r="E9625" t="inlineStr">
        <is>
          <t>FINSPÅNG</t>
        </is>
      </c>
      <c r="G9625" t="n">
        <v>4.5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25621-2024</t>
        </is>
      </c>
      <c r="B9626" s="1" t="n">
        <v>45463</v>
      </c>
      <c r="C9626" s="1" t="n">
        <v>45710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25419-2024</t>
        </is>
      </c>
      <c r="B9627" s="1" t="n">
        <v>45463</v>
      </c>
      <c r="C9627" s="1" t="n">
        <v>45710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25778-2024</t>
        </is>
      </c>
      <c r="B9628" s="1" t="n">
        <v>45466</v>
      </c>
      <c r="C9628" s="1" t="n">
        <v>45710</v>
      </c>
      <c r="D9628" t="inlineStr">
        <is>
          <t>ÖSTERGÖTLANDS LÄN</t>
        </is>
      </c>
      <c r="E9628" t="inlineStr">
        <is>
          <t>LINKÖPING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25780-2024</t>
        </is>
      </c>
      <c r="B9629" s="1" t="n">
        <v>45466</v>
      </c>
      <c r="C9629" s="1" t="n">
        <v>45710</v>
      </c>
      <c r="D9629" t="inlineStr">
        <is>
          <t>ÖSTERGÖTLANDS LÄN</t>
        </is>
      </c>
      <c r="E9629" t="inlineStr">
        <is>
          <t>LINKÖPING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25824-2024</t>
        </is>
      </c>
      <c r="B9630" s="1" t="n">
        <v>45467</v>
      </c>
      <c r="C9630" s="1" t="n">
        <v>45710</v>
      </c>
      <c r="D9630" t="inlineStr">
        <is>
          <t>ÖSTERGÖTLANDS LÄN</t>
        </is>
      </c>
      <c r="E9630" t="inlineStr">
        <is>
          <t>FINSPÅNG</t>
        </is>
      </c>
      <c r="F9630" t="inlineStr">
        <is>
          <t>Holmen skog AB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25834-2024</t>
        </is>
      </c>
      <c r="B9631" s="1" t="n">
        <v>45467</v>
      </c>
      <c r="C9631" s="1" t="n">
        <v>45710</v>
      </c>
      <c r="D9631" t="inlineStr">
        <is>
          <t>ÖSTERGÖTLANDS LÄN</t>
        </is>
      </c>
      <c r="E9631" t="inlineStr">
        <is>
          <t>YDRE</t>
        </is>
      </c>
      <c r="F9631" t="inlineStr">
        <is>
          <t>Övriga Aktiebolag</t>
        </is>
      </c>
      <c r="G9631" t="n">
        <v>4.6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25830-2024</t>
        </is>
      </c>
      <c r="B9632" s="1" t="n">
        <v>45467</v>
      </c>
      <c r="C9632" s="1" t="n">
        <v>45710</v>
      </c>
      <c r="D9632" t="inlineStr">
        <is>
          <t>ÖSTERGÖTLANDS LÄN</t>
        </is>
      </c>
      <c r="E9632" t="inlineStr">
        <is>
          <t>FINSPÅNG</t>
        </is>
      </c>
      <c r="F9632" t="inlineStr">
        <is>
          <t>Holmen skog AB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25877-2024</t>
        </is>
      </c>
      <c r="B9633" s="1" t="n">
        <v>45467</v>
      </c>
      <c r="C9633" s="1" t="n">
        <v>45710</v>
      </c>
      <c r="D9633" t="inlineStr">
        <is>
          <t>ÖSTERGÖTLANDS LÄN</t>
        </is>
      </c>
      <c r="E9633" t="inlineStr">
        <is>
          <t>FINSPÅNG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25881-2024</t>
        </is>
      </c>
      <c r="B9634" s="1" t="n">
        <v>45467</v>
      </c>
      <c r="C9634" s="1" t="n">
        <v>45710</v>
      </c>
      <c r="D9634" t="inlineStr">
        <is>
          <t>ÖSTERGÖTLANDS LÄN</t>
        </is>
      </c>
      <c r="E9634" t="inlineStr">
        <is>
          <t>FINSPÅNG</t>
        </is>
      </c>
      <c r="G9634" t="n">
        <v>3.8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25885-2024</t>
        </is>
      </c>
      <c r="B9635" s="1" t="n">
        <v>45467</v>
      </c>
      <c r="C9635" s="1" t="n">
        <v>45710</v>
      </c>
      <c r="D9635" t="inlineStr">
        <is>
          <t>ÖSTERGÖTLANDS LÄN</t>
        </is>
      </c>
      <c r="E9635" t="inlineStr">
        <is>
          <t>FINSPÅNG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25909-2024</t>
        </is>
      </c>
      <c r="B9636" s="1" t="n">
        <v>45467</v>
      </c>
      <c r="C9636" s="1" t="n">
        <v>45710</v>
      </c>
      <c r="D9636" t="inlineStr">
        <is>
          <t>ÖSTERGÖTLANDS LÄN</t>
        </is>
      </c>
      <c r="E9636" t="inlineStr">
        <is>
          <t>LINKÖPING</t>
        </is>
      </c>
      <c r="G9636" t="n">
        <v>5.1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25946-2024</t>
        </is>
      </c>
      <c r="B9637" s="1" t="n">
        <v>45467</v>
      </c>
      <c r="C9637" s="1" t="n">
        <v>45710</v>
      </c>
      <c r="D9637" t="inlineStr">
        <is>
          <t>ÖSTERGÖTLANDS LÄN</t>
        </is>
      </c>
      <c r="E9637" t="inlineStr">
        <is>
          <t>VALDEMARSVIK</t>
        </is>
      </c>
      <c r="G9637" t="n">
        <v>4.6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25944-2024</t>
        </is>
      </c>
      <c r="B9638" s="1" t="n">
        <v>45467</v>
      </c>
      <c r="C9638" s="1" t="n">
        <v>45710</v>
      </c>
      <c r="D9638" t="inlineStr">
        <is>
          <t>ÖSTERGÖTLANDS LÄN</t>
        </is>
      </c>
      <c r="E9638" t="inlineStr">
        <is>
          <t>BOXHOLM</t>
        </is>
      </c>
      <c r="G9638" t="n">
        <v>7.1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25937-2024</t>
        </is>
      </c>
      <c r="B9639" s="1" t="n">
        <v>45467</v>
      </c>
      <c r="C9639" s="1" t="n">
        <v>45710</v>
      </c>
      <c r="D9639" t="inlineStr">
        <is>
          <t>ÖSTERGÖTLANDS LÄN</t>
        </is>
      </c>
      <c r="E9639" t="inlineStr">
        <is>
          <t>BOXHOLM</t>
        </is>
      </c>
      <c r="G9639" t="n">
        <v>10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25950-2024</t>
        </is>
      </c>
      <c r="B9640" s="1" t="n">
        <v>45467</v>
      </c>
      <c r="C9640" s="1" t="n">
        <v>45710</v>
      </c>
      <c r="D9640" t="inlineStr">
        <is>
          <t>ÖSTERGÖTLANDS LÄN</t>
        </is>
      </c>
      <c r="E9640" t="inlineStr">
        <is>
          <t>VALDEMARSVIK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26294-2024</t>
        </is>
      </c>
      <c r="B9641" s="1" t="n">
        <v>45468</v>
      </c>
      <c r="C9641" s="1" t="n">
        <v>45710</v>
      </c>
      <c r="D9641" t="inlineStr">
        <is>
          <t>ÖSTERGÖTLANDS LÄN</t>
        </is>
      </c>
      <c r="E9641" t="inlineStr">
        <is>
          <t>NORRKÖPING</t>
        </is>
      </c>
      <c r="G9641" t="n">
        <v>4.7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26237-2024</t>
        </is>
      </c>
      <c r="B9642" s="1" t="n">
        <v>45468</v>
      </c>
      <c r="C9642" s="1" t="n">
        <v>45710</v>
      </c>
      <c r="D9642" t="inlineStr">
        <is>
          <t>ÖSTERGÖTLANDS LÄN</t>
        </is>
      </c>
      <c r="E9642" t="inlineStr">
        <is>
          <t>KINDA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26203-2024</t>
        </is>
      </c>
      <c r="B9643" s="1" t="n">
        <v>45468</v>
      </c>
      <c r="C9643" s="1" t="n">
        <v>45710</v>
      </c>
      <c r="D9643" t="inlineStr">
        <is>
          <t>ÖSTERGÖTLANDS LÄN</t>
        </is>
      </c>
      <c r="E9643" t="inlineStr">
        <is>
          <t>BOXHOLM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26327-2024</t>
        </is>
      </c>
      <c r="B9644" s="1" t="n">
        <v>45469</v>
      </c>
      <c r="C9644" s="1" t="n">
        <v>45710</v>
      </c>
      <c r="D9644" t="inlineStr">
        <is>
          <t>ÖSTERGÖTLANDS LÄN</t>
        </is>
      </c>
      <c r="E9644" t="inlineStr">
        <is>
          <t>BOXHOLM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26195-2024</t>
        </is>
      </c>
      <c r="B9645" s="1" t="n">
        <v>45468</v>
      </c>
      <c r="C9645" s="1" t="n">
        <v>45710</v>
      </c>
      <c r="D9645" t="inlineStr">
        <is>
          <t>ÖSTERGÖTLANDS LÄN</t>
        </is>
      </c>
      <c r="E9645" t="inlineStr">
        <is>
          <t>FINSPÅNG</t>
        </is>
      </c>
      <c r="F9645" t="inlineStr">
        <is>
          <t>Holmen skog AB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26240-2024</t>
        </is>
      </c>
      <c r="B9646" s="1" t="n">
        <v>45468</v>
      </c>
      <c r="C9646" s="1" t="n">
        <v>45710</v>
      </c>
      <c r="D9646" t="inlineStr">
        <is>
          <t>ÖSTERGÖTLANDS LÄN</t>
        </is>
      </c>
      <c r="E9646" t="inlineStr">
        <is>
          <t>ÅTVIDABERG</t>
        </is>
      </c>
      <c r="G9646" t="n">
        <v>2.3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26146-2024</t>
        </is>
      </c>
      <c r="B9647" s="1" t="n">
        <v>45468</v>
      </c>
      <c r="C9647" s="1" t="n">
        <v>45710</v>
      </c>
      <c r="D9647" t="inlineStr">
        <is>
          <t>ÖSTERGÖTLANDS LÄN</t>
        </is>
      </c>
      <c r="E9647" t="inlineStr">
        <is>
          <t>KINDA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26132-2024</t>
        </is>
      </c>
      <c r="B9648" s="1" t="n">
        <v>45468</v>
      </c>
      <c r="C9648" s="1" t="n">
        <v>45710</v>
      </c>
      <c r="D9648" t="inlineStr">
        <is>
          <t>ÖSTERGÖTLANDS LÄN</t>
        </is>
      </c>
      <c r="E9648" t="inlineStr">
        <is>
          <t>NORRKÖPING</t>
        </is>
      </c>
      <c r="G9648" t="n">
        <v>2.9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26101-2024</t>
        </is>
      </c>
      <c r="B9649" s="1" t="n">
        <v>45468</v>
      </c>
      <c r="C9649" s="1" t="n">
        <v>45710</v>
      </c>
      <c r="D9649" t="inlineStr">
        <is>
          <t>ÖSTERGÖTLANDS LÄN</t>
        </is>
      </c>
      <c r="E9649" t="inlineStr">
        <is>
          <t>YDRE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26093-2024</t>
        </is>
      </c>
      <c r="B9650" s="1" t="n">
        <v>45468</v>
      </c>
      <c r="C9650" s="1" t="n">
        <v>45710</v>
      </c>
      <c r="D9650" t="inlineStr">
        <is>
          <t>ÖSTERGÖTLANDS LÄN</t>
        </is>
      </c>
      <c r="E9650" t="inlineStr">
        <is>
          <t>LINKÖPING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26304-2024</t>
        </is>
      </c>
      <c r="B9651" s="1" t="n">
        <v>45469</v>
      </c>
      <c r="C9651" s="1" t="n">
        <v>45710</v>
      </c>
      <c r="D9651" t="inlineStr">
        <is>
          <t>ÖSTERGÖTLANDS LÄN</t>
        </is>
      </c>
      <c r="E9651" t="inlineStr">
        <is>
          <t>BOXHOLM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26239-2024</t>
        </is>
      </c>
      <c r="B9652" s="1" t="n">
        <v>45468</v>
      </c>
      <c r="C9652" s="1" t="n">
        <v>45710</v>
      </c>
      <c r="D9652" t="inlineStr">
        <is>
          <t>ÖSTERGÖTLANDS LÄN</t>
        </is>
      </c>
      <c r="E9652" t="inlineStr">
        <is>
          <t>KINDA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26082-2024</t>
        </is>
      </c>
      <c r="B9653" s="1" t="n">
        <v>45468</v>
      </c>
      <c r="C9653" s="1" t="n">
        <v>45710</v>
      </c>
      <c r="D9653" t="inlineStr">
        <is>
          <t>ÖSTERGÖTLANDS LÄN</t>
        </is>
      </c>
      <c r="E9653" t="inlineStr">
        <is>
          <t>FINSPÅNG</t>
        </is>
      </c>
      <c r="F9653" t="inlineStr">
        <is>
          <t>Holmen skog AB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26047-2024</t>
        </is>
      </c>
      <c r="B9654" s="1" t="n">
        <v>45468</v>
      </c>
      <c r="C9654" s="1" t="n">
        <v>45710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26390-2024</t>
        </is>
      </c>
      <c r="B9655" s="1" t="n">
        <v>45469</v>
      </c>
      <c r="C9655" s="1" t="n">
        <v>45710</v>
      </c>
      <c r="D9655" t="inlineStr">
        <is>
          <t>ÖSTERGÖTLANDS LÄN</t>
        </is>
      </c>
      <c r="E9655" t="inlineStr">
        <is>
          <t>NORRKÖPING</t>
        </is>
      </c>
      <c r="G9655" t="n">
        <v>0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26518-2024</t>
        </is>
      </c>
      <c r="B9656" s="1" t="n">
        <v>45469</v>
      </c>
      <c r="C9656" s="1" t="n">
        <v>45710</v>
      </c>
      <c r="D9656" t="inlineStr">
        <is>
          <t>ÖSTERGÖTLANDS LÄN</t>
        </is>
      </c>
      <c r="E9656" t="inlineStr">
        <is>
          <t>NORRKÖPING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26606-2024</t>
        </is>
      </c>
      <c r="B9657" s="1" t="n">
        <v>45469</v>
      </c>
      <c r="C9657" s="1" t="n">
        <v>45710</v>
      </c>
      <c r="D9657" t="inlineStr">
        <is>
          <t>ÖSTERGÖTLANDS LÄN</t>
        </is>
      </c>
      <c r="E9657" t="inlineStr">
        <is>
          <t>MOTALA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26611-2024</t>
        </is>
      </c>
      <c r="B9658" s="1" t="n">
        <v>45469</v>
      </c>
      <c r="C9658" s="1" t="n">
        <v>45710</v>
      </c>
      <c r="D9658" t="inlineStr">
        <is>
          <t>ÖSTERGÖTLANDS LÄN</t>
        </is>
      </c>
      <c r="E9658" t="inlineStr">
        <is>
          <t>MOTALA</t>
        </is>
      </c>
      <c r="G9658" t="n">
        <v>2.5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26527-2024</t>
        </is>
      </c>
      <c r="B9659" s="1" t="n">
        <v>45469</v>
      </c>
      <c r="C9659" s="1" t="n">
        <v>45710</v>
      </c>
      <c r="D9659" t="inlineStr">
        <is>
          <t>ÖSTERGÖTLANDS LÄN</t>
        </is>
      </c>
      <c r="E9659" t="inlineStr">
        <is>
          <t>NORRKÖPING</t>
        </is>
      </c>
      <c r="G9659" t="n">
        <v>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26589-2024</t>
        </is>
      </c>
      <c r="B9660" s="1" t="n">
        <v>45469</v>
      </c>
      <c r="C9660" s="1" t="n">
        <v>45710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26394-2024</t>
        </is>
      </c>
      <c r="B9661" s="1" t="n">
        <v>45469</v>
      </c>
      <c r="C9661" s="1" t="n">
        <v>45710</v>
      </c>
      <c r="D9661" t="inlineStr">
        <is>
          <t>ÖSTERGÖTLANDS LÄN</t>
        </is>
      </c>
      <c r="E9661" t="inlineStr">
        <is>
          <t>NORRKÖPING</t>
        </is>
      </c>
      <c r="G9661" t="n">
        <v>3.6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26838-2024</t>
        </is>
      </c>
      <c r="B9662" s="1" t="n">
        <v>45470</v>
      </c>
      <c r="C9662" s="1" t="n">
        <v>45710</v>
      </c>
      <c r="D9662" t="inlineStr">
        <is>
          <t>ÖSTERGÖTLANDS LÄN</t>
        </is>
      </c>
      <c r="E9662" t="inlineStr">
        <is>
          <t>ÖDESHÖG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26786-2024</t>
        </is>
      </c>
      <c r="B9663" s="1" t="n">
        <v>45470</v>
      </c>
      <c r="C9663" s="1" t="n">
        <v>45710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26714-2024</t>
        </is>
      </c>
      <c r="B9664" s="1" t="n">
        <v>45470</v>
      </c>
      <c r="C9664" s="1" t="n">
        <v>45710</v>
      </c>
      <c r="D9664" t="inlineStr">
        <is>
          <t>ÖSTERGÖTLANDS LÄN</t>
        </is>
      </c>
      <c r="E9664" t="inlineStr">
        <is>
          <t>KINDA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26710-2024</t>
        </is>
      </c>
      <c r="B9665" s="1" t="n">
        <v>45470</v>
      </c>
      <c r="C9665" s="1" t="n">
        <v>45710</v>
      </c>
      <c r="D9665" t="inlineStr">
        <is>
          <t>ÖSTERGÖTLANDS LÄN</t>
        </is>
      </c>
      <c r="E9665" t="inlineStr">
        <is>
          <t>KINDA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26697-2024</t>
        </is>
      </c>
      <c r="B9666" s="1" t="n">
        <v>45470</v>
      </c>
      <c r="C9666" s="1" t="n">
        <v>45710</v>
      </c>
      <c r="D9666" t="inlineStr">
        <is>
          <t>ÖSTERGÖTLANDS LÄN</t>
        </is>
      </c>
      <c r="E9666" t="inlineStr">
        <is>
          <t>KINDA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26788-2024</t>
        </is>
      </c>
      <c r="B9667" s="1" t="n">
        <v>45470</v>
      </c>
      <c r="C9667" s="1" t="n">
        <v>45710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1.3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26739-2024</t>
        </is>
      </c>
      <c r="B9668" s="1" t="n">
        <v>45470</v>
      </c>
      <c r="C9668" s="1" t="n">
        <v>45710</v>
      </c>
      <c r="D9668" t="inlineStr">
        <is>
          <t>ÖSTERGÖTLANDS LÄN</t>
        </is>
      </c>
      <c r="E9668" t="inlineStr">
        <is>
          <t>ÖDESHÖG</t>
        </is>
      </c>
      <c r="G9668" t="n">
        <v>5.1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26815-2024</t>
        </is>
      </c>
      <c r="B9669" s="1" t="n">
        <v>45470</v>
      </c>
      <c r="C9669" s="1" t="n">
        <v>45710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26803-2024</t>
        </is>
      </c>
      <c r="B9670" s="1" t="n">
        <v>45470</v>
      </c>
      <c r="C9670" s="1" t="n">
        <v>45710</v>
      </c>
      <c r="D9670" t="inlineStr">
        <is>
          <t>ÖSTERGÖTLANDS LÄN</t>
        </is>
      </c>
      <c r="E9670" t="inlineStr">
        <is>
          <t>LINKÖPING</t>
        </is>
      </c>
      <c r="F9670" t="inlineStr">
        <is>
          <t>Allmännings- och besparingsskogar</t>
        </is>
      </c>
      <c r="G9670" t="n">
        <v>4.5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26787-2024</t>
        </is>
      </c>
      <c r="B9671" s="1" t="n">
        <v>45470</v>
      </c>
      <c r="C9671" s="1" t="n">
        <v>45710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Sveaskog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26917-2024</t>
        </is>
      </c>
      <c r="B9672" s="1" t="n">
        <v>45470</v>
      </c>
      <c r="C9672" s="1" t="n">
        <v>45710</v>
      </c>
      <c r="D9672" t="inlineStr">
        <is>
          <t>ÖSTERGÖTLANDS LÄN</t>
        </is>
      </c>
      <c r="E9672" t="inlineStr">
        <is>
          <t>KINDA</t>
        </is>
      </c>
      <c r="G9672" t="n">
        <v>6.4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26805-2024</t>
        </is>
      </c>
      <c r="B9673" s="1" t="n">
        <v>45470</v>
      </c>
      <c r="C9673" s="1" t="n">
        <v>45710</v>
      </c>
      <c r="D9673" t="inlineStr">
        <is>
          <t>ÖSTERGÖTLANDS LÄN</t>
        </is>
      </c>
      <c r="E9673" t="inlineStr">
        <is>
          <t>SÖDERKÖPING</t>
        </is>
      </c>
      <c r="G9673" t="n">
        <v>2.6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26789-2024</t>
        </is>
      </c>
      <c r="B9674" s="1" t="n">
        <v>45470</v>
      </c>
      <c r="C9674" s="1" t="n">
        <v>45710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Sveaskog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26785-2024</t>
        </is>
      </c>
      <c r="B9675" s="1" t="n">
        <v>45470</v>
      </c>
      <c r="C9675" s="1" t="n">
        <v>45710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Sveaskog</t>
        </is>
      </c>
      <c r="G9675" t="n">
        <v>7.2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26696-2024</t>
        </is>
      </c>
      <c r="B9676" s="1" t="n">
        <v>45470</v>
      </c>
      <c r="C9676" s="1" t="n">
        <v>45710</v>
      </c>
      <c r="D9676" t="inlineStr">
        <is>
          <t>ÖSTERGÖTLANDS LÄN</t>
        </is>
      </c>
      <c r="E9676" t="inlineStr">
        <is>
          <t>YDRE</t>
        </is>
      </c>
      <c r="G9676" t="n">
        <v>6.1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27093-2024</t>
        </is>
      </c>
      <c r="B9677" s="1" t="n">
        <v>45471</v>
      </c>
      <c r="C9677" s="1" t="n">
        <v>45710</v>
      </c>
      <c r="D9677" t="inlineStr">
        <is>
          <t>ÖSTERGÖTLANDS LÄN</t>
        </is>
      </c>
      <c r="E9677" t="inlineStr">
        <is>
          <t>ÖDESHÖG</t>
        </is>
      </c>
      <c r="G9677" t="n">
        <v>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27151-2024</t>
        </is>
      </c>
      <c r="B9678" s="1" t="n">
        <v>45471</v>
      </c>
      <c r="C9678" s="1" t="n">
        <v>45710</v>
      </c>
      <c r="D9678" t="inlineStr">
        <is>
          <t>ÖSTERGÖTLANDS LÄN</t>
        </is>
      </c>
      <c r="E9678" t="inlineStr">
        <is>
          <t>ÅTVIDABERG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27183-2024</t>
        </is>
      </c>
      <c r="B9679" s="1" t="n">
        <v>45471</v>
      </c>
      <c r="C9679" s="1" t="n">
        <v>45710</v>
      </c>
      <c r="D9679" t="inlineStr">
        <is>
          <t>ÖSTERGÖTLANDS LÄN</t>
        </is>
      </c>
      <c r="E9679" t="inlineStr">
        <is>
          <t>ÅTVIDABERG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27087-2024</t>
        </is>
      </c>
      <c r="B9680" s="1" t="n">
        <v>45471</v>
      </c>
      <c r="C9680" s="1" t="n">
        <v>45710</v>
      </c>
      <c r="D9680" t="inlineStr">
        <is>
          <t>ÖSTERGÖTLANDS LÄN</t>
        </is>
      </c>
      <c r="E9680" t="inlineStr">
        <is>
          <t>ÖDESHÖG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27176-2024</t>
        </is>
      </c>
      <c r="B9681" s="1" t="n">
        <v>45471</v>
      </c>
      <c r="C9681" s="1" t="n">
        <v>45710</v>
      </c>
      <c r="D9681" t="inlineStr">
        <is>
          <t>ÖSTERGÖTLANDS LÄN</t>
        </is>
      </c>
      <c r="E9681" t="inlineStr">
        <is>
          <t>ÅTVIDABERG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27188-2024</t>
        </is>
      </c>
      <c r="B9682" s="1" t="n">
        <v>45471</v>
      </c>
      <c r="C9682" s="1" t="n">
        <v>45710</v>
      </c>
      <c r="D9682" t="inlineStr">
        <is>
          <t>ÖSTERGÖTLANDS LÄN</t>
        </is>
      </c>
      <c r="E9682" t="inlineStr">
        <is>
          <t>ÅTVIDABERG</t>
        </is>
      </c>
      <c r="G9682" t="n">
        <v>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27181-2024</t>
        </is>
      </c>
      <c r="B9683" s="1" t="n">
        <v>45471</v>
      </c>
      <c r="C9683" s="1" t="n">
        <v>45710</v>
      </c>
      <c r="D9683" t="inlineStr">
        <is>
          <t>ÖSTERGÖTLANDS LÄN</t>
        </is>
      </c>
      <c r="E9683" t="inlineStr">
        <is>
          <t>ÅTVIDABERG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27259-2024</t>
        </is>
      </c>
      <c r="B9684" s="1" t="n">
        <v>45471</v>
      </c>
      <c r="C9684" s="1" t="n">
        <v>45710</v>
      </c>
      <c r="D9684" t="inlineStr">
        <is>
          <t>ÖSTERGÖTLANDS LÄN</t>
        </is>
      </c>
      <c r="E9684" t="inlineStr">
        <is>
          <t>LINKÖPING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27064-2024</t>
        </is>
      </c>
      <c r="B9685" s="1" t="n">
        <v>45471</v>
      </c>
      <c r="C9685" s="1" t="n">
        <v>45710</v>
      </c>
      <c r="D9685" t="inlineStr">
        <is>
          <t>ÖSTERGÖTLANDS LÄN</t>
        </is>
      </c>
      <c r="E9685" t="inlineStr">
        <is>
          <t>SÖDERKÖPING</t>
        </is>
      </c>
      <c r="G9685" t="n">
        <v>1.8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27329-2024</t>
        </is>
      </c>
      <c r="B9686" s="1" t="n">
        <v>45472</v>
      </c>
      <c r="C9686" s="1" t="n">
        <v>45710</v>
      </c>
      <c r="D9686" t="inlineStr">
        <is>
          <t>ÖSTERGÖTLANDS LÄN</t>
        </is>
      </c>
      <c r="E9686" t="inlineStr">
        <is>
          <t>FINSPÅNG</t>
        </is>
      </c>
      <c r="G9686" t="n">
        <v>5.6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27410-2024</t>
        </is>
      </c>
      <c r="B9687" s="1" t="n">
        <v>45473</v>
      </c>
      <c r="C9687" s="1" t="n">
        <v>45710</v>
      </c>
      <c r="D9687" t="inlineStr">
        <is>
          <t>ÖSTERGÖTLANDS LÄN</t>
        </is>
      </c>
      <c r="E9687" t="inlineStr">
        <is>
          <t>MOTALA</t>
        </is>
      </c>
      <c r="G9687" t="n">
        <v>6.9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27516-2024</t>
        </is>
      </c>
      <c r="B9688" s="1" t="n">
        <v>45474</v>
      </c>
      <c r="C9688" s="1" t="n">
        <v>45710</v>
      </c>
      <c r="D9688" t="inlineStr">
        <is>
          <t>ÖSTERGÖTLANDS LÄN</t>
        </is>
      </c>
      <c r="E9688" t="inlineStr">
        <is>
          <t>LINKÖPING</t>
        </is>
      </c>
      <c r="G9688" t="n">
        <v>7.5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27520-2024</t>
        </is>
      </c>
      <c r="B9689" s="1" t="n">
        <v>45474</v>
      </c>
      <c r="C9689" s="1" t="n">
        <v>45710</v>
      </c>
      <c r="D9689" t="inlineStr">
        <is>
          <t>ÖSTERGÖTLANDS LÄN</t>
        </is>
      </c>
      <c r="E9689" t="inlineStr">
        <is>
          <t>LINKÖPING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27423-2024</t>
        </is>
      </c>
      <c r="B9690" s="1" t="n">
        <v>45474</v>
      </c>
      <c r="C9690" s="1" t="n">
        <v>45710</v>
      </c>
      <c r="D9690" t="inlineStr">
        <is>
          <t>ÖSTERGÖTLANDS LÄN</t>
        </is>
      </c>
      <c r="E9690" t="inlineStr">
        <is>
          <t>KINDA</t>
        </is>
      </c>
      <c r="G9690" t="n">
        <v>3.2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27543-2024</t>
        </is>
      </c>
      <c r="B9691" s="1" t="n">
        <v>45474</v>
      </c>
      <c r="C9691" s="1" t="n">
        <v>45710</v>
      </c>
      <c r="D9691" t="inlineStr">
        <is>
          <t>ÖSTERGÖTLANDS LÄN</t>
        </is>
      </c>
      <c r="E9691" t="inlineStr">
        <is>
          <t>YDRE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27547-2024</t>
        </is>
      </c>
      <c r="B9692" s="1" t="n">
        <v>45474</v>
      </c>
      <c r="C9692" s="1" t="n">
        <v>45710</v>
      </c>
      <c r="D9692" t="inlineStr">
        <is>
          <t>ÖSTERGÖTLANDS LÄN</t>
        </is>
      </c>
      <c r="E9692" t="inlineStr">
        <is>
          <t>ÅTVIDABERG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27593-2024</t>
        </is>
      </c>
      <c r="B9693" s="1" t="n">
        <v>45474</v>
      </c>
      <c r="C9693" s="1" t="n">
        <v>45710</v>
      </c>
      <c r="D9693" t="inlineStr">
        <is>
          <t>ÖSTERGÖTLANDS LÄN</t>
        </is>
      </c>
      <c r="E9693" t="inlineStr">
        <is>
          <t>FINSPÅNG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27798-2024</t>
        </is>
      </c>
      <c r="B9694" s="1" t="n">
        <v>45475</v>
      </c>
      <c r="C9694" s="1" t="n">
        <v>45710</v>
      </c>
      <c r="D9694" t="inlineStr">
        <is>
          <t>ÖSTERGÖTLANDS LÄN</t>
        </is>
      </c>
      <c r="E9694" t="inlineStr">
        <is>
          <t>YDRE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27706-2024</t>
        </is>
      </c>
      <c r="B9695" s="1" t="n">
        <v>45475</v>
      </c>
      <c r="C9695" s="1" t="n">
        <v>45710</v>
      </c>
      <c r="D9695" t="inlineStr">
        <is>
          <t>ÖSTERGÖTLANDS LÄN</t>
        </is>
      </c>
      <c r="E9695" t="inlineStr">
        <is>
          <t>KINDA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27744-2024</t>
        </is>
      </c>
      <c r="B9696" s="1" t="n">
        <v>45475</v>
      </c>
      <c r="C9696" s="1" t="n">
        <v>45710</v>
      </c>
      <c r="D9696" t="inlineStr">
        <is>
          <t>ÖSTERGÖTLANDS LÄN</t>
        </is>
      </c>
      <c r="E9696" t="inlineStr">
        <is>
          <t>ÅTVIDABERG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27844-2024</t>
        </is>
      </c>
      <c r="B9697" s="1" t="n">
        <v>45475</v>
      </c>
      <c r="C9697" s="1" t="n">
        <v>45710</v>
      </c>
      <c r="D9697" t="inlineStr">
        <is>
          <t>ÖSTERGÖTLANDS LÄN</t>
        </is>
      </c>
      <c r="E9697" t="inlineStr">
        <is>
          <t>LINKÖPING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27905-2024</t>
        </is>
      </c>
      <c r="B9698" s="1" t="n">
        <v>45476</v>
      </c>
      <c r="C9698" s="1" t="n">
        <v>45710</v>
      </c>
      <c r="D9698" t="inlineStr">
        <is>
          <t>ÖSTERGÖTLANDS LÄN</t>
        </is>
      </c>
      <c r="E9698" t="inlineStr">
        <is>
          <t>YDRE</t>
        </is>
      </c>
      <c r="G9698" t="n">
        <v>1.8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27841-2024</t>
        </is>
      </c>
      <c r="B9699" s="1" t="n">
        <v>45475</v>
      </c>
      <c r="C9699" s="1" t="n">
        <v>45710</v>
      </c>
      <c r="D9699" t="inlineStr">
        <is>
          <t>ÖSTERGÖTLANDS LÄN</t>
        </is>
      </c>
      <c r="E9699" t="inlineStr">
        <is>
          <t>KINDA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27809-2024</t>
        </is>
      </c>
      <c r="B9700" s="1" t="n">
        <v>45475</v>
      </c>
      <c r="C9700" s="1" t="n">
        <v>45710</v>
      </c>
      <c r="D9700" t="inlineStr">
        <is>
          <t>ÖSTERGÖTLANDS LÄN</t>
        </is>
      </c>
      <c r="E9700" t="inlineStr">
        <is>
          <t>KINDA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27781-2024</t>
        </is>
      </c>
      <c r="B9701" s="1" t="n">
        <v>45475</v>
      </c>
      <c r="C9701" s="1" t="n">
        <v>45710</v>
      </c>
      <c r="D9701" t="inlineStr">
        <is>
          <t>ÖSTERGÖTLANDS LÄN</t>
        </is>
      </c>
      <c r="E9701" t="inlineStr">
        <is>
          <t>FINSPÅNG</t>
        </is>
      </c>
      <c r="G9701" t="n">
        <v>2.9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27745-2024</t>
        </is>
      </c>
      <c r="B9702" s="1" t="n">
        <v>45475</v>
      </c>
      <c r="C9702" s="1" t="n">
        <v>45710</v>
      </c>
      <c r="D9702" t="inlineStr">
        <is>
          <t>ÖSTERGÖTLANDS LÄN</t>
        </is>
      </c>
      <c r="E9702" t="inlineStr">
        <is>
          <t>ÅTVIDABERG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27982-2024</t>
        </is>
      </c>
      <c r="B9703" s="1" t="n">
        <v>45476</v>
      </c>
      <c r="C9703" s="1" t="n">
        <v>45710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Holmen skog AB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28068-2024</t>
        </is>
      </c>
      <c r="B9704" s="1" t="n">
        <v>45476</v>
      </c>
      <c r="C9704" s="1" t="n">
        <v>45710</v>
      </c>
      <c r="D9704" t="inlineStr">
        <is>
          <t>ÖSTERGÖTLANDS LÄN</t>
        </is>
      </c>
      <c r="E9704" t="inlineStr">
        <is>
          <t>KINDA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28048-2024</t>
        </is>
      </c>
      <c r="B9705" s="1" t="n">
        <v>45476</v>
      </c>
      <c r="C9705" s="1" t="n">
        <v>45710</v>
      </c>
      <c r="D9705" t="inlineStr">
        <is>
          <t>ÖSTERGÖTLANDS LÄN</t>
        </is>
      </c>
      <c r="E9705" t="inlineStr">
        <is>
          <t>LINKÖPING</t>
        </is>
      </c>
      <c r="G9705" t="n">
        <v>6.1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28045-2024</t>
        </is>
      </c>
      <c r="B9706" s="1" t="n">
        <v>45476</v>
      </c>
      <c r="C9706" s="1" t="n">
        <v>45710</v>
      </c>
      <c r="D9706" t="inlineStr">
        <is>
          <t>ÖSTERGÖTLANDS LÄN</t>
        </is>
      </c>
      <c r="E9706" t="inlineStr">
        <is>
          <t>KINDA</t>
        </is>
      </c>
      <c r="G9706" t="n">
        <v>6.3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28059-2024</t>
        </is>
      </c>
      <c r="B9707" s="1" t="n">
        <v>45476</v>
      </c>
      <c r="C9707" s="1" t="n">
        <v>45710</v>
      </c>
      <c r="D9707" t="inlineStr">
        <is>
          <t>ÖSTERGÖTLANDS LÄN</t>
        </is>
      </c>
      <c r="E9707" t="inlineStr">
        <is>
          <t>KINDA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28043-2024</t>
        </is>
      </c>
      <c r="B9708" s="1" t="n">
        <v>45476</v>
      </c>
      <c r="C9708" s="1" t="n">
        <v>45710</v>
      </c>
      <c r="D9708" t="inlineStr">
        <is>
          <t>ÖSTERGÖTLANDS LÄN</t>
        </is>
      </c>
      <c r="E9708" t="inlineStr">
        <is>
          <t>KINDA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27959-2024</t>
        </is>
      </c>
      <c r="B9709" s="1" t="n">
        <v>45476</v>
      </c>
      <c r="C9709" s="1" t="n">
        <v>45710</v>
      </c>
      <c r="D9709" t="inlineStr">
        <is>
          <t>ÖSTERGÖTLANDS LÄN</t>
        </is>
      </c>
      <c r="E9709" t="inlineStr">
        <is>
          <t>KINDA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27965-2024</t>
        </is>
      </c>
      <c r="B9710" s="1" t="n">
        <v>45476</v>
      </c>
      <c r="C9710" s="1" t="n">
        <v>45710</v>
      </c>
      <c r="D9710" t="inlineStr">
        <is>
          <t>ÖSTERGÖTLANDS LÄN</t>
        </is>
      </c>
      <c r="E9710" t="inlineStr">
        <is>
          <t>MOTALA</t>
        </is>
      </c>
      <c r="F9710" t="inlineStr">
        <is>
          <t>Holmen skog AB</t>
        </is>
      </c>
      <c r="G9710" t="n">
        <v>0.4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28480-2024</t>
        </is>
      </c>
      <c r="B9711" s="1" t="n">
        <v>45477</v>
      </c>
      <c r="C9711" s="1" t="n">
        <v>45710</v>
      </c>
      <c r="D9711" t="inlineStr">
        <is>
          <t>ÖSTERGÖTLANDS LÄN</t>
        </is>
      </c>
      <c r="E9711" t="inlineStr">
        <is>
          <t>LINKÖPING</t>
        </is>
      </c>
      <c r="G9711" t="n">
        <v>3.7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28464-2024</t>
        </is>
      </c>
      <c r="B9712" s="1" t="n">
        <v>45477</v>
      </c>
      <c r="C9712" s="1" t="n">
        <v>45710</v>
      </c>
      <c r="D9712" t="inlineStr">
        <is>
          <t>ÖSTERGÖTLANDS LÄN</t>
        </is>
      </c>
      <c r="E9712" t="inlineStr">
        <is>
          <t>LINKÖPING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28295-2024</t>
        </is>
      </c>
      <c r="B9713" s="1" t="n">
        <v>45477</v>
      </c>
      <c r="C9713" s="1" t="n">
        <v>45710</v>
      </c>
      <c r="D9713" t="inlineStr">
        <is>
          <t>ÖSTERGÖTLANDS LÄN</t>
        </is>
      </c>
      <c r="E9713" t="inlineStr">
        <is>
          <t>NORRKÖPING</t>
        </is>
      </c>
      <c r="G9713" t="n">
        <v>3.5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28398-2024</t>
        </is>
      </c>
      <c r="B9714" s="1" t="n">
        <v>45477</v>
      </c>
      <c r="C9714" s="1" t="n">
        <v>45710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Naturvårdsverket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28313-2024</t>
        </is>
      </c>
      <c r="B9715" s="1" t="n">
        <v>45477</v>
      </c>
      <c r="C9715" s="1" t="n">
        <v>45710</v>
      </c>
      <c r="D9715" t="inlineStr">
        <is>
          <t>ÖSTERGÖTLANDS LÄN</t>
        </is>
      </c>
      <c r="E9715" t="inlineStr">
        <is>
          <t>NORRKÖPING</t>
        </is>
      </c>
      <c r="G9715" t="n">
        <v>2.6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28362-2024</t>
        </is>
      </c>
      <c r="B9716" s="1" t="n">
        <v>45477</v>
      </c>
      <c r="C9716" s="1" t="n">
        <v>45710</v>
      </c>
      <c r="D9716" t="inlineStr">
        <is>
          <t>ÖSTERGÖTLANDS LÄN</t>
        </is>
      </c>
      <c r="E9716" t="inlineStr">
        <is>
          <t>ÅTVIDABERG</t>
        </is>
      </c>
      <c r="G9716" t="n">
        <v>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28286-2024</t>
        </is>
      </c>
      <c r="B9717" s="1" t="n">
        <v>45477</v>
      </c>
      <c r="C9717" s="1" t="n">
        <v>45710</v>
      </c>
      <c r="D9717" t="inlineStr">
        <is>
          <t>ÖSTERGÖTLANDS LÄN</t>
        </is>
      </c>
      <c r="E9717" t="inlineStr">
        <is>
          <t>KINDA</t>
        </is>
      </c>
      <c r="F9717" t="inlineStr">
        <is>
          <t>Övriga Aktiebolag</t>
        </is>
      </c>
      <c r="G9717" t="n">
        <v>10.5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28486-2024</t>
        </is>
      </c>
      <c r="B9718" s="1" t="n">
        <v>45477</v>
      </c>
      <c r="C9718" s="1" t="n">
        <v>45710</v>
      </c>
      <c r="D9718" t="inlineStr">
        <is>
          <t>ÖSTERGÖTLANDS LÄN</t>
        </is>
      </c>
      <c r="E9718" t="inlineStr">
        <is>
          <t>LINKÖPING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28482-2024</t>
        </is>
      </c>
      <c r="B9719" s="1" t="n">
        <v>45477</v>
      </c>
      <c r="C9719" s="1" t="n">
        <v>45710</v>
      </c>
      <c r="D9719" t="inlineStr">
        <is>
          <t>ÖSTERGÖTLANDS LÄN</t>
        </is>
      </c>
      <c r="E9719" t="inlineStr">
        <is>
          <t>LINKÖPING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28178-2024</t>
        </is>
      </c>
      <c r="B9720" s="1" t="n">
        <v>45477</v>
      </c>
      <c r="C9720" s="1" t="n">
        <v>45710</v>
      </c>
      <c r="D9720" t="inlineStr">
        <is>
          <t>ÖSTERGÖTLANDS LÄN</t>
        </is>
      </c>
      <c r="E9720" t="inlineStr">
        <is>
          <t>KINDA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28266-2024</t>
        </is>
      </c>
      <c r="B9721" s="1" t="n">
        <v>45477</v>
      </c>
      <c r="C9721" s="1" t="n">
        <v>45710</v>
      </c>
      <c r="D9721" t="inlineStr">
        <is>
          <t>ÖSTERGÖTLANDS LÄN</t>
        </is>
      </c>
      <c r="E9721" t="inlineStr">
        <is>
          <t>LINKÖPING</t>
        </is>
      </c>
      <c r="F9721" t="inlineStr">
        <is>
          <t>Sveaskog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28255-2024</t>
        </is>
      </c>
      <c r="B9722" s="1" t="n">
        <v>45477</v>
      </c>
      <c r="C9722" s="1" t="n">
        <v>45710</v>
      </c>
      <c r="D9722" t="inlineStr">
        <is>
          <t>ÖSTERGÖTLANDS LÄN</t>
        </is>
      </c>
      <c r="E9722" t="inlineStr">
        <is>
          <t>LINKÖPING</t>
        </is>
      </c>
      <c r="F9722" t="inlineStr">
        <is>
          <t>Sveaskog</t>
        </is>
      </c>
      <c r="G9722" t="n">
        <v>8.800000000000001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28252-2024</t>
        </is>
      </c>
      <c r="B9723" s="1" t="n">
        <v>45477</v>
      </c>
      <c r="C9723" s="1" t="n">
        <v>45710</v>
      </c>
      <c r="D9723" t="inlineStr">
        <is>
          <t>ÖSTERGÖTLANDS LÄN</t>
        </is>
      </c>
      <c r="E9723" t="inlineStr">
        <is>
          <t>ÖDESHÖG</t>
        </is>
      </c>
      <c r="F9723" t="inlineStr">
        <is>
          <t>Sveaskog</t>
        </is>
      </c>
      <c r="G9723" t="n">
        <v>2.7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28198-2024</t>
        </is>
      </c>
      <c r="B9724" s="1" t="n">
        <v>45477</v>
      </c>
      <c r="C9724" s="1" t="n">
        <v>45710</v>
      </c>
      <c r="D9724" t="inlineStr">
        <is>
          <t>ÖSTERGÖTLANDS LÄN</t>
        </is>
      </c>
      <c r="E9724" t="inlineStr">
        <is>
          <t>KINDA</t>
        </is>
      </c>
      <c r="G9724" t="n">
        <v>5.5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28551-2024</t>
        </is>
      </c>
      <c r="B9725" s="1" t="n">
        <v>45478</v>
      </c>
      <c r="C9725" s="1" t="n">
        <v>45710</v>
      </c>
      <c r="D9725" t="inlineStr">
        <is>
          <t>ÖSTERGÖTLANDS LÄN</t>
        </is>
      </c>
      <c r="E9725" t="inlineStr">
        <is>
          <t>SÖDERKÖPING</t>
        </is>
      </c>
      <c r="G9725" t="n">
        <v>2.7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28578-2024</t>
        </is>
      </c>
      <c r="B9726" s="1" t="n">
        <v>45478</v>
      </c>
      <c r="C9726" s="1" t="n">
        <v>45710</v>
      </c>
      <c r="D9726" t="inlineStr">
        <is>
          <t>ÖSTERGÖTLANDS LÄN</t>
        </is>
      </c>
      <c r="E9726" t="inlineStr">
        <is>
          <t>SÖDERKÖPING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28606-2024</t>
        </is>
      </c>
      <c r="B9727" s="1" t="n">
        <v>45478</v>
      </c>
      <c r="C9727" s="1" t="n">
        <v>45710</v>
      </c>
      <c r="D9727" t="inlineStr">
        <is>
          <t>ÖSTERGÖTLANDS LÄN</t>
        </is>
      </c>
      <c r="E9727" t="inlineStr">
        <is>
          <t>SÖDERKÖPING</t>
        </is>
      </c>
      <c r="G9727" t="n">
        <v>3.8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28663-2024</t>
        </is>
      </c>
      <c r="B9728" s="1" t="n">
        <v>45478</v>
      </c>
      <c r="C9728" s="1" t="n">
        <v>45710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28756-2024</t>
        </is>
      </c>
      <c r="B9729" s="1" t="n">
        <v>45478</v>
      </c>
      <c r="C9729" s="1" t="n">
        <v>45710</v>
      </c>
      <c r="D9729" t="inlineStr">
        <is>
          <t>ÖSTERGÖTLANDS LÄN</t>
        </is>
      </c>
      <c r="E9729" t="inlineStr">
        <is>
          <t>ÅTVIDABERG</t>
        </is>
      </c>
      <c r="G9729" t="n">
        <v>12.6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28585-2024</t>
        </is>
      </c>
      <c r="B9730" s="1" t="n">
        <v>45478</v>
      </c>
      <c r="C9730" s="1" t="n">
        <v>45710</v>
      </c>
      <c r="D9730" t="inlineStr">
        <is>
          <t>ÖSTERGÖTLANDS LÄN</t>
        </is>
      </c>
      <c r="E9730" t="inlineStr">
        <is>
          <t>SÖDERKÖPING</t>
        </is>
      </c>
      <c r="G9730" t="n">
        <v>7.5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28600-2024</t>
        </is>
      </c>
      <c r="B9731" s="1" t="n">
        <v>45478</v>
      </c>
      <c r="C9731" s="1" t="n">
        <v>45710</v>
      </c>
      <c r="D9731" t="inlineStr">
        <is>
          <t>ÖSTERGÖTLANDS LÄN</t>
        </is>
      </c>
      <c r="E9731" t="inlineStr">
        <is>
          <t>NORRKÖPING</t>
        </is>
      </c>
      <c r="F9731" t="inlineStr">
        <is>
          <t>Holmen skog AB</t>
        </is>
      </c>
      <c r="G9731" t="n">
        <v>0.4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28842-2024</t>
        </is>
      </c>
      <c r="B9732" s="1" t="n">
        <v>45478</v>
      </c>
      <c r="C9732" s="1" t="n">
        <v>45710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Allmännings- och besparingsskogar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28665-2024</t>
        </is>
      </c>
      <c r="B9733" s="1" t="n">
        <v>45478</v>
      </c>
      <c r="C9733" s="1" t="n">
        <v>45710</v>
      </c>
      <c r="D9733" t="inlineStr">
        <is>
          <t>ÖSTERGÖTLANDS LÄN</t>
        </is>
      </c>
      <c r="E9733" t="inlineStr">
        <is>
          <t>NORRKÖPING</t>
        </is>
      </c>
      <c r="F9733" t="inlineStr">
        <is>
          <t>Holmen skog AB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28689-2024</t>
        </is>
      </c>
      <c r="B9734" s="1" t="n">
        <v>45478</v>
      </c>
      <c r="C9734" s="1" t="n">
        <v>45710</v>
      </c>
      <c r="D9734" t="inlineStr">
        <is>
          <t>ÖSTERGÖTLANDS LÄN</t>
        </is>
      </c>
      <c r="E9734" t="inlineStr">
        <is>
          <t>NORRKÖPING</t>
        </is>
      </c>
      <c r="F9734" t="inlineStr">
        <is>
          <t>Holmen skog AB</t>
        </is>
      </c>
      <c r="G9734" t="n">
        <v>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28693-2024</t>
        </is>
      </c>
      <c r="B9735" s="1" t="n">
        <v>45478</v>
      </c>
      <c r="C9735" s="1" t="n">
        <v>45710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28601-2024</t>
        </is>
      </c>
      <c r="B9736" s="1" t="n">
        <v>45478</v>
      </c>
      <c r="C9736" s="1" t="n">
        <v>45710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0.4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28625-2024</t>
        </is>
      </c>
      <c r="B9737" s="1" t="n">
        <v>45478</v>
      </c>
      <c r="C9737" s="1" t="n">
        <v>45710</v>
      </c>
      <c r="D9737" t="inlineStr">
        <is>
          <t>ÖSTERGÖTLANDS LÄN</t>
        </is>
      </c>
      <c r="E9737" t="inlineStr">
        <is>
          <t>SÖDERKÖPING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28844-2024</t>
        </is>
      </c>
      <c r="B9738" s="1" t="n">
        <v>45478</v>
      </c>
      <c r="C9738" s="1" t="n">
        <v>45710</v>
      </c>
      <c r="D9738" t="inlineStr">
        <is>
          <t>ÖSTERGÖTLANDS LÄN</t>
        </is>
      </c>
      <c r="E9738" t="inlineStr">
        <is>
          <t>LINKÖPING</t>
        </is>
      </c>
      <c r="F9738" t="inlineStr">
        <is>
          <t>Allmännings- och besparingsskogar</t>
        </is>
      </c>
      <c r="G9738" t="n">
        <v>4.5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29044-2024</t>
        </is>
      </c>
      <c r="B9739" s="1" t="n">
        <v>45481</v>
      </c>
      <c r="C9739" s="1" t="n">
        <v>45710</v>
      </c>
      <c r="D9739" t="inlineStr">
        <is>
          <t>ÖSTERGÖTLANDS LÄN</t>
        </is>
      </c>
      <c r="E9739" t="inlineStr">
        <is>
          <t>VALDEMARSVIK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29047-2024</t>
        </is>
      </c>
      <c r="B9740" s="1" t="n">
        <v>45481</v>
      </c>
      <c r="C9740" s="1" t="n">
        <v>45710</v>
      </c>
      <c r="D9740" t="inlineStr">
        <is>
          <t>ÖSTERGÖTLANDS LÄN</t>
        </is>
      </c>
      <c r="E9740" t="inlineStr">
        <is>
          <t>SÖDERKÖPING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29041-2024</t>
        </is>
      </c>
      <c r="B9741" s="1" t="n">
        <v>45481</v>
      </c>
      <c r="C9741" s="1" t="n">
        <v>45710</v>
      </c>
      <c r="D9741" t="inlineStr">
        <is>
          <t>ÖSTERGÖTLANDS LÄN</t>
        </is>
      </c>
      <c r="E9741" t="inlineStr">
        <is>
          <t>VALDEMARSVIK</t>
        </is>
      </c>
      <c r="G9741" t="n">
        <v>3.9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28994-2024</t>
        </is>
      </c>
      <c r="B9742" s="1" t="n">
        <v>45481</v>
      </c>
      <c r="C9742" s="1" t="n">
        <v>45710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29050-2024</t>
        </is>
      </c>
      <c r="B9743" s="1" t="n">
        <v>45481</v>
      </c>
      <c r="C9743" s="1" t="n">
        <v>45710</v>
      </c>
      <c r="D9743" t="inlineStr">
        <is>
          <t>ÖSTERGÖTLANDS LÄN</t>
        </is>
      </c>
      <c r="E9743" t="inlineStr">
        <is>
          <t>KINDA</t>
        </is>
      </c>
      <c r="G9743" t="n">
        <v>2.7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28967-2024</t>
        </is>
      </c>
      <c r="B9744" s="1" t="n">
        <v>45481</v>
      </c>
      <c r="C9744" s="1" t="n">
        <v>45710</v>
      </c>
      <c r="D9744" t="inlineStr">
        <is>
          <t>ÖSTERGÖTLANDS LÄN</t>
        </is>
      </c>
      <c r="E9744" t="inlineStr">
        <is>
          <t>KINDA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29052-2024</t>
        </is>
      </c>
      <c r="B9745" s="1" t="n">
        <v>45481</v>
      </c>
      <c r="C9745" s="1" t="n">
        <v>45710</v>
      </c>
      <c r="D9745" t="inlineStr">
        <is>
          <t>ÖSTERGÖTLANDS LÄN</t>
        </is>
      </c>
      <c r="E9745" t="inlineStr">
        <is>
          <t>NORRKÖPING</t>
        </is>
      </c>
      <c r="G9745" t="n">
        <v>9.5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29226-2024</t>
        </is>
      </c>
      <c r="B9746" s="1" t="n">
        <v>45482</v>
      </c>
      <c r="C9746" s="1" t="n">
        <v>45710</v>
      </c>
      <c r="D9746" t="inlineStr">
        <is>
          <t>ÖSTERGÖTLANDS LÄN</t>
        </is>
      </c>
      <c r="E9746" t="inlineStr">
        <is>
          <t>MOTALA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29222-2024</t>
        </is>
      </c>
      <c r="B9747" s="1" t="n">
        <v>45482</v>
      </c>
      <c r="C9747" s="1" t="n">
        <v>45710</v>
      </c>
      <c r="D9747" t="inlineStr">
        <is>
          <t>ÖSTERGÖTLANDS LÄN</t>
        </is>
      </c>
      <c r="E9747" t="inlineStr">
        <is>
          <t>MOTALA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29228-2024</t>
        </is>
      </c>
      <c r="B9748" s="1" t="n">
        <v>45482</v>
      </c>
      <c r="C9748" s="1" t="n">
        <v>45710</v>
      </c>
      <c r="D9748" t="inlineStr">
        <is>
          <t>ÖSTERGÖTLANDS LÄN</t>
        </is>
      </c>
      <c r="E9748" t="inlineStr">
        <is>
          <t>MOTALA</t>
        </is>
      </c>
      <c r="G9748" t="n">
        <v>3.6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29303-2024</t>
        </is>
      </c>
      <c r="B9749" s="1" t="n">
        <v>45483</v>
      </c>
      <c r="C9749" s="1" t="n">
        <v>45710</v>
      </c>
      <c r="D9749" t="inlineStr">
        <is>
          <t>ÖSTERGÖTLANDS LÄN</t>
        </is>
      </c>
      <c r="E9749" t="inlineStr">
        <is>
          <t>LINKÖPING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29309-2024</t>
        </is>
      </c>
      <c r="B9750" s="1" t="n">
        <v>45483</v>
      </c>
      <c r="C9750" s="1" t="n">
        <v>45710</v>
      </c>
      <c r="D9750" t="inlineStr">
        <is>
          <t>ÖSTERGÖTLANDS LÄN</t>
        </is>
      </c>
      <c r="E9750" t="inlineStr">
        <is>
          <t>LINKÖPING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29325-2024</t>
        </is>
      </c>
      <c r="B9751" s="1" t="n">
        <v>45483</v>
      </c>
      <c r="C9751" s="1" t="n">
        <v>45710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5.9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29349-2024</t>
        </is>
      </c>
      <c r="B9752" s="1" t="n">
        <v>45483</v>
      </c>
      <c r="C9752" s="1" t="n">
        <v>45710</v>
      </c>
      <c r="D9752" t="inlineStr">
        <is>
          <t>ÖSTERGÖTLANDS LÄN</t>
        </is>
      </c>
      <c r="E9752" t="inlineStr">
        <is>
          <t>ÅTVIDABERG</t>
        </is>
      </c>
      <c r="G9752" t="n">
        <v>2.8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29445-2024</t>
        </is>
      </c>
      <c r="B9753" s="1" t="n">
        <v>45483</v>
      </c>
      <c r="C9753" s="1" t="n">
        <v>45710</v>
      </c>
      <c r="D9753" t="inlineStr">
        <is>
          <t>ÖSTERGÖTLANDS LÄN</t>
        </is>
      </c>
      <c r="E9753" t="inlineStr">
        <is>
          <t>KINDA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29443-2024</t>
        </is>
      </c>
      <c r="B9754" s="1" t="n">
        <v>45483</v>
      </c>
      <c r="C9754" s="1" t="n">
        <v>45710</v>
      </c>
      <c r="D9754" t="inlineStr">
        <is>
          <t>ÖSTERGÖTLANDS LÄN</t>
        </is>
      </c>
      <c r="E9754" t="inlineStr">
        <is>
          <t>KINDA</t>
        </is>
      </c>
      <c r="G9754" t="n">
        <v>5.4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29447-2024</t>
        </is>
      </c>
      <c r="B9755" s="1" t="n">
        <v>45483</v>
      </c>
      <c r="C9755" s="1" t="n">
        <v>45710</v>
      </c>
      <c r="D9755" t="inlineStr">
        <is>
          <t>ÖSTERGÖTLANDS LÄN</t>
        </is>
      </c>
      <c r="E9755" t="inlineStr">
        <is>
          <t>KINDA</t>
        </is>
      </c>
      <c r="G9755" t="n">
        <v>2.5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29324-2024</t>
        </is>
      </c>
      <c r="B9756" s="1" t="n">
        <v>45483</v>
      </c>
      <c r="C9756" s="1" t="n">
        <v>45710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Sveaskog</t>
        </is>
      </c>
      <c r="G9756" t="n">
        <v>5.4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29442-2024</t>
        </is>
      </c>
      <c r="B9757" s="1" t="n">
        <v>45483</v>
      </c>
      <c r="C9757" s="1" t="n">
        <v>45710</v>
      </c>
      <c r="D9757" t="inlineStr">
        <is>
          <t>ÖSTERGÖTLANDS LÄN</t>
        </is>
      </c>
      <c r="E9757" t="inlineStr">
        <is>
          <t>KINDA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29312-2024</t>
        </is>
      </c>
      <c r="B9758" s="1" t="n">
        <v>45483</v>
      </c>
      <c r="C9758" s="1" t="n">
        <v>45710</v>
      </c>
      <c r="D9758" t="inlineStr">
        <is>
          <t>ÖSTERGÖTLANDS LÄN</t>
        </is>
      </c>
      <c r="E9758" t="inlineStr">
        <is>
          <t>LINKÖPING</t>
        </is>
      </c>
      <c r="G9758" t="n">
        <v>2.1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29307-2024</t>
        </is>
      </c>
      <c r="B9759" s="1" t="n">
        <v>45483</v>
      </c>
      <c r="C9759" s="1" t="n">
        <v>45710</v>
      </c>
      <c r="D9759" t="inlineStr">
        <is>
          <t>ÖSTERGÖTLANDS LÄN</t>
        </is>
      </c>
      <c r="E9759" t="inlineStr">
        <is>
          <t>LINKÖPING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29446-2024</t>
        </is>
      </c>
      <c r="B9760" s="1" t="n">
        <v>45483</v>
      </c>
      <c r="C9760" s="1" t="n">
        <v>45710</v>
      </c>
      <c r="D9760" t="inlineStr">
        <is>
          <t>ÖSTERGÖTLANDS LÄN</t>
        </is>
      </c>
      <c r="E9760" t="inlineStr">
        <is>
          <t>KINDA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29516-2024</t>
        </is>
      </c>
      <c r="B9761" s="1" t="n">
        <v>45484</v>
      </c>
      <c r="C9761" s="1" t="n">
        <v>45710</v>
      </c>
      <c r="D9761" t="inlineStr">
        <is>
          <t>ÖSTERGÖTLANDS LÄN</t>
        </is>
      </c>
      <c r="E9761" t="inlineStr">
        <is>
          <t>KINDA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29605-2024</t>
        </is>
      </c>
      <c r="B9762" s="1" t="n">
        <v>45484</v>
      </c>
      <c r="C9762" s="1" t="n">
        <v>45710</v>
      </c>
      <c r="D9762" t="inlineStr">
        <is>
          <t>ÖSTERGÖTLANDS LÄN</t>
        </is>
      </c>
      <c r="E9762" t="inlineStr">
        <is>
          <t>YDRE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29628-2024</t>
        </is>
      </c>
      <c r="B9763" s="1" t="n">
        <v>45484</v>
      </c>
      <c r="C9763" s="1" t="n">
        <v>45710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Holmen skog AB</t>
        </is>
      </c>
      <c r="G9763" t="n">
        <v>6.4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29523-2024</t>
        </is>
      </c>
      <c r="B9764" s="1" t="n">
        <v>45484</v>
      </c>
      <c r="C9764" s="1" t="n">
        <v>45710</v>
      </c>
      <c r="D9764" t="inlineStr">
        <is>
          <t>ÖSTERGÖTLANDS LÄN</t>
        </is>
      </c>
      <c r="E9764" t="inlineStr">
        <is>
          <t>MOTALA</t>
        </is>
      </c>
      <c r="G9764" t="n">
        <v>4.8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29507-2024</t>
        </is>
      </c>
      <c r="B9765" s="1" t="n">
        <v>45484</v>
      </c>
      <c r="C9765" s="1" t="n">
        <v>45710</v>
      </c>
      <c r="D9765" t="inlineStr">
        <is>
          <t>ÖSTERGÖTLANDS LÄN</t>
        </is>
      </c>
      <c r="E9765" t="inlineStr">
        <is>
          <t>KINDA</t>
        </is>
      </c>
      <c r="G9765" t="n">
        <v>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29615-2024</t>
        </is>
      </c>
      <c r="B9766" s="1" t="n">
        <v>45484</v>
      </c>
      <c r="C9766" s="1" t="n">
        <v>45710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Holmen skog AB</t>
        </is>
      </c>
      <c r="G9766" t="n">
        <v>7.3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29607-2024</t>
        </is>
      </c>
      <c r="B9767" s="1" t="n">
        <v>45484</v>
      </c>
      <c r="C9767" s="1" t="n">
        <v>45710</v>
      </c>
      <c r="D9767" t="inlineStr">
        <is>
          <t>ÖSTERGÖTLANDS LÄN</t>
        </is>
      </c>
      <c r="E9767" t="inlineStr">
        <is>
          <t>YDRE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29525-2024</t>
        </is>
      </c>
      <c r="B9768" s="1" t="n">
        <v>45484</v>
      </c>
      <c r="C9768" s="1" t="n">
        <v>45710</v>
      </c>
      <c r="D9768" t="inlineStr">
        <is>
          <t>ÖSTERGÖTLANDS LÄN</t>
        </is>
      </c>
      <c r="E9768" t="inlineStr">
        <is>
          <t>MOTALA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30088-2024</t>
        </is>
      </c>
      <c r="B9769" s="1" t="n">
        <v>45485</v>
      </c>
      <c r="C9769" s="1" t="n">
        <v>45710</v>
      </c>
      <c r="D9769" t="inlineStr">
        <is>
          <t>ÖSTERGÖTLANDS LÄN</t>
        </is>
      </c>
      <c r="E9769" t="inlineStr">
        <is>
          <t>YDRE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29859-2024</t>
        </is>
      </c>
      <c r="B9770" s="1" t="n">
        <v>45485</v>
      </c>
      <c r="C9770" s="1" t="n">
        <v>45710</v>
      </c>
      <c r="D9770" t="inlineStr">
        <is>
          <t>ÖSTERGÖTLANDS LÄN</t>
        </is>
      </c>
      <c r="E9770" t="inlineStr">
        <is>
          <t>LINKÖPING</t>
        </is>
      </c>
      <c r="G9770" t="n">
        <v>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29794-2024</t>
        </is>
      </c>
      <c r="B9771" s="1" t="n">
        <v>45485</v>
      </c>
      <c r="C9771" s="1" t="n">
        <v>45710</v>
      </c>
      <c r="D9771" t="inlineStr">
        <is>
          <t>ÖSTERGÖTLANDS LÄN</t>
        </is>
      </c>
      <c r="E9771" t="inlineStr">
        <is>
          <t>KINDA</t>
        </is>
      </c>
      <c r="G9771" t="n">
        <v>2.1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29806-2024</t>
        </is>
      </c>
      <c r="B9772" s="1" t="n">
        <v>45485</v>
      </c>
      <c r="C9772" s="1" t="n">
        <v>45710</v>
      </c>
      <c r="D9772" t="inlineStr">
        <is>
          <t>ÖSTERGÖTLANDS LÄN</t>
        </is>
      </c>
      <c r="E9772" t="inlineStr">
        <is>
          <t>NORRKÖPING</t>
        </is>
      </c>
      <c r="G9772" t="n">
        <v>7.3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29822-2024</t>
        </is>
      </c>
      <c r="B9773" s="1" t="n">
        <v>45485</v>
      </c>
      <c r="C9773" s="1" t="n">
        <v>45710</v>
      </c>
      <c r="D9773" t="inlineStr">
        <is>
          <t>ÖSTERGÖTLANDS LÄN</t>
        </is>
      </c>
      <c r="E9773" t="inlineStr">
        <is>
          <t>ÅTVIDABERG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29826-2024</t>
        </is>
      </c>
      <c r="B9774" s="1" t="n">
        <v>45485</v>
      </c>
      <c r="C9774" s="1" t="n">
        <v>45710</v>
      </c>
      <c r="D9774" t="inlineStr">
        <is>
          <t>ÖSTERGÖTLANDS LÄN</t>
        </is>
      </c>
      <c r="E9774" t="inlineStr">
        <is>
          <t>ÅTVIDABERG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29716-2024</t>
        </is>
      </c>
      <c r="B9775" s="1" t="n">
        <v>45485</v>
      </c>
      <c r="C9775" s="1" t="n">
        <v>45710</v>
      </c>
      <c r="D9775" t="inlineStr">
        <is>
          <t>ÖSTERGÖTLANDS LÄN</t>
        </is>
      </c>
      <c r="E9775" t="inlineStr">
        <is>
          <t>MOTALA</t>
        </is>
      </c>
      <c r="F9775" t="inlineStr">
        <is>
          <t>Holmen skog AB</t>
        </is>
      </c>
      <c r="G9775" t="n">
        <v>11.4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29776-2024</t>
        </is>
      </c>
      <c r="B9776" s="1" t="n">
        <v>45485</v>
      </c>
      <c r="C9776" s="1" t="n">
        <v>45710</v>
      </c>
      <c r="D9776" t="inlineStr">
        <is>
          <t>ÖSTERGÖTLANDS LÄN</t>
        </is>
      </c>
      <c r="E9776" t="inlineStr">
        <is>
          <t>VALDEMARSVIK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29792-2024</t>
        </is>
      </c>
      <c r="B9777" s="1" t="n">
        <v>45485</v>
      </c>
      <c r="C9777" s="1" t="n">
        <v>45710</v>
      </c>
      <c r="D9777" t="inlineStr">
        <is>
          <t>ÖSTERGÖTLANDS LÄN</t>
        </is>
      </c>
      <c r="E9777" t="inlineStr">
        <is>
          <t>KINDA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29741-2024</t>
        </is>
      </c>
      <c r="B9778" s="1" t="n">
        <v>45485</v>
      </c>
      <c r="C9778" s="1" t="n">
        <v>45710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29777-2024</t>
        </is>
      </c>
      <c r="B9779" s="1" t="n">
        <v>45485</v>
      </c>
      <c r="C9779" s="1" t="n">
        <v>45710</v>
      </c>
      <c r="D9779" t="inlineStr">
        <is>
          <t>ÖSTERGÖTLANDS LÄN</t>
        </is>
      </c>
      <c r="E9779" t="inlineStr">
        <is>
          <t>VALDEMARSVIK</t>
        </is>
      </c>
      <c r="G9779" t="n">
        <v>1.7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30084-2024</t>
        </is>
      </c>
      <c r="B9780" s="1" t="n">
        <v>45485</v>
      </c>
      <c r="C9780" s="1" t="n">
        <v>45710</v>
      </c>
      <c r="D9780" t="inlineStr">
        <is>
          <t>ÖSTERGÖTLANDS LÄN</t>
        </is>
      </c>
      <c r="E9780" t="inlineStr">
        <is>
          <t>YDRE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29825-2024</t>
        </is>
      </c>
      <c r="B9781" s="1" t="n">
        <v>45485</v>
      </c>
      <c r="C9781" s="1" t="n">
        <v>45710</v>
      </c>
      <c r="D9781" t="inlineStr">
        <is>
          <t>ÖSTERGÖTLANDS LÄN</t>
        </is>
      </c>
      <c r="E9781" t="inlineStr">
        <is>
          <t>ÅTVIDABERG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30085-2024</t>
        </is>
      </c>
      <c r="B9782" s="1" t="n">
        <v>45485</v>
      </c>
      <c r="C9782" s="1" t="n">
        <v>45710</v>
      </c>
      <c r="D9782" t="inlineStr">
        <is>
          <t>ÖSTERGÖTLANDS LÄN</t>
        </is>
      </c>
      <c r="E9782" t="inlineStr">
        <is>
          <t>YDRE</t>
        </is>
      </c>
      <c r="G9782" t="n">
        <v>4.2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29846-2024</t>
        </is>
      </c>
      <c r="B9783" s="1" t="n">
        <v>45485</v>
      </c>
      <c r="C9783" s="1" t="n">
        <v>45710</v>
      </c>
      <c r="D9783" t="inlineStr">
        <is>
          <t>ÖSTERGÖTLANDS LÄN</t>
        </is>
      </c>
      <c r="E9783" t="inlineStr">
        <is>
          <t>NORRKÖPING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29858-2024</t>
        </is>
      </c>
      <c r="B9784" s="1" t="n">
        <v>45485</v>
      </c>
      <c r="C9784" s="1" t="n">
        <v>45710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29727-2024</t>
        </is>
      </c>
      <c r="B9785" s="1" t="n">
        <v>45485</v>
      </c>
      <c r="C9785" s="1" t="n">
        <v>45710</v>
      </c>
      <c r="D9785" t="inlineStr">
        <is>
          <t>ÖSTERGÖTLANDS LÄN</t>
        </is>
      </c>
      <c r="E9785" t="inlineStr">
        <is>
          <t>MOTALA</t>
        </is>
      </c>
      <c r="F9785" t="inlineStr">
        <is>
          <t>Holmen skog AB</t>
        </is>
      </c>
      <c r="G9785" t="n">
        <v>5.2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29703-2024</t>
        </is>
      </c>
      <c r="B9786" s="1" t="n">
        <v>45485</v>
      </c>
      <c r="C9786" s="1" t="n">
        <v>45710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29857-2024</t>
        </is>
      </c>
      <c r="B9787" s="1" t="n">
        <v>45485</v>
      </c>
      <c r="C9787" s="1" t="n">
        <v>45710</v>
      </c>
      <c r="D9787" t="inlineStr">
        <is>
          <t>ÖSTERGÖTLANDS LÄN</t>
        </is>
      </c>
      <c r="E9787" t="inlineStr">
        <is>
          <t>NORRKÖPING</t>
        </is>
      </c>
      <c r="F9787" t="inlineStr">
        <is>
          <t>Kommuner</t>
        </is>
      </c>
      <c r="G9787" t="n">
        <v>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30030-2024</t>
        </is>
      </c>
      <c r="B9788" s="1" t="n">
        <v>45488</v>
      </c>
      <c r="C9788" s="1" t="n">
        <v>45710</v>
      </c>
      <c r="D9788" t="inlineStr">
        <is>
          <t>ÖSTERGÖTLANDS LÄN</t>
        </is>
      </c>
      <c r="E9788" t="inlineStr">
        <is>
          <t>NORRKÖPING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29976-2024</t>
        </is>
      </c>
      <c r="B9789" s="1" t="n">
        <v>45488</v>
      </c>
      <c r="C9789" s="1" t="n">
        <v>45710</v>
      </c>
      <c r="D9789" t="inlineStr">
        <is>
          <t>ÖSTERGÖTLANDS LÄN</t>
        </is>
      </c>
      <c r="E9789" t="inlineStr">
        <is>
          <t>MOTALA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30169-2024</t>
        </is>
      </c>
      <c r="B9790" s="1" t="n">
        <v>45489</v>
      </c>
      <c r="C9790" s="1" t="n">
        <v>45710</v>
      </c>
      <c r="D9790" t="inlineStr">
        <is>
          <t>ÖSTERGÖTLANDS LÄN</t>
        </is>
      </c>
      <c r="E9790" t="inlineStr">
        <is>
          <t>MOTALA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30114-2024</t>
        </is>
      </c>
      <c r="B9791" s="1" t="n">
        <v>45489</v>
      </c>
      <c r="C9791" s="1" t="n">
        <v>45710</v>
      </c>
      <c r="D9791" t="inlineStr">
        <is>
          <t>ÖSTERGÖTLANDS LÄN</t>
        </is>
      </c>
      <c r="E9791" t="inlineStr">
        <is>
          <t>SÖDERKÖPING</t>
        </is>
      </c>
      <c r="G9791" t="n">
        <v>0.3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30119-2024</t>
        </is>
      </c>
      <c r="B9792" s="1" t="n">
        <v>45489</v>
      </c>
      <c r="C9792" s="1" t="n">
        <v>45710</v>
      </c>
      <c r="D9792" t="inlineStr">
        <is>
          <t>ÖSTERGÖTLANDS LÄN</t>
        </is>
      </c>
      <c r="E9792" t="inlineStr">
        <is>
          <t>LINKÖPING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30111-2024</t>
        </is>
      </c>
      <c r="B9793" s="1" t="n">
        <v>45489</v>
      </c>
      <c r="C9793" s="1" t="n">
        <v>45710</v>
      </c>
      <c r="D9793" t="inlineStr">
        <is>
          <t>ÖSTERGÖTLANDS LÄN</t>
        </is>
      </c>
      <c r="E9793" t="inlineStr">
        <is>
          <t>LINKÖPING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30210-2024</t>
        </is>
      </c>
      <c r="B9794" s="1" t="n">
        <v>45490</v>
      </c>
      <c r="C9794" s="1" t="n">
        <v>45710</v>
      </c>
      <c r="D9794" t="inlineStr">
        <is>
          <t>ÖSTERGÖTLANDS LÄN</t>
        </is>
      </c>
      <c r="E9794" t="inlineStr">
        <is>
          <t>BOXHOLM</t>
        </is>
      </c>
      <c r="F9794" t="inlineStr">
        <is>
          <t>Övriga Aktiebolag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30322-2024</t>
        </is>
      </c>
      <c r="B9795" s="1" t="n">
        <v>45490</v>
      </c>
      <c r="C9795" s="1" t="n">
        <v>45710</v>
      </c>
      <c r="D9795" t="inlineStr">
        <is>
          <t>ÖSTERGÖTLANDS LÄN</t>
        </is>
      </c>
      <c r="E9795" t="inlineStr">
        <is>
          <t>SÖDERKÖPING</t>
        </is>
      </c>
      <c r="G9795" t="n">
        <v>2.3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30315-2024</t>
        </is>
      </c>
      <c r="B9796" s="1" t="n">
        <v>45490</v>
      </c>
      <c r="C9796" s="1" t="n">
        <v>45710</v>
      </c>
      <c r="D9796" t="inlineStr">
        <is>
          <t>ÖSTERGÖTLANDS LÄN</t>
        </is>
      </c>
      <c r="E9796" t="inlineStr">
        <is>
          <t>NORRKÖPING</t>
        </is>
      </c>
      <c r="G9796" t="n">
        <v>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30324-2024</t>
        </is>
      </c>
      <c r="B9797" s="1" t="n">
        <v>45491</v>
      </c>
      <c r="C9797" s="1" t="n">
        <v>45710</v>
      </c>
      <c r="D9797" t="inlineStr">
        <is>
          <t>ÖSTERGÖTLANDS LÄN</t>
        </is>
      </c>
      <c r="E9797" t="inlineStr">
        <is>
          <t>SÖDERKÖPING</t>
        </is>
      </c>
      <c r="G9797" t="n">
        <v>10.9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30389-2024</t>
        </is>
      </c>
      <c r="B9798" s="1" t="n">
        <v>45491</v>
      </c>
      <c r="C9798" s="1" t="n">
        <v>45710</v>
      </c>
      <c r="D9798" t="inlineStr">
        <is>
          <t>ÖSTERGÖTLANDS LÄN</t>
        </is>
      </c>
      <c r="E9798" t="inlineStr">
        <is>
          <t>ÖDESHÖG</t>
        </is>
      </c>
      <c r="G9798" t="n">
        <v>5.6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30435-2024</t>
        </is>
      </c>
      <c r="B9799" s="1" t="n">
        <v>45491</v>
      </c>
      <c r="C9799" s="1" t="n">
        <v>45710</v>
      </c>
      <c r="D9799" t="inlineStr">
        <is>
          <t>ÖSTERGÖTLANDS LÄN</t>
        </is>
      </c>
      <c r="E9799" t="inlineStr">
        <is>
          <t>LINKÖPING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30388-2024</t>
        </is>
      </c>
      <c r="B9800" s="1" t="n">
        <v>45491</v>
      </c>
      <c r="C9800" s="1" t="n">
        <v>45710</v>
      </c>
      <c r="D9800" t="inlineStr">
        <is>
          <t>ÖSTERGÖTLANDS LÄN</t>
        </is>
      </c>
      <c r="E9800" t="inlineStr">
        <is>
          <t>ÖDESHÖG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30432-2024</t>
        </is>
      </c>
      <c r="B9801" s="1" t="n">
        <v>45491</v>
      </c>
      <c r="C9801" s="1" t="n">
        <v>45710</v>
      </c>
      <c r="D9801" t="inlineStr">
        <is>
          <t>ÖSTERGÖTLANDS LÄN</t>
        </is>
      </c>
      <c r="E9801" t="inlineStr">
        <is>
          <t>LINKÖPING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30433-2024</t>
        </is>
      </c>
      <c r="B9802" s="1" t="n">
        <v>45491</v>
      </c>
      <c r="C9802" s="1" t="n">
        <v>45710</v>
      </c>
      <c r="D9802" t="inlineStr">
        <is>
          <t>ÖSTERGÖTLANDS LÄN</t>
        </is>
      </c>
      <c r="E9802" t="inlineStr">
        <is>
          <t>LINKÖPING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30429-2024</t>
        </is>
      </c>
      <c r="B9803" s="1" t="n">
        <v>45491</v>
      </c>
      <c r="C9803" s="1" t="n">
        <v>45710</v>
      </c>
      <c r="D9803" t="inlineStr">
        <is>
          <t>ÖSTERGÖTLANDS LÄN</t>
        </is>
      </c>
      <c r="E9803" t="inlineStr">
        <is>
          <t>LINKÖPING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30434-2024</t>
        </is>
      </c>
      <c r="B9804" s="1" t="n">
        <v>45491</v>
      </c>
      <c r="C9804" s="1" t="n">
        <v>45710</v>
      </c>
      <c r="D9804" t="inlineStr">
        <is>
          <t>ÖSTERGÖTLANDS LÄN</t>
        </is>
      </c>
      <c r="E9804" t="inlineStr">
        <is>
          <t>LINKÖPING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30516-2024</t>
        </is>
      </c>
      <c r="B9805" s="1" t="n">
        <v>45492</v>
      </c>
      <c r="C9805" s="1" t="n">
        <v>45710</v>
      </c>
      <c r="D9805" t="inlineStr">
        <is>
          <t>ÖSTERGÖTLANDS LÄN</t>
        </is>
      </c>
      <c r="E9805" t="inlineStr">
        <is>
          <t>LINKÖPING</t>
        </is>
      </c>
      <c r="G9805" t="n">
        <v>1.8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30554-2024</t>
        </is>
      </c>
      <c r="B9806" s="1" t="n">
        <v>45492</v>
      </c>
      <c r="C9806" s="1" t="n">
        <v>45710</v>
      </c>
      <c r="D9806" t="inlineStr">
        <is>
          <t>ÖSTERGÖTLANDS LÄN</t>
        </is>
      </c>
      <c r="E9806" t="inlineStr">
        <is>
          <t>YDRE</t>
        </is>
      </c>
      <c r="G9806" t="n">
        <v>2.6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30521-2024</t>
        </is>
      </c>
      <c r="B9807" s="1" t="n">
        <v>45492</v>
      </c>
      <c r="C9807" s="1" t="n">
        <v>45710</v>
      </c>
      <c r="D9807" t="inlineStr">
        <is>
          <t>ÖSTERGÖTLANDS LÄN</t>
        </is>
      </c>
      <c r="E9807" t="inlineStr">
        <is>
          <t>LINKÖPING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30517-2024</t>
        </is>
      </c>
      <c r="B9808" s="1" t="n">
        <v>45492</v>
      </c>
      <c r="C9808" s="1" t="n">
        <v>45710</v>
      </c>
      <c r="D9808" t="inlineStr">
        <is>
          <t>ÖSTERGÖTLANDS LÄN</t>
        </is>
      </c>
      <c r="E9808" t="inlineStr">
        <is>
          <t>LINKÖPING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30518-2024</t>
        </is>
      </c>
      <c r="B9809" s="1" t="n">
        <v>45492</v>
      </c>
      <c r="C9809" s="1" t="n">
        <v>45710</v>
      </c>
      <c r="D9809" t="inlineStr">
        <is>
          <t>ÖSTERGÖTLANDS LÄN</t>
        </is>
      </c>
      <c r="E9809" t="inlineStr">
        <is>
          <t>LINKÖPING</t>
        </is>
      </c>
      <c r="G9809" t="n">
        <v>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30519-2024</t>
        </is>
      </c>
      <c r="B9810" s="1" t="n">
        <v>45492</v>
      </c>
      <c r="C9810" s="1" t="n">
        <v>45710</v>
      </c>
      <c r="D9810" t="inlineStr">
        <is>
          <t>ÖSTERGÖTLANDS LÄN</t>
        </is>
      </c>
      <c r="E9810" t="inlineStr">
        <is>
          <t>LINKÖPING</t>
        </is>
      </c>
      <c r="G9810" t="n">
        <v>1.3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30673-2024</t>
        </is>
      </c>
      <c r="B9811" s="1" t="n">
        <v>45495</v>
      </c>
      <c r="C9811" s="1" t="n">
        <v>45710</v>
      </c>
      <c r="D9811" t="inlineStr">
        <is>
          <t>ÖSTERGÖTLANDS LÄN</t>
        </is>
      </c>
      <c r="E9811" t="inlineStr">
        <is>
          <t>VALDEMARSVIK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30678-2024</t>
        </is>
      </c>
      <c r="B9812" s="1" t="n">
        <v>45495</v>
      </c>
      <c r="C9812" s="1" t="n">
        <v>45710</v>
      </c>
      <c r="D9812" t="inlineStr">
        <is>
          <t>ÖSTERGÖTLANDS LÄN</t>
        </is>
      </c>
      <c r="E9812" t="inlineStr">
        <is>
          <t>LINKÖPING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30865-2024</t>
        </is>
      </c>
      <c r="B9813" s="1" t="n">
        <v>45497</v>
      </c>
      <c r="C9813" s="1" t="n">
        <v>45710</v>
      </c>
      <c r="D9813" t="inlineStr">
        <is>
          <t>ÖSTERGÖTLANDS LÄN</t>
        </is>
      </c>
      <c r="E9813" t="inlineStr">
        <is>
          <t>NORRKÖPING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30929-2024</t>
        </is>
      </c>
      <c r="B9814" s="1" t="n">
        <v>45498</v>
      </c>
      <c r="C9814" s="1" t="n">
        <v>45710</v>
      </c>
      <c r="D9814" t="inlineStr">
        <is>
          <t>ÖSTERGÖTLANDS LÄN</t>
        </is>
      </c>
      <c r="E9814" t="inlineStr">
        <is>
          <t>FINSPÅNG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30932-2024</t>
        </is>
      </c>
      <c r="B9815" s="1" t="n">
        <v>45498</v>
      </c>
      <c r="C9815" s="1" t="n">
        <v>45710</v>
      </c>
      <c r="D9815" t="inlineStr">
        <is>
          <t>ÖSTERGÖTLANDS LÄN</t>
        </is>
      </c>
      <c r="E9815" t="inlineStr">
        <is>
          <t>FINSPÅNG</t>
        </is>
      </c>
      <c r="G9815" t="n">
        <v>2.6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30928-2024</t>
        </is>
      </c>
      <c r="B9816" s="1" t="n">
        <v>45498</v>
      </c>
      <c r="C9816" s="1" t="n">
        <v>45710</v>
      </c>
      <c r="D9816" t="inlineStr">
        <is>
          <t>ÖSTERGÖTLANDS LÄN</t>
        </is>
      </c>
      <c r="E9816" t="inlineStr">
        <is>
          <t>FINSPÅNG</t>
        </is>
      </c>
      <c r="G9816" t="n">
        <v>5.4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30930-2024</t>
        </is>
      </c>
      <c r="B9817" s="1" t="n">
        <v>45498</v>
      </c>
      <c r="C9817" s="1" t="n">
        <v>45710</v>
      </c>
      <c r="D9817" t="inlineStr">
        <is>
          <t>ÖSTERGÖTLANDS LÄN</t>
        </is>
      </c>
      <c r="E9817" t="inlineStr">
        <is>
          <t>FINSPÅNG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31055-2024</t>
        </is>
      </c>
      <c r="B9818" s="1" t="n">
        <v>45502</v>
      </c>
      <c r="C9818" s="1" t="n">
        <v>45710</v>
      </c>
      <c r="D9818" t="inlineStr">
        <is>
          <t>ÖSTERGÖTLANDS LÄN</t>
        </is>
      </c>
      <c r="E9818" t="inlineStr">
        <is>
          <t>YDRE</t>
        </is>
      </c>
      <c r="G9818" t="n">
        <v>2.3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31062-2024</t>
        </is>
      </c>
      <c r="B9819" s="1" t="n">
        <v>45502</v>
      </c>
      <c r="C9819" s="1" t="n">
        <v>45710</v>
      </c>
      <c r="D9819" t="inlineStr">
        <is>
          <t>ÖSTERGÖTLANDS LÄN</t>
        </is>
      </c>
      <c r="E9819" t="inlineStr">
        <is>
          <t>YDRE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31042-2024</t>
        </is>
      </c>
      <c r="B9820" s="1" t="n">
        <v>45502</v>
      </c>
      <c r="C9820" s="1" t="n">
        <v>45710</v>
      </c>
      <c r="D9820" t="inlineStr">
        <is>
          <t>ÖSTERGÖTLANDS LÄN</t>
        </is>
      </c>
      <c r="E9820" t="inlineStr">
        <is>
          <t>BOXHOLM</t>
        </is>
      </c>
      <c r="F9820" t="inlineStr">
        <is>
          <t>Övriga Aktiebolag</t>
        </is>
      </c>
      <c r="G9820" t="n">
        <v>2.5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31315-2024</t>
        </is>
      </c>
      <c r="B9821" s="1" t="n">
        <v>45504</v>
      </c>
      <c r="C9821" s="1" t="n">
        <v>45710</v>
      </c>
      <c r="D9821" t="inlineStr">
        <is>
          <t>ÖSTERGÖTLANDS LÄN</t>
        </is>
      </c>
      <c r="E9821" t="inlineStr">
        <is>
          <t>SÖDERKÖPING</t>
        </is>
      </c>
      <c r="G9821" t="n">
        <v>2.3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31342-2024</t>
        </is>
      </c>
      <c r="B9822" s="1" t="n">
        <v>45504</v>
      </c>
      <c r="C9822" s="1" t="n">
        <v>45710</v>
      </c>
      <c r="D9822" t="inlineStr">
        <is>
          <t>ÖSTERGÖTLANDS LÄN</t>
        </is>
      </c>
      <c r="E9822" t="inlineStr">
        <is>
          <t>NORRKÖPING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31308-2024</t>
        </is>
      </c>
      <c r="B9823" s="1" t="n">
        <v>45504</v>
      </c>
      <c r="C9823" s="1" t="n">
        <v>45710</v>
      </c>
      <c r="D9823" t="inlineStr">
        <is>
          <t>ÖSTERGÖTLANDS LÄN</t>
        </is>
      </c>
      <c r="E9823" t="inlineStr">
        <is>
          <t>SÖDERKÖPING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31312-2024</t>
        </is>
      </c>
      <c r="B9824" s="1" t="n">
        <v>45504</v>
      </c>
      <c r="C9824" s="1" t="n">
        <v>45710</v>
      </c>
      <c r="D9824" t="inlineStr">
        <is>
          <t>ÖSTERGÖTLANDS LÄN</t>
        </is>
      </c>
      <c r="E9824" t="inlineStr">
        <is>
          <t>SÖDERKÖPING</t>
        </is>
      </c>
      <c r="G9824" t="n">
        <v>4.1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31310-2024</t>
        </is>
      </c>
      <c r="B9825" s="1" t="n">
        <v>45504</v>
      </c>
      <c r="C9825" s="1" t="n">
        <v>45710</v>
      </c>
      <c r="D9825" t="inlineStr">
        <is>
          <t>ÖSTERGÖTLANDS LÄN</t>
        </is>
      </c>
      <c r="E9825" t="inlineStr">
        <is>
          <t>SÖDERKÖPING</t>
        </is>
      </c>
      <c r="G9825" t="n">
        <v>4.2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31314-2024</t>
        </is>
      </c>
      <c r="B9826" s="1" t="n">
        <v>45504</v>
      </c>
      <c r="C9826" s="1" t="n">
        <v>45710</v>
      </c>
      <c r="D9826" t="inlineStr">
        <is>
          <t>ÖSTERGÖTLANDS LÄN</t>
        </is>
      </c>
      <c r="E9826" t="inlineStr">
        <is>
          <t>SÖDERKÖPING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31313-2024</t>
        </is>
      </c>
      <c r="B9827" s="1" t="n">
        <v>45504</v>
      </c>
      <c r="C9827" s="1" t="n">
        <v>45710</v>
      </c>
      <c r="D9827" t="inlineStr">
        <is>
          <t>ÖSTERGÖTLANDS LÄN</t>
        </is>
      </c>
      <c r="E9827" t="inlineStr">
        <is>
          <t>SÖDERKÖPING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31305-2024</t>
        </is>
      </c>
      <c r="B9828" s="1" t="n">
        <v>45504</v>
      </c>
      <c r="C9828" s="1" t="n">
        <v>45710</v>
      </c>
      <c r="D9828" t="inlineStr">
        <is>
          <t>ÖSTERGÖTLANDS LÄN</t>
        </is>
      </c>
      <c r="E9828" t="inlineStr">
        <is>
          <t>SÖDERKÖPING</t>
        </is>
      </c>
      <c r="G9828" t="n">
        <v>5.3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31706-2024</t>
        </is>
      </c>
      <c r="B9829" s="1" t="n">
        <v>45508</v>
      </c>
      <c r="C9829" s="1" t="n">
        <v>45710</v>
      </c>
      <c r="D9829" t="inlineStr">
        <is>
          <t>ÖSTERGÖTLANDS LÄN</t>
        </is>
      </c>
      <c r="E9829" t="inlineStr">
        <is>
          <t>LINKÖPING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31801-2024</t>
        </is>
      </c>
      <c r="B9830" s="1" t="n">
        <v>45509</v>
      </c>
      <c r="C9830" s="1" t="n">
        <v>45710</v>
      </c>
      <c r="D9830" t="inlineStr">
        <is>
          <t>ÖSTERGÖTLANDS LÄN</t>
        </is>
      </c>
      <c r="E9830" t="inlineStr">
        <is>
          <t>NORRKÖPING</t>
        </is>
      </c>
      <c r="G9830" t="n">
        <v>3.6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31831-2024</t>
        </is>
      </c>
      <c r="B9831" s="1" t="n">
        <v>45509</v>
      </c>
      <c r="C9831" s="1" t="n">
        <v>45710</v>
      </c>
      <c r="D9831" t="inlineStr">
        <is>
          <t>ÖSTERGÖTLANDS LÄN</t>
        </is>
      </c>
      <c r="E9831" t="inlineStr">
        <is>
          <t>MJÖLBY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31832-2024</t>
        </is>
      </c>
      <c r="B9832" s="1" t="n">
        <v>45509</v>
      </c>
      <c r="C9832" s="1" t="n">
        <v>45710</v>
      </c>
      <c r="D9832" t="inlineStr">
        <is>
          <t>ÖSTERGÖTLANDS LÄN</t>
        </is>
      </c>
      <c r="E9832" t="inlineStr">
        <is>
          <t>MJÖLBY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32016-2024</t>
        </is>
      </c>
      <c r="B9833" s="1" t="n">
        <v>45510</v>
      </c>
      <c r="C9833" s="1" t="n">
        <v>45710</v>
      </c>
      <c r="D9833" t="inlineStr">
        <is>
          <t>ÖSTERGÖTLANDS LÄN</t>
        </is>
      </c>
      <c r="E9833" t="inlineStr">
        <is>
          <t>YDRE</t>
        </is>
      </c>
      <c r="G9833" t="n">
        <v>2.7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32151-2024</t>
        </is>
      </c>
      <c r="B9834" s="1" t="n">
        <v>45511</v>
      </c>
      <c r="C9834" s="1" t="n">
        <v>45710</v>
      </c>
      <c r="D9834" t="inlineStr">
        <is>
          <t>ÖSTERGÖTLANDS LÄN</t>
        </is>
      </c>
      <c r="E9834" t="inlineStr">
        <is>
          <t>MJÖLBY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32133-2024</t>
        </is>
      </c>
      <c r="B9835" s="1" t="n">
        <v>45511</v>
      </c>
      <c r="C9835" s="1" t="n">
        <v>45710</v>
      </c>
      <c r="D9835" t="inlineStr">
        <is>
          <t>ÖSTERGÖTLANDS LÄN</t>
        </is>
      </c>
      <c r="E9835" t="inlineStr">
        <is>
          <t>YDRE</t>
        </is>
      </c>
      <c r="G9835" t="n">
        <v>4.1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32089-2024</t>
        </is>
      </c>
      <c r="B9836" s="1" t="n">
        <v>45511</v>
      </c>
      <c r="C9836" s="1" t="n">
        <v>45710</v>
      </c>
      <c r="D9836" t="inlineStr">
        <is>
          <t>ÖSTERGÖTLANDS LÄN</t>
        </is>
      </c>
      <c r="E9836" t="inlineStr">
        <is>
          <t>BOXHOLM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32378-2024</t>
        </is>
      </c>
      <c r="B9837" s="1" t="n">
        <v>45512</v>
      </c>
      <c r="C9837" s="1" t="n">
        <v>45710</v>
      </c>
      <c r="D9837" t="inlineStr">
        <is>
          <t>ÖSTERGÖTLANDS LÄN</t>
        </is>
      </c>
      <c r="E9837" t="inlineStr">
        <is>
          <t>ÖDESHÖG</t>
        </is>
      </c>
      <c r="G9837" t="n">
        <v>2.1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32335-2024</t>
        </is>
      </c>
      <c r="B9838" s="1" t="n">
        <v>45512</v>
      </c>
      <c r="C9838" s="1" t="n">
        <v>45710</v>
      </c>
      <c r="D9838" t="inlineStr">
        <is>
          <t>ÖSTERGÖTLANDS LÄN</t>
        </is>
      </c>
      <c r="E9838" t="inlineStr">
        <is>
          <t>ÖDESHÖG</t>
        </is>
      </c>
      <c r="G9838" t="n">
        <v>3.2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32862-2024</t>
        </is>
      </c>
      <c r="B9839" s="1" t="n">
        <v>45516</v>
      </c>
      <c r="C9839" s="1" t="n">
        <v>45710</v>
      </c>
      <c r="D9839" t="inlineStr">
        <is>
          <t>ÖSTERGÖTLANDS LÄN</t>
        </is>
      </c>
      <c r="E9839" t="inlineStr">
        <is>
          <t>NORRKÖPING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32858-2024</t>
        </is>
      </c>
      <c r="B9840" s="1" t="n">
        <v>45516</v>
      </c>
      <c r="C9840" s="1" t="n">
        <v>45710</v>
      </c>
      <c r="D9840" t="inlineStr">
        <is>
          <t>ÖSTERGÖTLANDS LÄN</t>
        </is>
      </c>
      <c r="E9840" t="inlineStr">
        <is>
          <t>NORRKÖPING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32846-2024</t>
        </is>
      </c>
      <c r="B9841" s="1" t="n">
        <v>45516</v>
      </c>
      <c r="C9841" s="1" t="n">
        <v>45710</v>
      </c>
      <c r="D9841" t="inlineStr">
        <is>
          <t>ÖSTERGÖTLANDS LÄN</t>
        </is>
      </c>
      <c r="E9841" t="inlineStr">
        <is>
          <t>NORRKÖPING</t>
        </is>
      </c>
      <c r="G9841" t="n">
        <v>7.3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32825-2024</t>
        </is>
      </c>
      <c r="B9842" s="1" t="n">
        <v>45516</v>
      </c>
      <c r="C9842" s="1" t="n">
        <v>45710</v>
      </c>
      <c r="D9842" t="inlineStr">
        <is>
          <t>ÖSTERGÖTLANDS LÄN</t>
        </is>
      </c>
      <c r="E9842" t="inlineStr">
        <is>
          <t>YDRE</t>
        </is>
      </c>
      <c r="G9842" t="n">
        <v>4.2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32715-2024</t>
        </is>
      </c>
      <c r="B9843" s="1" t="n">
        <v>45516</v>
      </c>
      <c r="C9843" s="1" t="n">
        <v>45710</v>
      </c>
      <c r="D9843" t="inlineStr">
        <is>
          <t>ÖSTERGÖTLANDS LÄN</t>
        </is>
      </c>
      <c r="E9843" t="inlineStr">
        <is>
          <t>ÖDESHÖG</t>
        </is>
      </c>
      <c r="G9843" t="n">
        <v>0.5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32713-2024</t>
        </is>
      </c>
      <c r="B9844" s="1" t="n">
        <v>45516</v>
      </c>
      <c r="C9844" s="1" t="n">
        <v>45710</v>
      </c>
      <c r="D9844" t="inlineStr">
        <is>
          <t>ÖSTERGÖTLANDS LÄN</t>
        </is>
      </c>
      <c r="E9844" t="inlineStr">
        <is>
          <t>ÖDESHÖG</t>
        </is>
      </c>
      <c r="G9844" t="n">
        <v>6.1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32789-2024</t>
        </is>
      </c>
      <c r="B9845" s="1" t="n">
        <v>45516</v>
      </c>
      <c r="C9845" s="1" t="n">
        <v>45710</v>
      </c>
      <c r="D9845" t="inlineStr">
        <is>
          <t>ÖSTERGÖTLANDS LÄN</t>
        </is>
      </c>
      <c r="E9845" t="inlineStr">
        <is>
          <t>FINSPÅNG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32795-2024</t>
        </is>
      </c>
      <c r="B9846" s="1" t="n">
        <v>45516</v>
      </c>
      <c r="C9846" s="1" t="n">
        <v>45710</v>
      </c>
      <c r="D9846" t="inlineStr">
        <is>
          <t>ÖSTERGÖTLANDS LÄN</t>
        </is>
      </c>
      <c r="E9846" t="inlineStr">
        <is>
          <t>FINSPÅNG</t>
        </is>
      </c>
      <c r="F9846" t="inlineStr">
        <is>
          <t>Kommuner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33003-2024</t>
        </is>
      </c>
      <c r="B9847" s="1" t="n">
        <v>45517</v>
      </c>
      <c r="C9847" s="1" t="n">
        <v>45710</v>
      </c>
      <c r="D9847" t="inlineStr">
        <is>
          <t>ÖSTERGÖTLANDS LÄN</t>
        </is>
      </c>
      <c r="E9847" t="inlineStr">
        <is>
          <t>KINDA</t>
        </is>
      </c>
      <c r="G9847" t="n">
        <v>2.4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32978-2024</t>
        </is>
      </c>
      <c r="B9848" s="1" t="n">
        <v>45517</v>
      </c>
      <c r="C9848" s="1" t="n">
        <v>45710</v>
      </c>
      <c r="D9848" t="inlineStr">
        <is>
          <t>ÖSTERGÖTLANDS LÄN</t>
        </is>
      </c>
      <c r="E9848" t="inlineStr">
        <is>
          <t>KINDA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33045-2024</t>
        </is>
      </c>
      <c r="B9849" s="1" t="n">
        <v>45517</v>
      </c>
      <c r="C9849" s="1" t="n">
        <v>45710</v>
      </c>
      <c r="D9849" t="inlineStr">
        <is>
          <t>ÖSTERGÖTLANDS LÄN</t>
        </is>
      </c>
      <c r="E9849" t="inlineStr">
        <is>
          <t>LINKÖPING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33043-2024</t>
        </is>
      </c>
      <c r="B9850" s="1" t="n">
        <v>45517</v>
      </c>
      <c r="C9850" s="1" t="n">
        <v>45710</v>
      </c>
      <c r="D9850" t="inlineStr">
        <is>
          <t>ÖSTERGÖTLANDS LÄN</t>
        </is>
      </c>
      <c r="E9850" t="inlineStr">
        <is>
          <t>KINDA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33269-2024</t>
        </is>
      </c>
      <c r="B9851" s="1" t="n">
        <v>45518</v>
      </c>
      <c r="C9851" s="1" t="n">
        <v>45710</v>
      </c>
      <c r="D9851" t="inlineStr">
        <is>
          <t>ÖSTERGÖTLANDS LÄN</t>
        </is>
      </c>
      <c r="E9851" t="inlineStr">
        <is>
          <t>FINSPÅNG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33201-2024</t>
        </is>
      </c>
      <c r="B9852" s="1" t="n">
        <v>45518</v>
      </c>
      <c r="C9852" s="1" t="n">
        <v>45710</v>
      </c>
      <c r="D9852" t="inlineStr">
        <is>
          <t>ÖSTERGÖTLANDS LÄN</t>
        </is>
      </c>
      <c r="E9852" t="inlineStr">
        <is>
          <t>SÖDERKÖPING</t>
        </is>
      </c>
      <c r="G9852" t="n">
        <v>11.9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33263-2024</t>
        </is>
      </c>
      <c r="B9853" s="1" t="n">
        <v>45518</v>
      </c>
      <c r="C9853" s="1" t="n">
        <v>45710</v>
      </c>
      <c r="D9853" t="inlineStr">
        <is>
          <t>ÖSTERGÖTLANDS LÄN</t>
        </is>
      </c>
      <c r="E9853" t="inlineStr">
        <is>
          <t>FINSPÅNG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33417-2024</t>
        </is>
      </c>
      <c r="B9854" s="1" t="n">
        <v>45519</v>
      </c>
      <c r="C9854" s="1" t="n">
        <v>45710</v>
      </c>
      <c r="D9854" t="inlineStr">
        <is>
          <t>ÖSTERGÖTLANDS LÄN</t>
        </is>
      </c>
      <c r="E9854" t="inlineStr">
        <is>
          <t>KINDA</t>
        </is>
      </c>
      <c r="G9854" t="n">
        <v>4.2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33532-2024</t>
        </is>
      </c>
      <c r="B9855" s="1" t="n">
        <v>45519</v>
      </c>
      <c r="C9855" s="1" t="n">
        <v>45710</v>
      </c>
      <c r="D9855" t="inlineStr">
        <is>
          <t>ÖSTERGÖTLANDS LÄN</t>
        </is>
      </c>
      <c r="E9855" t="inlineStr">
        <is>
          <t>MJÖLBY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33375-2024</t>
        </is>
      </c>
      <c r="B9856" s="1" t="n">
        <v>45519</v>
      </c>
      <c r="C9856" s="1" t="n">
        <v>45710</v>
      </c>
      <c r="D9856" t="inlineStr">
        <is>
          <t>ÖSTERGÖTLANDS LÄN</t>
        </is>
      </c>
      <c r="E9856" t="inlineStr">
        <is>
          <t>ÖDESHÖG</t>
        </is>
      </c>
      <c r="F9856" t="inlineStr">
        <is>
          <t>Allmännings- och besparingsskogar</t>
        </is>
      </c>
      <c r="G9856" t="n">
        <v>3.7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33549-2024</t>
        </is>
      </c>
      <c r="B9857" s="1" t="n">
        <v>45519</v>
      </c>
      <c r="C9857" s="1" t="n">
        <v>45710</v>
      </c>
      <c r="D9857" t="inlineStr">
        <is>
          <t>ÖSTERGÖTLANDS LÄN</t>
        </is>
      </c>
      <c r="E9857" t="inlineStr">
        <is>
          <t>SÖDERKÖPING</t>
        </is>
      </c>
      <c r="F9857" t="inlineStr">
        <is>
          <t>Allmännings- och besparingsskogar</t>
        </is>
      </c>
      <c r="G9857" t="n">
        <v>3.7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33703-2024</t>
        </is>
      </c>
      <c r="B9858" s="1" t="n">
        <v>45520</v>
      </c>
      <c r="C9858" s="1" t="n">
        <v>45710</v>
      </c>
      <c r="D9858" t="inlineStr">
        <is>
          <t>ÖSTERGÖTLANDS LÄN</t>
        </is>
      </c>
      <c r="E9858" t="inlineStr">
        <is>
          <t>NORRKÖPING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33743-2024</t>
        </is>
      </c>
      <c r="B9859" s="1" t="n">
        <v>45520</v>
      </c>
      <c r="C9859" s="1" t="n">
        <v>45710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33871-2024</t>
        </is>
      </c>
      <c r="B9860" s="1" t="n">
        <v>45520</v>
      </c>
      <c r="C9860" s="1" t="n">
        <v>45710</v>
      </c>
      <c r="D9860" t="inlineStr">
        <is>
          <t>ÖSTERGÖTLANDS LÄN</t>
        </is>
      </c>
      <c r="E9860" t="inlineStr">
        <is>
          <t>NORRKÖPING</t>
        </is>
      </c>
      <c r="F9860" t="inlineStr">
        <is>
          <t>Allmännings- och besparingsskogar</t>
        </is>
      </c>
      <c r="G9860" t="n">
        <v>7.1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33952-2024</t>
        </is>
      </c>
      <c r="B9861" s="1" t="n">
        <v>45523</v>
      </c>
      <c r="C9861" s="1" t="n">
        <v>45710</v>
      </c>
      <c r="D9861" t="inlineStr">
        <is>
          <t>ÖSTERGÖTLANDS LÄN</t>
        </is>
      </c>
      <c r="E9861" t="inlineStr">
        <is>
          <t>KINDA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33922-2024</t>
        </is>
      </c>
      <c r="B9862" s="1" t="n">
        <v>45523</v>
      </c>
      <c r="C9862" s="1" t="n">
        <v>45710</v>
      </c>
      <c r="D9862" t="inlineStr">
        <is>
          <t>ÖSTERGÖTLANDS LÄN</t>
        </is>
      </c>
      <c r="E9862" t="inlineStr">
        <is>
          <t>MJÖLBY</t>
        </is>
      </c>
      <c r="G9862" t="n">
        <v>6.6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34008-2024</t>
        </is>
      </c>
      <c r="B9863" s="1" t="n">
        <v>45523</v>
      </c>
      <c r="C9863" s="1" t="n">
        <v>45710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33958-2024</t>
        </is>
      </c>
      <c r="B9864" s="1" t="n">
        <v>45523</v>
      </c>
      <c r="C9864" s="1" t="n">
        <v>45710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34002-2024</t>
        </is>
      </c>
      <c r="B9865" s="1" t="n">
        <v>45523</v>
      </c>
      <c r="C9865" s="1" t="n">
        <v>45710</v>
      </c>
      <c r="D9865" t="inlineStr">
        <is>
          <t>ÖSTERGÖTLANDS LÄN</t>
        </is>
      </c>
      <c r="E9865" t="inlineStr">
        <is>
          <t>FINSPÅNG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34020-2024</t>
        </is>
      </c>
      <c r="B9866" s="1" t="n">
        <v>45523</v>
      </c>
      <c r="C9866" s="1" t="n">
        <v>45710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33997-2024</t>
        </is>
      </c>
      <c r="B9867" s="1" t="n">
        <v>45523</v>
      </c>
      <c r="C9867" s="1" t="n">
        <v>45710</v>
      </c>
      <c r="D9867" t="inlineStr">
        <is>
          <t>ÖSTERGÖTLANDS LÄN</t>
        </is>
      </c>
      <c r="E9867" t="inlineStr">
        <is>
          <t>FINSPÅNG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34001-2024</t>
        </is>
      </c>
      <c r="B9868" s="1" t="n">
        <v>45523</v>
      </c>
      <c r="C9868" s="1" t="n">
        <v>45710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Holmen skog AB</t>
        </is>
      </c>
      <c r="G9868" t="n">
        <v>0.3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34048-2024</t>
        </is>
      </c>
      <c r="B9869" s="1" t="n">
        <v>45523</v>
      </c>
      <c r="C9869" s="1" t="n">
        <v>45710</v>
      </c>
      <c r="D9869" t="inlineStr">
        <is>
          <t>ÖSTERGÖTLANDS LÄN</t>
        </is>
      </c>
      <c r="E9869" t="inlineStr">
        <is>
          <t>BOXHOLM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34053-2024</t>
        </is>
      </c>
      <c r="B9870" s="1" t="n">
        <v>45523</v>
      </c>
      <c r="C9870" s="1" t="n">
        <v>45710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34075-2024</t>
        </is>
      </c>
      <c r="B9871" s="1" t="n">
        <v>45523</v>
      </c>
      <c r="C9871" s="1" t="n">
        <v>45710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3.4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34322-2024</t>
        </is>
      </c>
      <c r="B9872" s="1" t="n">
        <v>45524</v>
      </c>
      <c r="C9872" s="1" t="n">
        <v>45710</v>
      </c>
      <c r="D9872" t="inlineStr">
        <is>
          <t>ÖSTERGÖTLANDS LÄN</t>
        </is>
      </c>
      <c r="E9872" t="inlineStr">
        <is>
          <t>BOXHOLM</t>
        </is>
      </c>
      <c r="G9872" t="n">
        <v>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34325-2024</t>
        </is>
      </c>
      <c r="B9873" s="1" t="n">
        <v>45524</v>
      </c>
      <c r="C9873" s="1" t="n">
        <v>45710</v>
      </c>
      <c r="D9873" t="inlineStr">
        <is>
          <t>ÖSTERGÖTLANDS LÄN</t>
        </is>
      </c>
      <c r="E9873" t="inlineStr">
        <is>
          <t>LINKÖPING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34366-2024</t>
        </is>
      </c>
      <c r="B9874" s="1" t="n">
        <v>45525</v>
      </c>
      <c r="C9874" s="1" t="n">
        <v>45710</v>
      </c>
      <c r="D9874" t="inlineStr">
        <is>
          <t>ÖSTERGÖTLANDS LÄN</t>
        </is>
      </c>
      <c r="E9874" t="inlineStr">
        <is>
          <t>ÅTVIDABERG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34442-2024</t>
        </is>
      </c>
      <c r="B9875" s="1" t="n">
        <v>45525</v>
      </c>
      <c r="C9875" s="1" t="n">
        <v>45710</v>
      </c>
      <c r="D9875" t="inlineStr">
        <is>
          <t>ÖSTERGÖTLANDS LÄN</t>
        </is>
      </c>
      <c r="E9875" t="inlineStr">
        <is>
          <t>BOXHOLM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34516-2024</t>
        </is>
      </c>
      <c r="B9876" s="1" t="n">
        <v>45525</v>
      </c>
      <c r="C9876" s="1" t="n">
        <v>45710</v>
      </c>
      <c r="D9876" t="inlineStr">
        <is>
          <t>ÖSTERGÖTLANDS LÄN</t>
        </is>
      </c>
      <c r="E9876" t="inlineStr">
        <is>
          <t>NORRKÖPING</t>
        </is>
      </c>
      <c r="G9876" t="n">
        <v>4.7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34518-2024</t>
        </is>
      </c>
      <c r="B9877" s="1" t="n">
        <v>45525</v>
      </c>
      <c r="C9877" s="1" t="n">
        <v>45710</v>
      </c>
      <c r="D9877" t="inlineStr">
        <is>
          <t>ÖSTERGÖTLANDS LÄN</t>
        </is>
      </c>
      <c r="E9877" t="inlineStr">
        <is>
          <t>NORRKÖPING</t>
        </is>
      </c>
      <c r="G9877" t="n">
        <v>1.6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34526-2024</t>
        </is>
      </c>
      <c r="B9878" s="1" t="n">
        <v>45525</v>
      </c>
      <c r="C9878" s="1" t="n">
        <v>45710</v>
      </c>
      <c r="D9878" t="inlineStr">
        <is>
          <t>ÖSTERGÖTLANDS LÄN</t>
        </is>
      </c>
      <c r="E9878" t="inlineStr">
        <is>
          <t>FINSPÅNG</t>
        </is>
      </c>
      <c r="F9878" t="inlineStr">
        <is>
          <t>Holmen skog AB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34352-2024</t>
        </is>
      </c>
      <c r="B9879" s="1" t="n">
        <v>45525</v>
      </c>
      <c r="C9879" s="1" t="n">
        <v>45710</v>
      </c>
      <c r="D9879" t="inlineStr">
        <is>
          <t>ÖSTERGÖTLANDS LÄN</t>
        </is>
      </c>
      <c r="E9879" t="inlineStr">
        <is>
          <t>KINDA</t>
        </is>
      </c>
      <c r="G9879" t="n">
        <v>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34521-2024</t>
        </is>
      </c>
      <c r="B9880" s="1" t="n">
        <v>45525</v>
      </c>
      <c r="C9880" s="1" t="n">
        <v>45710</v>
      </c>
      <c r="D9880" t="inlineStr">
        <is>
          <t>ÖSTERGÖTLANDS LÄN</t>
        </is>
      </c>
      <c r="E9880" t="inlineStr">
        <is>
          <t>MJÖLBY</t>
        </is>
      </c>
      <c r="G9880" t="n">
        <v>4.7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34525-2024</t>
        </is>
      </c>
      <c r="B9881" s="1" t="n">
        <v>45525</v>
      </c>
      <c r="C9881" s="1" t="n">
        <v>45710</v>
      </c>
      <c r="D9881" t="inlineStr">
        <is>
          <t>ÖSTERGÖTLANDS LÄN</t>
        </is>
      </c>
      <c r="E9881" t="inlineStr">
        <is>
          <t>FINSPÅNG</t>
        </is>
      </c>
      <c r="F9881" t="inlineStr">
        <is>
          <t>Holmen skog AB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34377-2024</t>
        </is>
      </c>
      <c r="B9882" s="1" t="n">
        <v>45525</v>
      </c>
      <c r="C9882" s="1" t="n">
        <v>45710</v>
      </c>
      <c r="D9882" t="inlineStr">
        <is>
          <t>ÖSTERGÖTLANDS LÄN</t>
        </is>
      </c>
      <c r="E9882" t="inlineStr">
        <is>
          <t>SÖDERKÖPING</t>
        </is>
      </c>
      <c r="G9882" t="n">
        <v>2.8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34361-2024</t>
        </is>
      </c>
      <c r="B9883" s="1" t="n">
        <v>45525</v>
      </c>
      <c r="C9883" s="1" t="n">
        <v>45710</v>
      </c>
      <c r="D9883" t="inlineStr">
        <is>
          <t>ÖSTERGÖTLANDS LÄN</t>
        </is>
      </c>
      <c r="E9883" t="inlineStr">
        <is>
          <t>ÅTVIDABERG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34353-2024</t>
        </is>
      </c>
      <c r="B9884" s="1" t="n">
        <v>45525</v>
      </c>
      <c r="C9884" s="1" t="n">
        <v>45710</v>
      </c>
      <c r="D9884" t="inlineStr">
        <is>
          <t>ÖSTERGÖTLANDS LÄN</t>
        </is>
      </c>
      <c r="E9884" t="inlineStr">
        <is>
          <t>KINDA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34664-2024</t>
        </is>
      </c>
      <c r="B9885" s="1" t="n">
        <v>45526</v>
      </c>
      <c r="C9885" s="1" t="n">
        <v>45710</v>
      </c>
      <c r="D9885" t="inlineStr">
        <is>
          <t>ÖSTERGÖTLANDS LÄN</t>
        </is>
      </c>
      <c r="E9885" t="inlineStr">
        <is>
          <t>MJÖLBY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34572-2024</t>
        </is>
      </c>
      <c r="B9886" s="1" t="n">
        <v>45526</v>
      </c>
      <c r="C9886" s="1" t="n">
        <v>45710</v>
      </c>
      <c r="D9886" t="inlineStr">
        <is>
          <t>ÖSTERGÖTLANDS LÄN</t>
        </is>
      </c>
      <c r="E9886" t="inlineStr">
        <is>
          <t>VALDEMARSVIK</t>
        </is>
      </c>
      <c r="G9886" t="n">
        <v>0.8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34657-2024</t>
        </is>
      </c>
      <c r="B9887" s="1" t="n">
        <v>45526</v>
      </c>
      <c r="C9887" s="1" t="n">
        <v>45710</v>
      </c>
      <c r="D9887" t="inlineStr">
        <is>
          <t>ÖSTERGÖTLANDS LÄN</t>
        </is>
      </c>
      <c r="E9887" t="inlineStr">
        <is>
          <t>MJÖLBY</t>
        </is>
      </c>
      <c r="G9887" t="n">
        <v>2.6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34661-2024</t>
        </is>
      </c>
      <c r="B9888" s="1" t="n">
        <v>45526</v>
      </c>
      <c r="C9888" s="1" t="n">
        <v>45710</v>
      </c>
      <c r="D9888" t="inlineStr">
        <is>
          <t>ÖSTERGÖTLANDS LÄN</t>
        </is>
      </c>
      <c r="E9888" t="inlineStr">
        <is>
          <t>KINDA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34705-2024</t>
        </is>
      </c>
      <c r="B9889" s="1" t="n">
        <v>45526</v>
      </c>
      <c r="C9889" s="1" t="n">
        <v>45710</v>
      </c>
      <c r="D9889" t="inlineStr">
        <is>
          <t>ÖSTERGÖTLANDS LÄN</t>
        </is>
      </c>
      <c r="E9889" t="inlineStr">
        <is>
          <t>SÖDERKÖPING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34571-2024</t>
        </is>
      </c>
      <c r="B9890" s="1" t="n">
        <v>45526</v>
      </c>
      <c r="C9890" s="1" t="n">
        <v>45710</v>
      </c>
      <c r="D9890" t="inlineStr">
        <is>
          <t>ÖSTERGÖTLANDS LÄN</t>
        </is>
      </c>
      <c r="E9890" t="inlineStr">
        <is>
          <t>VALDEMARSVIK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34663-2024</t>
        </is>
      </c>
      <c r="B9891" s="1" t="n">
        <v>45526</v>
      </c>
      <c r="C9891" s="1" t="n">
        <v>45710</v>
      </c>
      <c r="D9891" t="inlineStr">
        <is>
          <t>ÖSTERGÖTLANDS LÄN</t>
        </is>
      </c>
      <c r="E9891" t="inlineStr">
        <is>
          <t>MOTALA</t>
        </is>
      </c>
      <c r="G9891" t="n">
        <v>6.2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34761-2024</t>
        </is>
      </c>
      <c r="B9892" s="1" t="n">
        <v>45526</v>
      </c>
      <c r="C9892" s="1" t="n">
        <v>45710</v>
      </c>
      <c r="D9892" t="inlineStr">
        <is>
          <t>ÖSTERGÖTLANDS LÄN</t>
        </is>
      </c>
      <c r="E9892" t="inlineStr">
        <is>
          <t>MOTALA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34662-2024</t>
        </is>
      </c>
      <c r="B9893" s="1" t="n">
        <v>45526</v>
      </c>
      <c r="C9893" s="1" t="n">
        <v>45710</v>
      </c>
      <c r="D9893" t="inlineStr">
        <is>
          <t>ÖSTERGÖTLANDS LÄN</t>
        </is>
      </c>
      <c r="E9893" t="inlineStr">
        <is>
          <t>MJÖLBY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34910-2024</t>
        </is>
      </c>
      <c r="B9894" s="1" t="n">
        <v>45527</v>
      </c>
      <c r="C9894" s="1" t="n">
        <v>45710</v>
      </c>
      <c r="D9894" t="inlineStr">
        <is>
          <t>ÖSTERGÖTLANDS LÄN</t>
        </is>
      </c>
      <c r="E9894" t="inlineStr">
        <is>
          <t>NORRKÖPING</t>
        </is>
      </c>
      <c r="G9894" t="n">
        <v>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34860-2024</t>
        </is>
      </c>
      <c r="B9895" s="1" t="n">
        <v>45527</v>
      </c>
      <c r="C9895" s="1" t="n">
        <v>45710</v>
      </c>
      <c r="D9895" t="inlineStr">
        <is>
          <t>ÖSTERGÖTLANDS LÄN</t>
        </is>
      </c>
      <c r="E9895" t="inlineStr">
        <is>
          <t>KINDA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34904-2024</t>
        </is>
      </c>
      <c r="B9896" s="1" t="n">
        <v>45527</v>
      </c>
      <c r="C9896" s="1" t="n">
        <v>45710</v>
      </c>
      <c r="D9896" t="inlineStr">
        <is>
          <t>ÖSTERGÖTLANDS LÄN</t>
        </is>
      </c>
      <c r="E9896" t="inlineStr">
        <is>
          <t>NORRKÖPING</t>
        </is>
      </c>
      <c r="G9896" t="n">
        <v>5.4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34916-2024</t>
        </is>
      </c>
      <c r="B9897" s="1" t="n">
        <v>45527</v>
      </c>
      <c r="C9897" s="1" t="n">
        <v>45710</v>
      </c>
      <c r="D9897" t="inlineStr">
        <is>
          <t>ÖSTERGÖTLANDS LÄN</t>
        </is>
      </c>
      <c r="E9897" t="inlineStr">
        <is>
          <t>NORRKÖPING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34907-2024</t>
        </is>
      </c>
      <c r="B9898" s="1" t="n">
        <v>45527</v>
      </c>
      <c r="C9898" s="1" t="n">
        <v>45710</v>
      </c>
      <c r="D9898" t="inlineStr">
        <is>
          <t>ÖSTERGÖTLANDS LÄN</t>
        </is>
      </c>
      <c r="E9898" t="inlineStr">
        <is>
          <t>NORRKÖPING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34871-2024</t>
        </is>
      </c>
      <c r="B9899" s="1" t="n">
        <v>45527</v>
      </c>
      <c r="C9899" s="1" t="n">
        <v>45710</v>
      </c>
      <c r="D9899" t="inlineStr">
        <is>
          <t>ÖSTERGÖTLANDS LÄN</t>
        </is>
      </c>
      <c r="E9899" t="inlineStr">
        <is>
          <t>KINDA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35105-2024</t>
        </is>
      </c>
      <c r="B9900" s="1" t="n">
        <v>45529</v>
      </c>
      <c r="C9900" s="1" t="n">
        <v>45710</v>
      </c>
      <c r="D9900" t="inlineStr">
        <is>
          <t>ÖSTERGÖTLANDS LÄN</t>
        </is>
      </c>
      <c r="E9900" t="inlineStr">
        <is>
          <t>YDRE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35151-2024</t>
        </is>
      </c>
      <c r="B9901" s="1" t="n">
        <v>45530</v>
      </c>
      <c r="C9901" s="1" t="n">
        <v>45710</v>
      </c>
      <c r="D9901" t="inlineStr">
        <is>
          <t>ÖSTERGÖTLANDS LÄN</t>
        </is>
      </c>
      <c r="E9901" t="inlineStr">
        <is>
          <t>KINDA</t>
        </is>
      </c>
      <c r="G9901" t="n">
        <v>3.6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35340-2024</t>
        </is>
      </c>
      <c r="B9902" s="1" t="n">
        <v>45531</v>
      </c>
      <c r="C9902" s="1" t="n">
        <v>45710</v>
      </c>
      <c r="D9902" t="inlineStr">
        <is>
          <t>ÖSTERGÖTLANDS LÄN</t>
        </is>
      </c>
      <c r="E9902" t="inlineStr">
        <is>
          <t>FINSPÅNG</t>
        </is>
      </c>
      <c r="G9902" t="n">
        <v>7.9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35161-2024</t>
        </is>
      </c>
      <c r="B9903" s="1" t="n">
        <v>45530</v>
      </c>
      <c r="C9903" s="1" t="n">
        <v>45710</v>
      </c>
      <c r="D9903" t="inlineStr">
        <is>
          <t>ÖSTERGÖTLANDS LÄN</t>
        </is>
      </c>
      <c r="E9903" t="inlineStr">
        <is>
          <t>ÅTVIDABERG</t>
        </is>
      </c>
      <c r="G9903" t="n">
        <v>6.7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35341-2024</t>
        </is>
      </c>
      <c r="B9904" s="1" t="n">
        <v>45531</v>
      </c>
      <c r="C9904" s="1" t="n">
        <v>45710</v>
      </c>
      <c r="D9904" t="inlineStr">
        <is>
          <t>ÖSTERGÖTLANDS LÄN</t>
        </is>
      </c>
      <c r="E9904" t="inlineStr">
        <is>
          <t>FINSPÅNG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35219-2024</t>
        </is>
      </c>
      <c r="B9905" s="1" t="n">
        <v>45530</v>
      </c>
      <c r="C9905" s="1" t="n">
        <v>45710</v>
      </c>
      <c r="D9905" t="inlineStr">
        <is>
          <t>ÖSTERGÖTLANDS LÄN</t>
        </is>
      </c>
      <c r="E9905" t="inlineStr">
        <is>
          <t>NORRKÖPING</t>
        </is>
      </c>
      <c r="G9905" t="n">
        <v>12.2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35199-2024</t>
        </is>
      </c>
      <c r="B9906" s="1" t="n">
        <v>45530</v>
      </c>
      <c r="C9906" s="1" t="n">
        <v>45710</v>
      </c>
      <c r="D9906" t="inlineStr">
        <is>
          <t>ÖSTERGÖTLANDS LÄN</t>
        </is>
      </c>
      <c r="E9906" t="inlineStr">
        <is>
          <t>MJÖLBY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35342-2024</t>
        </is>
      </c>
      <c r="B9907" s="1" t="n">
        <v>45531</v>
      </c>
      <c r="C9907" s="1" t="n">
        <v>45710</v>
      </c>
      <c r="D9907" t="inlineStr">
        <is>
          <t>ÖSTERGÖTLANDS LÄN</t>
        </is>
      </c>
      <c r="E9907" t="inlineStr">
        <is>
          <t>FINSPÅNG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35346-2024</t>
        </is>
      </c>
      <c r="B9908" s="1" t="n">
        <v>45531</v>
      </c>
      <c r="C9908" s="1" t="n">
        <v>45710</v>
      </c>
      <c r="D9908" t="inlineStr">
        <is>
          <t>ÖSTERGÖTLANDS LÄN</t>
        </is>
      </c>
      <c r="E9908" t="inlineStr">
        <is>
          <t>FINSPÅNG</t>
        </is>
      </c>
      <c r="G9908" t="n">
        <v>4.6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35152-2024</t>
        </is>
      </c>
      <c r="B9909" s="1" t="n">
        <v>45530</v>
      </c>
      <c r="C9909" s="1" t="n">
        <v>45710</v>
      </c>
      <c r="D9909" t="inlineStr">
        <is>
          <t>ÖSTERGÖTLANDS LÄN</t>
        </is>
      </c>
      <c r="E9909" t="inlineStr">
        <is>
          <t>KINDA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35344-2024</t>
        </is>
      </c>
      <c r="B9910" s="1" t="n">
        <v>45531</v>
      </c>
      <c r="C9910" s="1" t="n">
        <v>45710</v>
      </c>
      <c r="D9910" t="inlineStr">
        <is>
          <t>ÖSTERGÖTLANDS LÄN</t>
        </is>
      </c>
      <c r="E9910" t="inlineStr">
        <is>
          <t>FINSPÅNG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35144-2024</t>
        </is>
      </c>
      <c r="B9911" s="1" t="n">
        <v>45530</v>
      </c>
      <c r="C9911" s="1" t="n">
        <v>45710</v>
      </c>
      <c r="D9911" t="inlineStr">
        <is>
          <t>ÖSTERGÖTLANDS LÄN</t>
        </is>
      </c>
      <c r="E9911" t="inlineStr">
        <is>
          <t>KINDA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35214-2024</t>
        </is>
      </c>
      <c r="B9912" s="1" t="n">
        <v>45530</v>
      </c>
      <c r="C9912" s="1" t="n">
        <v>45710</v>
      </c>
      <c r="D9912" t="inlineStr">
        <is>
          <t>ÖSTERGÖTLANDS LÄN</t>
        </is>
      </c>
      <c r="E9912" t="inlineStr">
        <is>
          <t>NORRKÖPING</t>
        </is>
      </c>
      <c r="G9912" t="n">
        <v>7.6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35270-2024</t>
        </is>
      </c>
      <c r="B9913" s="1" t="n">
        <v>45530</v>
      </c>
      <c r="C9913" s="1" t="n">
        <v>45710</v>
      </c>
      <c r="D9913" t="inlineStr">
        <is>
          <t>ÖSTERGÖTLANDS LÄN</t>
        </is>
      </c>
      <c r="E9913" t="inlineStr">
        <is>
          <t>ÅTVIDABERG</t>
        </is>
      </c>
      <c r="G9913" t="n">
        <v>4.1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35343-2024</t>
        </is>
      </c>
      <c r="B9914" s="1" t="n">
        <v>45531</v>
      </c>
      <c r="C9914" s="1" t="n">
        <v>45710</v>
      </c>
      <c r="D9914" t="inlineStr">
        <is>
          <t>ÖSTERGÖTLANDS LÄN</t>
        </is>
      </c>
      <c r="E9914" t="inlineStr">
        <is>
          <t>FINSPÅNG</t>
        </is>
      </c>
      <c r="G9914" t="n">
        <v>7.2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35371-2024</t>
        </is>
      </c>
      <c r="B9915" s="1" t="n">
        <v>45531</v>
      </c>
      <c r="C9915" s="1" t="n">
        <v>45710</v>
      </c>
      <c r="D9915" t="inlineStr">
        <is>
          <t>ÖSTERGÖTLANDS LÄN</t>
        </is>
      </c>
      <c r="E9915" t="inlineStr">
        <is>
          <t>LINKÖPING</t>
        </is>
      </c>
      <c r="F9915" t="inlineStr">
        <is>
          <t>Sveaskog</t>
        </is>
      </c>
      <c r="G9915" t="n">
        <v>7.8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35575-2024</t>
        </is>
      </c>
      <c r="B9916" s="1" t="n">
        <v>45531</v>
      </c>
      <c r="C9916" s="1" t="n">
        <v>45710</v>
      </c>
      <c r="D9916" t="inlineStr">
        <is>
          <t>ÖSTERGÖTLANDS LÄN</t>
        </is>
      </c>
      <c r="E9916" t="inlineStr">
        <is>
          <t>KINDA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35572-2024</t>
        </is>
      </c>
      <c r="B9917" s="1" t="n">
        <v>45531</v>
      </c>
      <c r="C9917" s="1" t="n">
        <v>45710</v>
      </c>
      <c r="D9917" t="inlineStr">
        <is>
          <t>ÖSTERGÖTLANDS LÄN</t>
        </is>
      </c>
      <c r="E9917" t="inlineStr">
        <is>
          <t>KINDA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35588-2024</t>
        </is>
      </c>
      <c r="B9918" s="1" t="n">
        <v>45531</v>
      </c>
      <c r="C9918" s="1" t="n">
        <v>45710</v>
      </c>
      <c r="D9918" t="inlineStr">
        <is>
          <t>ÖSTERGÖTLANDS LÄN</t>
        </is>
      </c>
      <c r="E9918" t="inlineStr">
        <is>
          <t>KINDA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35645-2024</t>
        </is>
      </c>
      <c r="B9919" s="1" t="n">
        <v>45532</v>
      </c>
      <c r="C9919" s="1" t="n">
        <v>45710</v>
      </c>
      <c r="D9919" t="inlineStr">
        <is>
          <t>ÖSTERGÖTLANDS LÄN</t>
        </is>
      </c>
      <c r="E9919" t="inlineStr">
        <is>
          <t>YDRE</t>
        </is>
      </c>
      <c r="G9919" t="n">
        <v>8.300000000000001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35718-2024</t>
        </is>
      </c>
      <c r="B9920" s="1" t="n">
        <v>45532</v>
      </c>
      <c r="C9920" s="1" t="n">
        <v>45710</v>
      </c>
      <c r="D9920" t="inlineStr">
        <is>
          <t>ÖSTERGÖTLANDS LÄN</t>
        </is>
      </c>
      <c r="E9920" t="inlineStr">
        <is>
          <t>LINKÖPING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35731-2024</t>
        </is>
      </c>
      <c r="B9921" s="1" t="n">
        <v>45532</v>
      </c>
      <c r="C9921" s="1" t="n">
        <v>45710</v>
      </c>
      <c r="D9921" t="inlineStr">
        <is>
          <t>ÖSTERGÖTLANDS LÄN</t>
        </is>
      </c>
      <c r="E9921" t="inlineStr">
        <is>
          <t>LINKÖPING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35661-2024</t>
        </is>
      </c>
      <c r="B9922" s="1" t="n">
        <v>45532</v>
      </c>
      <c r="C9922" s="1" t="n">
        <v>45710</v>
      </c>
      <c r="D9922" t="inlineStr">
        <is>
          <t>ÖSTERGÖTLANDS LÄN</t>
        </is>
      </c>
      <c r="E9922" t="inlineStr">
        <is>
          <t>ÖDESHÖG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35701-2024</t>
        </is>
      </c>
      <c r="B9923" s="1" t="n">
        <v>45532</v>
      </c>
      <c r="C9923" s="1" t="n">
        <v>45710</v>
      </c>
      <c r="D9923" t="inlineStr">
        <is>
          <t>ÖSTERGÖTLANDS LÄN</t>
        </is>
      </c>
      <c r="E9923" t="inlineStr">
        <is>
          <t>NORRKÖPING</t>
        </is>
      </c>
      <c r="G9923" t="n">
        <v>11.7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35766-2024</t>
        </is>
      </c>
      <c r="B9924" s="1" t="n">
        <v>45532</v>
      </c>
      <c r="C9924" s="1" t="n">
        <v>45710</v>
      </c>
      <c r="D9924" t="inlineStr">
        <is>
          <t>ÖSTERGÖTLANDS LÄN</t>
        </is>
      </c>
      <c r="E9924" t="inlineStr">
        <is>
          <t>KINDA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35655-2024</t>
        </is>
      </c>
      <c r="B9925" s="1" t="n">
        <v>45532</v>
      </c>
      <c r="C9925" s="1" t="n">
        <v>45710</v>
      </c>
      <c r="D9925" t="inlineStr">
        <is>
          <t>ÖSTERGÖTLANDS LÄN</t>
        </is>
      </c>
      <c r="E9925" t="inlineStr">
        <is>
          <t>BOXHOLM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36022-2024</t>
        </is>
      </c>
      <c r="B9926" s="1" t="n">
        <v>45533</v>
      </c>
      <c r="C9926" s="1" t="n">
        <v>45710</v>
      </c>
      <c r="D9926" t="inlineStr">
        <is>
          <t>ÖSTERGÖTLANDS LÄN</t>
        </is>
      </c>
      <c r="E9926" t="inlineStr">
        <is>
          <t>KINDA</t>
        </is>
      </c>
      <c r="G9926" t="n">
        <v>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36003-2024</t>
        </is>
      </c>
      <c r="B9927" s="1" t="n">
        <v>45533</v>
      </c>
      <c r="C9927" s="1" t="n">
        <v>45710</v>
      </c>
      <c r="D9927" t="inlineStr">
        <is>
          <t>ÖSTERGÖTLANDS LÄN</t>
        </is>
      </c>
      <c r="E9927" t="inlineStr">
        <is>
          <t>MJÖLBY</t>
        </is>
      </c>
      <c r="G9927" t="n">
        <v>3.9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36011-2024</t>
        </is>
      </c>
      <c r="B9928" s="1" t="n">
        <v>45533</v>
      </c>
      <c r="C9928" s="1" t="n">
        <v>45710</v>
      </c>
      <c r="D9928" t="inlineStr">
        <is>
          <t>ÖSTERGÖTLANDS LÄN</t>
        </is>
      </c>
      <c r="E9928" t="inlineStr">
        <is>
          <t>MJÖLBY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36019-2024</t>
        </is>
      </c>
      <c r="B9929" s="1" t="n">
        <v>45533</v>
      </c>
      <c r="C9929" s="1" t="n">
        <v>45710</v>
      </c>
      <c r="D9929" t="inlineStr">
        <is>
          <t>ÖSTERGÖTLANDS LÄN</t>
        </is>
      </c>
      <c r="E9929" t="inlineStr">
        <is>
          <t>MJÖLBY</t>
        </is>
      </c>
      <c r="G9929" t="n">
        <v>5.8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36005-2024</t>
        </is>
      </c>
      <c r="B9930" s="1" t="n">
        <v>45533</v>
      </c>
      <c r="C9930" s="1" t="n">
        <v>45710</v>
      </c>
      <c r="D9930" t="inlineStr">
        <is>
          <t>ÖSTERGÖTLANDS LÄN</t>
        </is>
      </c>
      <c r="E9930" t="inlineStr">
        <is>
          <t>KINDA</t>
        </is>
      </c>
      <c r="G9930" t="n">
        <v>1.8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36099-2024</t>
        </is>
      </c>
      <c r="B9931" s="1" t="n">
        <v>45533</v>
      </c>
      <c r="C9931" s="1" t="n">
        <v>45710</v>
      </c>
      <c r="D9931" t="inlineStr">
        <is>
          <t>ÖSTERGÖTLANDS LÄN</t>
        </is>
      </c>
      <c r="E9931" t="inlineStr">
        <is>
          <t>ÖDESHÖG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36098-2024</t>
        </is>
      </c>
      <c r="B9932" s="1" t="n">
        <v>45533</v>
      </c>
      <c r="C9932" s="1" t="n">
        <v>45710</v>
      </c>
      <c r="D9932" t="inlineStr">
        <is>
          <t>ÖSTERGÖTLANDS LÄN</t>
        </is>
      </c>
      <c r="E9932" t="inlineStr">
        <is>
          <t>ÖDESHÖG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36102-2024</t>
        </is>
      </c>
      <c r="B9933" s="1" t="n">
        <v>45533</v>
      </c>
      <c r="C9933" s="1" t="n">
        <v>45710</v>
      </c>
      <c r="D9933" t="inlineStr">
        <is>
          <t>ÖSTERGÖTLANDS LÄN</t>
        </is>
      </c>
      <c r="E9933" t="inlineStr">
        <is>
          <t>YDRE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36263-2024</t>
        </is>
      </c>
      <c r="B9934" s="1" t="n">
        <v>45534</v>
      </c>
      <c r="C9934" s="1" t="n">
        <v>45710</v>
      </c>
      <c r="D9934" t="inlineStr">
        <is>
          <t>ÖSTERGÖTLANDS LÄN</t>
        </is>
      </c>
      <c r="E9934" t="inlineStr">
        <is>
          <t>ÅTVIDABERG</t>
        </is>
      </c>
      <c r="G9934" t="n">
        <v>3.4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36406-2024</t>
        </is>
      </c>
      <c r="B9935" s="1" t="n">
        <v>45535</v>
      </c>
      <c r="C9935" s="1" t="n">
        <v>45710</v>
      </c>
      <c r="D9935" t="inlineStr">
        <is>
          <t>ÖSTERGÖTLANDS LÄN</t>
        </is>
      </c>
      <c r="E9935" t="inlineStr">
        <is>
          <t>FINSPÅNG</t>
        </is>
      </c>
      <c r="F9935" t="inlineStr">
        <is>
          <t>Kommuner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36412-2024</t>
        </is>
      </c>
      <c r="B9936" s="1" t="n">
        <v>45535</v>
      </c>
      <c r="C9936" s="1" t="n">
        <v>45710</v>
      </c>
      <c r="D9936" t="inlineStr">
        <is>
          <t>ÖSTERGÖTLANDS LÄN</t>
        </is>
      </c>
      <c r="E9936" t="inlineStr">
        <is>
          <t>NORRKÖPING</t>
        </is>
      </c>
      <c r="G9936" t="n">
        <v>12.8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36598-2024</t>
        </is>
      </c>
      <c r="B9937" s="1" t="n">
        <v>45537</v>
      </c>
      <c r="C9937" s="1" t="n">
        <v>45710</v>
      </c>
      <c r="D9937" t="inlineStr">
        <is>
          <t>ÖSTERGÖTLANDS LÄN</t>
        </is>
      </c>
      <c r="E9937" t="inlineStr">
        <is>
          <t>YDRE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36614-2024</t>
        </is>
      </c>
      <c r="B9938" s="1" t="n">
        <v>45537</v>
      </c>
      <c r="C9938" s="1" t="n">
        <v>45710</v>
      </c>
      <c r="D9938" t="inlineStr">
        <is>
          <t>ÖSTERGÖTLANDS LÄN</t>
        </is>
      </c>
      <c r="E9938" t="inlineStr">
        <is>
          <t>YDRE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36626-2024</t>
        </is>
      </c>
      <c r="B9939" s="1" t="n">
        <v>45537</v>
      </c>
      <c r="C9939" s="1" t="n">
        <v>45710</v>
      </c>
      <c r="D9939" t="inlineStr">
        <is>
          <t>ÖSTERGÖTLANDS LÄN</t>
        </is>
      </c>
      <c r="E9939" t="inlineStr">
        <is>
          <t>NORRKÖPING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36604-2024</t>
        </is>
      </c>
      <c r="B9940" s="1" t="n">
        <v>45537</v>
      </c>
      <c r="C9940" s="1" t="n">
        <v>45710</v>
      </c>
      <c r="D9940" t="inlineStr">
        <is>
          <t>ÖSTERGÖTLANDS LÄN</t>
        </is>
      </c>
      <c r="E9940" t="inlineStr">
        <is>
          <t>YDRE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36616-2024</t>
        </is>
      </c>
      <c r="B9941" s="1" t="n">
        <v>45537</v>
      </c>
      <c r="C9941" s="1" t="n">
        <v>45710</v>
      </c>
      <c r="D9941" t="inlineStr">
        <is>
          <t>ÖSTERGÖTLANDS LÄN</t>
        </is>
      </c>
      <c r="E9941" t="inlineStr">
        <is>
          <t>YDRE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36640-2024</t>
        </is>
      </c>
      <c r="B9942" s="1" t="n">
        <v>45537</v>
      </c>
      <c r="C9942" s="1" t="n">
        <v>45710</v>
      </c>
      <c r="D9942" t="inlineStr">
        <is>
          <t>ÖSTERGÖTLANDS LÄN</t>
        </is>
      </c>
      <c r="E9942" t="inlineStr">
        <is>
          <t>NORRKÖPING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36565-2024</t>
        </is>
      </c>
      <c r="B9943" s="1" t="n">
        <v>45537</v>
      </c>
      <c r="C9943" s="1" t="n">
        <v>45710</v>
      </c>
      <c r="D9943" t="inlineStr">
        <is>
          <t>ÖSTERGÖTLANDS LÄN</t>
        </is>
      </c>
      <c r="E9943" t="inlineStr">
        <is>
          <t>ÖDESHÖG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36601-2024</t>
        </is>
      </c>
      <c r="B9944" s="1" t="n">
        <v>45537</v>
      </c>
      <c r="C9944" s="1" t="n">
        <v>45710</v>
      </c>
      <c r="D9944" t="inlineStr">
        <is>
          <t>ÖSTERGÖTLANDS LÄN</t>
        </is>
      </c>
      <c r="E9944" t="inlineStr">
        <is>
          <t>YDRE</t>
        </is>
      </c>
      <c r="G9944" t="n">
        <v>3.1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36453-2024</t>
        </is>
      </c>
      <c r="B9945" s="1" t="n">
        <v>45537</v>
      </c>
      <c r="C9945" s="1" t="n">
        <v>45710</v>
      </c>
      <c r="D9945" t="inlineStr">
        <is>
          <t>ÖSTERGÖTLANDS LÄN</t>
        </is>
      </c>
      <c r="E9945" t="inlineStr">
        <is>
          <t>BOXHOLM</t>
        </is>
      </c>
      <c r="F9945" t="inlineStr">
        <is>
          <t>Övriga Aktiebolag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36649-2024</t>
        </is>
      </c>
      <c r="B9946" s="1" t="n">
        <v>45537</v>
      </c>
      <c r="C9946" s="1" t="n">
        <v>45710</v>
      </c>
      <c r="D9946" t="inlineStr">
        <is>
          <t>ÖSTERGÖTLANDS LÄN</t>
        </is>
      </c>
      <c r="E9946" t="inlineStr">
        <is>
          <t>VALDEMARSVIK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36653-2024</t>
        </is>
      </c>
      <c r="B9947" s="1" t="n">
        <v>45537</v>
      </c>
      <c r="C9947" s="1" t="n">
        <v>45710</v>
      </c>
      <c r="D9947" t="inlineStr">
        <is>
          <t>ÖSTERGÖTLANDS LÄN</t>
        </is>
      </c>
      <c r="E9947" t="inlineStr">
        <is>
          <t>VALDEMARSVIK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36647-2024</t>
        </is>
      </c>
      <c r="B9948" s="1" t="n">
        <v>45537</v>
      </c>
      <c r="C9948" s="1" t="n">
        <v>45710</v>
      </c>
      <c r="D9948" t="inlineStr">
        <is>
          <t>ÖSTERGÖTLANDS LÄN</t>
        </is>
      </c>
      <c r="E9948" t="inlineStr">
        <is>
          <t>VALDEMARSVIK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36696-2024</t>
        </is>
      </c>
      <c r="B9949" s="1" t="n">
        <v>45537</v>
      </c>
      <c r="C9949" s="1" t="n">
        <v>45710</v>
      </c>
      <c r="D9949" t="inlineStr">
        <is>
          <t>ÖSTERGÖTLANDS LÄN</t>
        </is>
      </c>
      <c r="E9949" t="inlineStr">
        <is>
          <t>FINSPÅNG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36741-2024</t>
        </is>
      </c>
      <c r="B9950" s="1" t="n">
        <v>45538</v>
      </c>
      <c r="C9950" s="1" t="n">
        <v>45710</v>
      </c>
      <c r="D9950" t="inlineStr">
        <is>
          <t>ÖSTERGÖTLANDS LÄN</t>
        </is>
      </c>
      <c r="E9950" t="inlineStr">
        <is>
          <t>VALDEMARSVIK</t>
        </is>
      </c>
      <c r="G9950" t="n">
        <v>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36757-2024</t>
        </is>
      </c>
      <c r="B9951" s="1" t="n">
        <v>45538</v>
      </c>
      <c r="C9951" s="1" t="n">
        <v>45710</v>
      </c>
      <c r="D9951" t="inlineStr">
        <is>
          <t>ÖSTERGÖTLANDS LÄN</t>
        </is>
      </c>
      <c r="E9951" t="inlineStr">
        <is>
          <t>LINKÖPING</t>
        </is>
      </c>
      <c r="G9951" t="n">
        <v>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36885-2024</t>
        </is>
      </c>
      <c r="B9952" s="1" t="n">
        <v>45538</v>
      </c>
      <c r="C9952" s="1" t="n">
        <v>45710</v>
      </c>
      <c r="D9952" t="inlineStr">
        <is>
          <t>ÖSTERGÖTLANDS LÄN</t>
        </is>
      </c>
      <c r="E9952" t="inlineStr">
        <is>
          <t>ÅTVIDABERG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36923-2024</t>
        </is>
      </c>
      <c r="B9953" s="1" t="n">
        <v>45538</v>
      </c>
      <c r="C9953" s="1" t="n">
        <v>45710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36970-2024</t>
        </is>
      </c>
      <c r="B9954" s="1" t="n">
        <v>45538</v>
      </c>
      <c r="C9954" s="1" t="n">
        <v>45710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37132-2024</t>
        </is>
      </c>
      <c r="B9955" s="1" t="n">
        <v>45539</v>
      </c>
      <c r="C9955" s="1" t="n">
        <v>45710</v>
      </c>
      <c r="D9955" t="inlineStr">
        <is>
          <t>ÖSTERGÖTLANDS LÄN</t>
        </is>
      </c>
      <c r="E9955" t="inlineStr">
        <is>
          <t>ÖDESHÖG</t>
        </is>
      </c>
      <c r="G9955" t="n">
        <v>4.5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37134-2024</t>
        </is>
      </c>
      <c r="B9956" s="1" t="n">
        <v>45539</v>
      </c>
      <c r="C9956" s="1" t="n">
        <v>45710</v>
      </c>
      <c r="D9956" t="inlineStr">
        <is>
          <t>ÖSTERGÖTLANDS LÄN</t>
        </is>
      </c>
      <c r="E9956" t="inlineStr">
        <is>
          <t>ÖDESHÖG</t>
        </is>
      </c>
      <c r="G9956" t="n">
        <v>4.3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37069-2024</t>
        </is>
      </c>
      <c r="B9957" s="1" t="n">
        <v>45539</v>
      </c>
      <c r="C9957" s="1" t="n">
        <v>45710</v>
      </c>
      <c r="D9957" t="inlineStr">
        <is>
          <t>ÖSTERGÖTLANDS LÄN</t>
        </is>
      </c>
      <c r="E9957" t="inlineStr">
        <is>
          <t>MJÖLBY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37077-2024</t>
        </is>
      </c>
      <c r="B9958" s="1" t="n">
        <v>45539</v>
      </c>
      <c r="C9958" s="1" t="n">
        <v>45710</v>
      </c>
      <c r="D9958" t="inlineStr">
        <is>
          <t>ÖSTERGÖTLANDS LÄN</t>
        </is>
      </c>
      <c r="E9958" t="inlineStr">
        <is>
          <t>LINKÖPING</t>
        </is>
      </c>
      <c r="G9958" t="n">
        <v>2.3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37195-2024</t>
        </is>
      </c>
      <c r="B9959" s="1" t="n">
        <v>45539</v>
      </c>
      <c r="C9959" s="1" t="n">
        <v>45710</v>
      </c>
      <c r="D9959" t="inlineStr">
        <is>
          <t>ÖSTERGÖTLANDS LÄN</t>
        </is>
      </c>
      <c r="E9959" t="inlineStr">
        <is>
          <t>KINDA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37215-2024</t>
        </is>
      </c>
      <c r="B9960" s="1" t="n">
        <v>45539</v>
      </c>
      <c r="C9960" s="1" t="n">
        <v>45710</v>
      </c>
      <c r="D9960" t="inlineStr">
        <is>
          <t>ÖSTERGÖTLANDS LÄN</t>
        </is>
      </c>
      <c r="E9960" t="inlineStr">
        <is>
          <t>MOTALA</t>
        </is>
      </c>
      <c r="G9960" t="n">
        <v>3.1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37212-2024</t>
        </is>
      </c>
      <c r="B9961" s="1" t="n">
        <v>45539</v>
      </c>
      <c r="C9961" s="1" t="n">
        <v>45710</v>
      </c>
      <c r="D9961" t="inlineStr">
        <is>
          <t>ÖSTERGÖTLANDS LÄN</t>
        </is>
      </c>
      <c r="E9961" t="inlineStr">
        <is>
          <t>MJÖLBY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37196-2024</t>
        </is>
      </c>
      <c r="B9962" s="1" t="n">
        <v>45539</v>
      </c>
      <c r="C9962" s="1" t="n">
        <v>45710</v>
      </c>
      <c r="D9962" t="inlineStr">
        <is>
          <t>ÖSTERGÖTLANDS LÄN</t>
        </is>
      </c>
      <c r="E9962" t="inlineStr">
        <is>
          <t>KINDA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37083-2024</t>
        </is>
      </c>
      <c r="B9963" s="1" t="n">
        <v>45539</v>
      </c>
      <c r="C9963" s="1" t="n">
        <v>45710</v>
      </c>
      <c r="D9963" t="inlineStr">
        <is>
          <t>ÖSTERGÖTLANDS LÄN</t>
        </is>
      </c>
      <c r="E9963" t="inlineStr">
        <is>
          <t>MJÖLBY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36993-2024</t>
        </is>
      </c>
      <c r="B9964" s="1" t="n">
        <v>45539</v>
      </c>
      <c r="C9964" s="1" t="n">
        <v>45710</v>
      </c>
      <c r="D9964" t="inlineStr">
        <is>
          <t>ÖSTERGÖTLANDS LÄN</t>
        </is>
      </c>
      <c r="E9964" t="inlineStr">
        <is>
          <t>MJÖLBY</t>
        </is>
      </c>
      <c r="F9964" t="inlineStr">
        <is>
          <t>Sveaskog</t>
        </is>
      </c>
      <c r="G9964" t="n">
        <v>2.9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37068-2024</t>
        </is>
      </c>
      <c r="B9965" s="1" t="n">
        <v>45539</v>
      </c>
      <c r="C9965" s="1" t="n">
        <v>45710</v>
      </c>
      <c r="D9965" t="inlineStr">
        <is>
          <t>ÖSTERGÖTLANDS LÄN</t>
        </is>
      </c>
      <c r="E9965" t="inlineStr">
        <is>
          <t>KINDA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37231-2024</t>
        </is>
      </c>
      <c r="B9966" s="1" t="n">
        <v>45540</v>
      </c>
      <c r="C9966" s="1" t="n">
        <v>45710</v>
      </c>
      <c r="D9966" t="inlineStr">
        <is>
          <t>ÖSTERGÖTLANDS LÄN</t>
        </is>
      </c>
      <c r="E9966" t="inlineStr">
        <is>
          <t>FINSPÅNG</t>
        </is>
      </c>
      <c r="G9966" t="n">
        <v>5.4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37261-2024</t>
        </is>
      </c>
      <c r="B9967" s="1" t="n">
        <v>45540</v>
      </c>
      <c r="C9967" s="1" t="n">
        <v>45710</v>
      </c>
      <c r="D9967" t="inlineStr">
        <is>
          <t>ÖSTERGÖTLANDS LÄN</t>
        </is>
      </c>
      <c r="E9967" t="inlineStr">
        <is>
          <t>LINKÖPING</t>
        </is>
      </c>
      <c r="G9967" t="n">
        <v>3.4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37290-2024</t>
        </is>
      </c>
      <c r="B9968" s="1" t="n">
        <v>45540</v>
      </c>
      <c r="C9968" s="1" t="n">
        <v>45710</v>
      </c>
      <c r="D9968" t="inlineStr">
        <is>
          <t>ÖSTERGÖTLANDS LÄN</t>
        </is>
      </c>
      <c r="E9968" t="inlineStr">
        <is>
          <t>LINKÖPING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37380-2024</t>
        </is>
      </c>
      <c r="B9969" s="1" t="n">
        <v>45540</v>
      </c>
      <c r="C9969" s="1" t="n">
        <v>45710</v>
      </c>
      <c r="D9969" t="inlineStr">
        <is>
          <t>ÖSTERGÖTLANDS LÄN</t>
        </is>
      </c>
      <c r="E9969" t="inlineStr">
        <is>
          <t>SÖDERKÖPING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37379-2024</t>
        </is>
      </c>
      <c r="B9970" s="1" t="n">
        <v>45540</v>
      </c>
      <c r="C9970" s="1" t="n">
        <v>45710</v>
      </c>
      <c r="D9970" t="inlineStr">
        <is>
          <t>ÖSTERGÖTLANDS LÄN</t>
        </is>
      </c>
      <c r="E9970" t="inlineStr">
        <is>
          <t>SÖDERKÖPING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37263-2024</t>
        </is>
      </c>
      <c r="B9971" s="1" t="n">
        <v>45540</v>
      </c>
      <c r="C9971" s="1" t="n">
        <v>45710</v>
      </c>
      <c r="D9971" t="inlineStr">
        <is>
          <t>ÖSTERGÖTLANDS LÄN</t>
        </is>
      </c>
      <c r="E9971" t="inlineStr">
        <is>
          <t>LINKÖPING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37279-2024</t>
        </is>
      </c>
      <c r="B9972" s="1" t="n">
        <v>45540</v>
      </c>
      <c r="C9972" s="1" t="n">
        <v>45710</v>
      </c>
      <c r="D9972" t="inlineStr">
        <is>
          <t>ÖSTERGÖTLANDS LÄN</t>
        </is>
      </c>
      <c r="E9972" t="inlineStr">
        <is>
          <t>MOTALA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37296-2024</t>
        </is>
      </c>
      <c r="B9973" s="1" t="n">
        <v>45540</v>
      </c>
      <c r="C9973" s="1" t="n">
        <v>45710</v>
      </c>
      <c r="D9973" t="inlineStr">
        <is>
          <t>ÖSTERGÖTLANDS LÄN</t>
        </is>
      </c>
      <c r="E9973" t="inlineStr">
        <is>
          <t>LINKÖPING</t>
        </is>
      </c>
      <c r="G9973" t="n">
        <v>1.2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37397-2024</t>
        </is>
      </c>
      <c r="B9974" s="1" t="n">
        <v>45540</v>
      </c>
      <c r="C9974" s="1" t="n">
        <v>45710</v>
      </c>
      <c r="D9974" t="inlineStr">
        <is>
          <t>ÖSTERGÖTLANDS LÄN</t>
        </is>
      </c>
      <c r="E9974" t="inlineStr">
        <is>
          <t>KINDA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37421-2024</t>
        </is>
      </c>
      <c r="B9975" s="1" t="n">
        <v>45540</v>
      </c>
      <c r="C9975" s="1" t="n">
        <v>45710</v>
      </c>
      <c r="D9975" t="inlineStr">
        <is>
          <t>ÖSTERGÖTLANDS LÄN</t>
        </is>
      </c>
      <c r="E9975" t="inlineStr">
        <is>
          <t>VALDEMARSVIK</t>
        </is>
      </c>
      <c r="G9975" t="n">
        <v>3.5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37470-2024</t>
        </is>
      </c>
      <c r="B9976" s="1" t="n">
        <v>45540</v>
      </c>
      <c r="C9976" s="1" t="n">
        <v>45710</v>
      </c>
      <c r="D9976" t="inlineStr">
        <is>
          <t>ÖSTERGÖTLANDS LÄN</t>
        </is>
      </c>
      <c r="E9976" t="inlineStr">
        <is>
          <t>FINSPÅNG</t>
        </is>
      </c>
      <c r="G9976" t="n">
        <v>5.7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37532-2024</t>
        </is>
      </c>
      <c r="B9977" s="1" t="n">
        <v>45541</v>
      </c>
      <c r="C9977" s="1" t="n">
        <v>45710</v>
      </c>
      <c r="D9977" t="inlineStr">
        <is>
          <t>ÖSTERGÖTLANDS LÄN</t>
        </is>
      </c>
      <c r="E9977" t="inlineStr">
        <is>
          <t>BOXHOLM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37489-2024</t>
        </is>
      </c>
      <c r="B9978" s="1" t="n">
        <v>45541</v>
      </c>
      <c r="C9978" s="1" t="n">
        <v>45710</v>
      </c>
      <c r="D9978" t="inlineStr">
        <is>
          <t>ÖSTERGÖTLANDS LÄN</t>
        </is>
      </c>
      <c r="E9978" t="inlineStr">
        <is>
          <t>KINDA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37634-2024</t>
        </is>
      </c>
      <c r="B9979" s="1" t="n">
        <v>45541</v>
      </c>
      <c r="C9979" s="1" t="n">
        <v>45710</v>
      </c>
      <c r="D9979" t="inlineStr">
        <is>
          <t>ÖSTERGÖTLANDS LÄN</t>
        </is>
      </c>
      <c r="E9979" t="inlineStr">
        <is>
          <t>KINDA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37683-2024</t>
        </is>
      </c>
      <c r="B9980" s="1" t="n">
        <v>45541</v>
      </c>
      <c r="C9980" s="1" t="n">
        <v>45710</v>
      </c>
      <c r="D9980" t="inlineStr">
        <is>
          <t>ÖSTERGÖTLANDS LÄN</t>
        </is>
      </c>
      <c r="E9980" t="inlineStr">
        <is>
          <t>LINKÖPING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37647-2024</t>
        </is>
      </c>
      <c r="B9981" s="1" t="n">
        <v>45541</v>
      </c>
      <c r="C9981" s="1" t="n">
        <v>45710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1.8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37748-2024</t>
        </is>
      </c>
      <c r="B9982" s="1" t="n">
        <v>45541</v>
      </c>
      <c r="C9982" s="1" t="n">
        <v>45710</v>
      </c>
      <c r="D9982" t="inlineStr">
        <is>
          <t>ÖSTERGÖTLANDS LÄN</t>
        </is>
      </c>
      <c r="E9982" t="inlineStr">
        <is>
          <t>LINKÖPING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37749-2024</t>
        </is>
      </c>
      <c r="B9983" s="1" t="n">
        <v>45541</v>
      </c>
      <c r="C9983" s="1" t="n">
        <v>45710</v>
      </c>
      <c r="D9983" t="inlineStr">
        <is>
          <t>ÖSTERGÖTLANDS LÄN</t>
        </is>
      </c>
      <c r="E9983" t="inlineStr">
        <is>
          <t>SÖDERKÖPING</t>
        </is>
      </c>
      <c r="G9983" t="n">
        <v>4.1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37742-2024</t>
        </is>
      </c>
      <c r="B9984" s="1" t="n">
        <v>45541</v>
      </c>
      <c r="C9984" s="1" t="n">
        <v>45710</v>
      </c>
      <c r="D9984" t="inlineStr">
        <is>
          <t>ÖSTERGÖTLANDS LÄN</t>
        </is>
      </c>
      <c r="E9984" t="inlineStr">
        <is>
          <t>NORRKÖPING</t>
        </is>
      </c>
      <c r="G9984" t="n">
        <v>6.5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37807-2024</t>
        </is>
      </c>
      <c r="B9985" s="1" t="n">
        <v>45543</v>
      </c>
      <c r="C9985" s="1" t="n">
        <v>45710</v>
      </c>
      <c r="D9985" t="inlineStr">
        <is>
          <t>ÖSTERGÖTLANDS LÄN</t>
        </is>
      </c>
      <c r="E9985" t="inlineStr">
        <is>
          <t>NORRKÖPING</t>
        </is>
      </c>
      <c r="G9985" t="n">
        <v>6.8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38030-2024</t>
        </is>
      </c>
      <c r="B9986" s="1" t="n">
        <v>45544</v>
      </c>
      <c r="C9986" s="1" t="n">
        <v>45710</v>
      </c>
      <c r="D9986" t="inlineStr">
        <is>
          <t>ÖSTERGÖTLANDS LÄN</t>
        </is>
      </c>
      <c r="E9986" t="inlineStr">
        <is>
          <t>ÖDESHÖG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38019-2024</t>
        </is>
      </c>
      <c r="B9987" s="1" t="n">
        <v>45544</v>
      </c>
      <c r="C9987" s="1" t="n">
        <v>45710</v>
      </c>
      <c r="D9987" t="inlineStr">
        <is>
          <t>ÖSTERGÖTLANDS LÄN</t>
        </is>
      </c>
      <c r="E9987" t="inlineStr">
        <is>
          <t>KINDA</t>
        </is>
      </c>
      <c r="G9987" t="n">
        <v>6.3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  <c r="U9987">
        <f>HYPERLINK("https://klasma.github.io/Logging_0513/knärot/A 38019-2024 karta knärot.png", "A 38019-2024")</f>
        <v/>
      </c>
      <c r="V9987">
        <f>HYPERLINK("https://klasma.github.io/Logging_0513/klagomål/A 38019-2024 FSC-klagomål.docx", "A 38019-2024")</f>
        <v/>
      </c>
      <c r="W9987">
        <f>HYPERLINK("https://klasma.github.io/Logging_0513/klagomålsmail/A 38019-2024 FSC-klagomål mail.docx", "A 38019-2024")</f>
        <v/>
      </c>
      <c r="X9987">
        <f>HYPERLINK("https://klasma.github.io/Logging_0513/tillsyn/A 38019-2024 tillsynsbegäran.docx", "A 38019-2024")</f>
        <v/>
      </c>
      <c r="Y9987">
        <f>HYPERLINK("https://klasma.github.io/Logging_0513/tillsynsmail/A 38019-2024 tillsynsbegäran mail.docx", "A 38019-2024")</f>
        <v/>
      </c>
    </row>
    <row r="9988" ht="15" customHeight="1">
      <c r="A9988" t="inlineStr">
        <is>
          <t>A 38045-2024</t>
        </is>
      </c>
      <c r="B9988" s="1" t="n">
        <v>45544</v>
      </c>
      <c r="C9988" s="1" t="n">
        <v>45710</v>
      </c>
      <c r="D9988" t="inlineStr">
        <is>
          <t>ÖSTERGÖTLANDS LÄN</t>
        </is>
      </c>
      <c r="E9988" t="inlineStr">
        <is>
          <t>YDRE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38117-2024</t>
        </is>
      </c>
      <c r="B9989" s="1" t="n">
        <v>45545</v>
      </c>
      <c r="C9989" s="1" t="n">
        <v>45710</v>
      </c>
      <c r="D9989" t="inlineStr">
        <is>
          <t>ÖSTERGÖTLANDS LÄN</t>
        </is>
      </c>
      <c r="E9989" t="inlineStr">
        <is>
          <t>YDRE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38168-2024</t>
        </is>
      </c>
      <c r="B9990" s="1" t="n">
        <v>45545</v>
      </c>
      <c r="C9990" s="1" t="n">
        <v>45710</v>
      </c>
      <c r="D9990" t="inlineStr">
        <is>
          <t>ÖSTERGÖTLANDS LÄN</t>
        </is>
      </c>
      <c r="E9990" t="inlineStr">
        <is>
          <t>ÖDESHÖG</t>
        </is>
      </c>
      <c r="F9990" t="inlineStr">
        <is>
          <t>Sveaskog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38180-2024</t>
        </is>
      </c>
      <c r="B9991" s="1" t="n">
        <v>45545</v>
      </c>
      <c r="C9991" s="1" t="n">
        <v>45710</v>
      </c>
      <c r="D9991" t="inlineStr">
        <is>
          <t>ÖSTERGÖTLANDS LÄN</t>
        </is>
      </c>
      <c r="E9991" t="inlineStr">
        <is>
          <t>LINKÖPING</t>
        </is>
      </c>
      <c r="F9991" t="inlineStr">
        <is>
          <t>Sveaskog</t>
        </is>
      </c>
      <c r="G9991" t="n">
        <v>3.6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38278-2024</t>
        </is>
      </c>
      <c r="B9992" s="1" t="n">
        <v>45545</v>
      </c>
      <c r="C9992" s="1" t="n">
        <v>45710</v>
      </c>
      <c r="D9992" t="inlineStr">
        <is>
          <t>ÖSTERGÖTLANDS LÄN</t>
        </is>
      </c>
      <c r="E9992" t="inlineStr">
        <is>
          <t>MJÖLBY</t>
        </is>
      </c>
      <c r="G9992" t="n">
        <v>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38259-2024</t>
        </is>
      </c>
      <c r="B9993" s="1" t="n">
        <v>45545</v>
      </c>
      <c r="C9993" s="1" t="n">
        <v>45710</v>
      </c>
      <c r="D9993" t="inlineStr">
        <is>
          <t>ÖSTERGÖTLANDS LÄN</t>
        </is>
      </c>
      <c r="E9993" t="inlineStr">
        <is>
          <t>ÖDESHÖG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38313-2024</t>
        </is>
      </c>
      <c r="B9994" s="1" t="n">
        <v>45545</v>
      </c>
      <c r="C9994" s="1" t="n">
        <v>45710</v>
      </c>
      <c r="D9994" t="inlineStr">
        <is>
          <t>ÖSTERGÖTLANDS LÄN</t>
        </is>
      </c>
      <c r="E9994" t="inlineStr">
        <is>
          <t>MJÖLBY</t>
        </is>
      </c>
      <c r="G9994" t="n">
        <v>3.7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38317-2024</t>
        </is>
      </c>
      <c r="B9995" s="1" t="n">
        <v>45545</v>
      </c>
      <c r="C9995" s="1" t="n">
        <v>45710</v>
      </c>
      <c r="D9995" t="inlineStr">
        <is>
          <t>ÖSTERGÖTLANDS LÄN</t>
        </is>
      </c>
      <c r="E9995" t="inlineStr">
        <is>
          <t>LINKÖPING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38388-2024</t>
        </is>
      </c>
      <c r="B9996" s="1" t="n">
        <v>45546</v>
      </c>
      <c r="C9996" s="1" t="n">
        <v>45710</v>
      </c>
      <c r="D9996" t="inlineStr">
        <is>
          <t>ÖSTERGÖTLANDS LÄN</t>
        </is>
      </c>
      <c r="E9996" t="inlineStr">
        <is>
          <t>SÖDERKÖPING</t>
        </is>
      </c>
      <c r="G9996" t="n">
        <v>1.9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38418-2024</t>
        </is>
      </c>
      <c r="B9997" s="1" t="n">
        <v>45546</v>
      </c>
      <c r="C9997" s="1" t="n">
        <v>45710</v>
      </c>
      <c r="D9997" t="inlineStr">
        <is>
          <t>ÖSTERGÖTLANDS LÄN</t>
        </is>
      </c>
      <c r="E9997" t="inlineStr">
        <is>
          <t>ÖDESHÖG</t>
        </is>
      </c>
      <c r="F9997" t="inlineStr">
        <is>
          <t>Sveaskog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38438-2024</t>
        </is>
      </c>
      <c r="B9998" s="1" t="n">
        <v>45546</v>
      </c>
      <c r="C9998" s="1" t="n">
        <v>45710</v>
      </c>
      <c r="D9998" t="inlineStr">
        <is>
          <t>ÖSTERGÖTLANDS LÄN</t>
        </is>
      </c>
      <c r="E9998" t="inlineStr">
        <is>
          <t>VALDEMARSVIK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38458-2024</t>
        </is>
      </c>
      <c r="B9999" s="1" t="n">
        <v>45546</v>
      </c>
      <c r="C9999" s="1" t="n">
        <v>45710</v>
      </c>
      <c r="D9999" t="inlineStr">
        <is>
          <t>ÖSTERGÖTLANDS LÄN</t>
        </is>
      </c>
      <c r="E9999" t="inlineStr">
        <is>
          <t>LINKÖPING</t>
        </is>
      </c>
      <c r="G9999" t="n">
        <v>2.7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38423-2024</t>
        </is>
      </c>
      <c r="B10000" s="1" t="n">
        <v>45546</v>
      </c>
      <c r="C10000" s="1" t="n">
        <v>45710</v>
      </c>
      <c r="D10000" t="inlineStr">
        <is>
          <t>ÖSTERGÖTLANDS LÄN</t>
        </is>
      </c>
      <c r="E10000" t="inlineStr">
        <is>
          <t>VALDEMARSVIK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38427-2024</t>
        </is>
      </c>
      <c r="B10001" s="1" t="n">
        <v>45546</v>
      </c>
      <c r="C10001" s="1" t="n">
        <v>45710</v>
      </c>
      <c r="D10001" t="inlineStr">
        <is>
          <t>ÖSTERGÖTLANDS LÄN</t>
        </is>
      </c>
      <c r="E10001" t="inlineStr">
        <is>
          <t>VALDEMARSVIK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38431-2024</t>
        </is>
      </c>
      <c r="B10002" s="1" t="n">
        <v>45546</v>
      </c>
      <c r="C10002" s="1" t="n">
        <v>45710</v>
      </c>
      <c r="D10002" t="inlineStr">
        <is>
          <t>ÖSTERGÖTLANDS LÄN</t>
        </is>
      </c>
      <c r="E10002" t="inlineStr">
        <is>
          <t>VALDEMARSVIK</t>
        </is>
      </c>
      <c r="G10002" t="n">
        <v>4.2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38439-2024</t>
        </is>
      </c>
      <c r="B10003" s="1" t="n">
        <v>45546</v>
      </c>
      <c r="C10003" s="1" t="n">
        <v>45710</v>
      </c>
      <c r="D10003" t="inlineStr">
        <is>
          <t>ÖSTERGÖTLANDS LÄN</t>
        </is>
      </c>
      <c r="E10003" t="inlineStr">
        <is>
          <t>NORRKÖPING</t>
        </is>
      </c>
      <c r="G10003" t="n">
        <v>3.4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38441-2024</t>
        </is>
      </c>
      <c r="B10004" s="1" t="n">
        <v>45546</v>
      </c>
      <c r="C10004" s="1" t="n">
        <v>45710</v>
      </c>
      <c r="D10004" t="inlineStr">
        <is>
          <t>ÖSTERGÖTLANDS LÄN</t>
        </is>
      </c>
      <c r="E10004" t="inlineStr">
        <is>
          <t>NORRKÖPING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38487-2024</t>
        </is>
      </c>
      <c r="B10005" s="1" t="n">
        <v>45546</v>
      </c>
      <c r="C10005" s="1" t="n">
        <v>45710</v>
      </c>
      <c r="D10005" t="inlineStr">
        <is>
          <t>ÖSTERGÖTLANDS LÄN</t>
        </is>
      </c>
      <c r="E10005" t="inlineStr">
        <is>
          <t>ÖDESHÖG</t>
        </is>
      </c>
      <c r="F10005" t="inlineStr">
        <is>
          <t>Sveaskog</t>
        </is>
      </c>
      <c r="G10005" t="n">
        <v>4.9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38580-2024</t>
        </is>
      </c>
      <c r="B10006" s="1" t="n">
        <v>45546</v>
      </c>
      <c r="C10006" s="1" t="n">
        <v>45710</v>
      </c>
      <c r="D10006" t="inlineStr">
        <is>
          <t>ÖSTERGÖTLANDS LÄN</t>
        </is>
      </c>
      <c r="E10006" t="inlineStr">
        <is>
          <t>LINKÖPING</t>
        </is>
      </c>
      <c r="G10006" t="n">
        <v>4.8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38557-2024</t>
        </is>
      </c>
      <c r="B10007" s="1" t="n">
        <v>45546</v>
      </c>
      <c r="C10007" s="1" t="n">
        <v>45710</v>
      </c>
      <c r="D10007" t="inlineStr">
        <is>
          <t>ÖSTERGÖTLANDS LÄN</t>
        </is>
      </c>
      <c r="E10007" t="inlineStr">
        <is>
          <t>ÅTVIDABERG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38583-2024</t>
        </is>
      </c>
      <c r="B10008" s="1" t="n">
        <v>45546</v>
      </c>
      <c r="C10008" s="1" t="n">
        <v>45710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38647-2024</t>
        </is>
      </c>
      <c r="B10009" s="1" t="n">
        <v>45546</v>
      </c>
      <c r="C10009" s="1" t="n">
        <v>45710</v>
      </c>
      <c r="D10009" t="inlineStr">
        <is>
          <t>ÖSTERGÖTLANDS LÄN</t>
        </is>
      </c>
      <c r="E10009" t="inlineStr">
        <is>
          <t>SÖDERKÖPING</t>
        </is>
      </c>
      <c r="G10009" t="n">
        <v>1.5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38660-2024</t>
        </is>
      </c>
      <c r="B10010" s="1" t="n">
        <v>45547</v>
      </c>
      <c r="C10010" s="1" t="n">
        <v>45710</v>
      </c>
      <c r="D10010" t="inlineStr">
        <is>
          <t>ÖSTERGÖTLANDS LÄN</t>
        </is>
      </c>
      <c r="E10010" t="inlineStr">
        <is>
          <t>MOTALA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38646-2024</t>
        </is>
      </c>
      <c r="B10011" s="1" t="n">
        <v>45546</v>
      </c>
      <c r="C10011" s="1" t="n">
        <v>45710</v>
      </c>
      <c r="D10011" t="inlineStr">
        <is>
          <t>ÖSTERGÖTLANDS LÄN</t>
        </is>
      </c>
      <c r="E10011" t="inlineStr">
        <is>
          <t>SÖDERKÖPING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38650-2024</t>
        </is>
      </c>
      <c r="B10012" s="1" t="n">
        <v>45546</v>
      </c>
      <c r="C10012" s="1" t="n">
        <v>45710</v>
      </c>
      <c r="D10012" t="inlineStr">
        <is>
          <t>ÖSTERGÖTLANDS LÄN</t>
        </is>
      </c>
      <c r="E10012" t="inlineStr">
        <is>
          <t>SÖDERKÖPING</t>
        </is>
      </c>
      <c r="G10012" t="n">
        <v>7.7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38654-2024</t>
        </is>
      </c>
      <c r="B10013" s="1" t="n">
        <v>45547</v>
      </c>
      <c r="C10013" s="1" t="n">
        <v>45710</v>
      </c>
      <c r="D10013" t="inlineStr">
        <is>
          <t>ÖSTERGÖTLANDS LÄN</t>
        </is>
      </c>
      <c r="E10013" t="inlineStr">
        <is>
          <t>NORRKÖPING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38695-2024</t>
        </is>
      </c>
      <c r="B10014" s="1" t="n">
        <v>45547</v>
      </c>
      <c r="C10014" s="1" t="n">
        <v>45710</v>
      </c>
      <c r="D10014" t="inlineStr">
        <is>
          <t>ÖSTERGÖTLANDS LÄN</t>
        </is>
      </c>
      <c r="E10014" t="inlineStr">
        <is>
          <t>FINSPÅNG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38881-2024</t>
        </is>
      </c>
      <c r="B10015" s="1" t="n">
        <v>45547</v>
      </c>
      <c r="C10015" s="1" t="n">
        <v>45710</v>
      </c>
      <c r="D10015" t="inlineStr">
        <is>
          <t>ÖSTERGÖTLANDS LÄN</t>
        </is>
      </c>
      <c r="E10015" t="inlineStr">
        <is>
          <t>MOTALA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38874-2024</t>
        </is>
      </c>
      <c r="B10016" s="1" t="n">
        <v>45547</v>
      </c>
      <c r="C10016" s="1" t="n">
        <v>45710</v>
      </c>
      <c r="D10016" t="inlineStr">
        <is>
          <t>ÖSTERGÖTLANDS LÄN</t>
        </is>
      </c>
      <c r="E10016" t="inlineStr">
        <is>
          <t>NORRKÖPING</t>
        </is>
      </c>
      <c r="F10016" t="inlineStr">
        <is>
          <t>Allmännings- och besparingsskogar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38886-2024</t>
        </is>
      </c>
      <c r="B10017" s="1" t="n">
        <v>45547</v>
      </c>
      <c r="C10017" s="1" t="n">
        <v>45710</v>
      </c>
      <c r="D10017" t="inlineStr">
        <is>
          <t>ÖSTERGÖTLANDS LÄN</t>
        </is>
      </c>
      <c r="E10017" t="inlineStr">
        <is>
          <t>LINKÖPING</t>
        </is>
      </c>
      <c r="G10017" t="n">
        <v>5.3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38904-2024</t>
        </is>
      </c>
      <c r="B10018" s="1" t="n">
        <v>45547</v>
      </c>
      <c r="C10018" s="1" t="n">
        <v>45710</v>
      </c>
      <c r="D10018" t="inlineStr">
        <is>
          <t>ÖSTERGÖTLANDS LÄN</t>
        </is>
      </c>
      <c r="E10018" t="inlineStr">
        <is>
          <t>MOTALA</t>
        </is>
      </c>
      <c r="G10018" t="n">
        <v>3.5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39003-2024</t>
        </is>
      </c>
      <c r="B10019" s="1" t="n">
        <v>45548</v>
      </c>
      <c r="C10019" s="1" t="n">
        <v>45710</v>
      </c>
      <c r="D10019" t="inlineStr">
        <is>
          <t>ÖSTERGÖTLANDS LÄN</t>
        </is>
      </c>
      <c r="E10019" t="inlineStr">
        <is>
          <t>MJÖLBY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39011-2024</t>
        </is>
      </c>
      <c r="B10020" s="1" t="n">
        <v>45548</v>
      </c>
      <c r="C10020" s="1" t="n">
        <v>45710</v>
      </c>
      <c r="D10020" t="inlineStr">
        <is>
          <t>ÖSTERGÖTLANDS LÄN</t>
        </is>
      </c>
      <c r="E10020" t="inlineStr">
        <is>
          <t>MJÖLBY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39064-2024</t>
        </is>
      </c>
      <c r="B10021" s="1" t="n">
        <v>45548</v>
      </c>
      <c r="C10021" s="1" t="n">
        <v>45710</v>
      </c>
      <c r="D10021" t="inlineStr">
        <is>
          <t>ÖSTERGÖTLANDS LÄN</t>
        </is>
      </c>
      <c r="E10021" t="inlineStr">
        <is>
          <t>ÅTVIDABERG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39090-2024</t>
        </is>
      </c>
      <c r="B10022" s="1" t="n">
        <v>45548</v>
      </c>
      <c r="C10022" s="1" t="n">
        <v>45710</v>
      </c>
      <c r="D10022" t="inlineStr">
        <is>
          <t>ÖSTERGÖTLANDS LÄN</t>
        </is>
      </c>
      <c r="E10022" t="inlineStr">
        <is>
          <t>VALDEMARSVIK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39114-2024</t>
        </is>
      </c>
      <c r="B10023" s="1" t="n">
        <v>45548</v>
      </c>
      <c r="C10023" s="1" t="n">
        <v>45710</v>
      </c>
      <c r="D10023" t="inlineStr">
        <is>
          <t>ÖSTERGÖTLANDS LÄN</t>
        </is>
      </c>
      <c r="E10023" t="inlineStr">
        <is>
          <t>FINSPÅNG</t>
        </is>
      </c>
      <c r="G10023" t="n">
        <v>9.699999999999999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39063-2024</t>
        </is>
      </c>
      <c r="B10024" s="1" t="n">
        <v>45548</v>
      </c>
      <c r="C10024" s="1" t="n">
        <v>45710</v>
      </c>
      <c r="D10024" t="inlineStr">
        <is>
          <t>ÖSTERGÖTLANDS LÄN</t>
        </is>
      </c>
      <c r="E10024" t="inlineStr">
        <is>
          <t>ÅTVIDABERG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39000-2024</t>
        </is>
      </c>
      <c r="B10025" s="1" t="n">
        <v>45548</v>
      </c>
      <c r="C10025" s="1" t="n">
        <v>45710</v>
      </c>
      <c r="D10025" t="inlineStr">
        <is>
          <t>ÖSTERGÖTLANDS LÄN</t>
        </is>
      </c>
      <c r="E10025" t="inlineStr">
        <is>
          <t>MJÖLBY</t>
        </is>
      </c>
      <c r="G10025" t="n">
        <v>1.3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39086-2024</t>
        </is>
      </c>
      <c r="B10026" s="1" t="n">
        <v>45548</v>
      </c>
      <c r="C10026" s="1" t="n">
        <v>45710</v>
      </c>
      <c r="D10026" t="inlineStr">
        <is>
          <t>ÖSTERGÖTLANDS LÄN</t>
        </is>
      </c>
      <c r="E10026" t="inlineStr">
        <is>
          <t>VALDEMARSVIK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39210-2024</t>
        </is>
      </c>
      <c r="B10027" s="1" t="n">
        <v>45548</v>
      </c>
      <c r="C10027" s="1" t="n">
        <v>45710</v>
      </c>
      <c r="D10027" t="inlineStr">
        <is>
          <t>ÖSTERGÖTLANDS LÄN</t>
        </is>
      </c>
      <c r="E10027" t="inlineStr">
        <is>
          <t>FINSPÅNG</t>
        </is>
      </c>
      <c r="G10027" t="n">
        <v>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39175-2024</t>
        </is>
      </c>
      <c r="B10028" s="1" t="n">
        <v>45548</v>
      </c>
      <c r="C10028" s="1" t="n">
        <v>45710</v>
      </c>
      <c r="D10028" t="inlineStr">
        <is>
          <t>ÖSTERGÖTLANDS LÄN</t>
        </is>
      </c>
      <c r="E10028" t="inlineStr">
        <is>
          <t>ÅTVIDABERG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39218-2024</t>
        </is>
      </c>
      <c r="B10029" s="1" t="n">
        <v>45549</v>
      </c>
      <c r="C10029" s="1" t="n">
        <v>45710</v>
      </c>
      <c r="D10029" t="inlineStr">
        <is>
          <t>ÖSTERGÖTLANDS LÄN</t>
        </is>
      </c>
      <c r="E10029" t="inlineStr">
        <is>
          <t>FINSPÅNG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39235-2024</t>
        </is>
      </c>
      <c r="B10030" s="1" t="n">
        <v>45550</v>
      </c>
      <c r="C10030" s="1" t="n">
        <v>45710</v>
      </c>
      <c r="D10030" t="inlineStr">
        <is>
          <t>ÖSTERGÖTLANDS LÄN</t>
        </is>
      </c>
      <c r="E10030" t="inlineStr">
        <is>
          <t>KINDA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39232-2024</t>
        </is>
      </c>
      <c r="B10031" s="1" t="n">
        <v>45550</v>
      </c>
      <c r="C10031" s="1" t="n">
        <v>45710</v>
      </c>
      <c r="D10031" t="inlineStr">
        <is>
          <t>ÖSTERGÖTLANDS LÄN</t>
        </is>
      </c>
      <c r="E10031" t="inlineStr">
        <is>
          <t>NORRKÖPING</t>
        </is>
      </c>
      <c r="G10031" t="n">
        <v>6.2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39242-2024</t>
        </is>
      </c>
      <c r="B10032" s="1" t="n">
        <v>45551</v>
      </c>
      <c r="C10032" s="1" t="n">
        <v>45710</v>
      </c>
      <c r="D10032" t="inlineStr">
        <is>
          <t>ÖSTERGÖTLANDS LÄN</t>
        </is>
      </c>
      <c r="E10032" t="inlineStr">
        <is>
          <t>KINDA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39246-2024</t>
        </is>
      </c>
      <c r="B10033" s="1" t="n">
        <v>45551</v>
      </c>
      <c r="C10033" s="1" t="n">
        <v>45710</v>
      </c>
      <c r="D10033" t="inlineStr">
        <is>
          <t>ÖSTERGÖTLANDS LÄN</t>
        </is>
      </c>
      <c r="E10033" t="inlineStr">
        <is>
          <t>KINDA</t>
        </is>
      </c>
      <c r="G10033" t="n">
        <v>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39245-2024</t>
        </is>
      </c>
      <c r="B10034" s="1" t="n">
        <v>45551</v>
      </c>
      <c r="C10034" s="1" t="n">
        <v>45710</v>
      </c>
      <c r="D10034" t="inlineStr">
        <is>
          <t>ÖSTERGÖTLANDS LÄN</t>
        </is>
      </c>
      <c r="E10034" t="inlineStr">
        <is>
          <t>KINDA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39244-2024</t>
        </is>
      </c>
      <c r="B10035" s="1" t="n">
        <v>45551</v>
      </c>
      <c r="C10035" s="1" t="n">
        <v>45710</v>
      </c>
      <c r="D10035" t="inlineStr">
        <is>
          <t>ÖSTERGÖTLANDS LÄN</t>
        </is>
      </c>
      <c r="E10035" t="inlineStr">
        <is>
          <t>KINDA</t>
        </is>
      </c>
      <c r="G10035" t="n">
        <v>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39248-2024</t>
        </is>
      </c>
      <c r="B10036" s="1" t="n">
        <v>45551</v>
      </c>
      <c r="C10036" s="1" t="n">
        <v>45710</v>
      </c>
      <c r="D10036" t="inlineStr">
        <is>
          <t>ÖSTERGÖTLANDS LÄN</t>
        </is>
      </c>
      <c r="E10036" t="inlineStr">
        <is>
          <t>VALDEMARSVIK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39313-2024</t>
        </is>
      </c>
      <c r="B10037" s="1" t="n">
        <v>45551</v>
      </c>
      <c r="C10037" s="1" t="n">
        <v>45710</v>
      </c>
      <c r="D10037" t="inlineStr">
        <is>
          <t>ÖSTERGÖTLANDS LÄN</t>
        </is>
      </c>
      <c r="E10037" t="inlineStr">
        <is>
          <t>YDRE</t>
        </is>
      </c>
      <c r="G10037" t="n">
        <v>6.1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39243-2024</t>
        </is>
      </c>
      <c r="B10038" s="1" t="n">
        <v>45551</v>
      </c>
      <c r="C10038" s="1" t="n">
        <v>45710</v>
      </c>
      <c r="D10038" t="inlineStr">
        <is>
          <t>ÖSTERGÖTLANDS LÄN</t>
        </is>
      </c>
      <c r="E10038" t="inlineStr">
        <is>
          <t>KINDA</t>
        </is>
      </c>
      <c r="G10038" t="n">
        <v>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39251-2024</t>
        </is>
      </c>
      <c r="B10039" s="1" t="n">
        <v>45551</v>
      </c>
      <c r="C10039" s="1" t="n">
        <v>45710</v>
      </c>
      <c r="D10039" t="inlineStr">
        <is>
          <t>ÖSTERGÖTLANDS LÄN</t>
        </is>
      </c>
      <c r="E10039" t="inlineStr">
        <is>
          <t>VALDEMARSVIK</t>
        </is>
      </c>
      <c r="G10039" t="n">
        <v>3.9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39415-2024</t>
        </is>
      </c>
      <c r="B10040" s="1" t="n">
        <v>45551</v>
      </c>
      <c r="C10040" s="1" t="n">
        <v>45710</v>
      </c>
      <c r="D10040" t="inlineStr">
        <is>
          <t>ÖSTERGÖTLANDS LÄN</t>
        </is>
      </c>
      <c r="E10040" t="inlineStr">
        <is>
          <t>FINSPÅNG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39419-2024</t>
        </is>
      </c>
      <c r="B10041" s="1" t="n">
        <v>45551</v>
      </c>
      <c r="C10041" s="1" t="n">
        <v>45710</v>
      </c>
      <c r="D10041" t="inlineStr">
        <is>
          <t>ÖSTERGÖTLANDS LÄN</t>
        </is>
      </c>
      <c r="E10041" t="inlineStr">
        <is>
          <t>FINSPÅNG</t>
        </is>
      </c>
      <c r="G10041" t="n">
        <v>16.3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39356-2024</t>
        </is>
      </c>
      <c r="B10042" s="1" t="n">
        <v>45551</v>
      </c>
      <c r="C10042" s="1" t="n">
        <v>45710</v>
      </c>
      <c r="D10042" t="inlineStr">
        <is>
          <t>ÖSTERGÖTLANDS LÄN</t>
        </is>
      </c>
      <c r="E10042" t="inlineStr">
        <is>
          <t>FINSPÅNG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39318-2024</t>
        </is>
      </c>
      <c r="B10043" s="1" t="n">
        <v>45551</v>
      </c>
      <c r="C10043" s="1" t="n">
        <v>45710</v>
      </c>
      <c r="D10043" t="inlineStr">
        <is>
          <t>ÖSTERGÖTLANDS LÄN</t>
        </is>
      </c>
      <c r="E10043" t="inlineStr">
        <is>
          <t>YDRE</t>
        </is>
      </c>
      <c r="G10043" t="n">
        <v>6.3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39390-2024</t>
        </is>
      </c>
      <c r="B10044" s="1" t="n">
        <v>45551</v>
      </c>
      <c r="C10044" s="1" t="n">
        <v>45710</v>
      </c>
      <c r="D10044" t="inlineStr">
        <is>
          <t>ÖSTERGÖTLANDS LÄN</t>
        </is>
      </c>
      <c r="E10044" t="inlineStr">
        <is>
          <t>FINSPÅNG</t>
        </is>
      </c>
      <c r="G10044" t="n">
        <v>1.9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39467-2024</t>
        </is>
      </c>
      <c r="B10045" s="1" t="n">
        <v>45551</v>
      </c>
      <c r="C10045" s="1" t="n">
        <v>45710</v>
      </c>
      <c r="D10045" t="inlineStr">
        <is>
          <t>ÖSTERGÖTLANDS LÄN</t>
        </is>
      </c>
      <c r="E10045" t="inlineStr">
        <is>
          <t>FINSPÅNG</t>
        </is>
      </c>
      <c r="G10045" t="n">
        <v>4.7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39486-2024</t>
        </is>
      </c>
      <c r="B10046" s="1" t="n">
        <v>45551</v>
      </c>
      <c r="C10046" s="1" t="n">
        <v>45710</v>
      </c>
      <c r="D10046" t="inlineStr">
        <is>
          <t>ÖSTERGÖTLANDS LÄN</t>
        </is>
      </c>
      <c r="E10046" t="inlineStr">
        <is>
          <t>BOXHOLM</t>
        </is>
      </c>
      <c r="F10046" t="inlineStr">
        <is>
          <t>Allmännings- och besparingsskogar</t>
        </is>
      </c>
      <c r="G10046" t="n">
        <v>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39703-2024</t>
        </is>
      </c>
      <c r="B10047" s="1" t="n">
        <v>45552</v>
      </c>
      <c r="C10047" s="1" t="n">
        <v>45710</v>
      </c>
      <c r="D10047" t="inlineStr">
        <is>
          <t>ÖSTERGÖTLANDS LÄN</t>
        </is>
      </c>
      <c r="E10047" t="inlineStr">
        <is>
          <t>KINDA</t>
        </is>
      </c>
      <c r="G10047" t="n">
        <v>4.7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39749-2024</t>
        </is>
      </c>
      <c r="B10048" s="1" t="n">
        <v>45552</v>
      </c>
      <c r="C10048" s="1" t="n">
        <v>45710</v>
      </c>
      <c r="D10048" t="inlineStr">
        <is>
          <t>ÖSTERGÖTLANDS LÄN</t>
        </is>
      </c>
      <c r="E10048" t="inlineStr">
        <is>
          <t>NORRKÖPING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39760-2024</t>
        </is>
      </c>
      <c r="B10049" s="1" t="n">
        <v>45552</v>
      </c>
      <c r="C10049" s="1" t="n">
        <v>45710</v>
      </c>
      <c r="D10049" t="inlineStr">
        <is>
          <t>ÖSTERGÖTLANDS LÄN</t>
        </is>
      </c>
      <c r="E10049" t="inlineStr">
        <is>
          <t>ÅTVIDABERG</t>
        </is>
      </c>
      <c r="G10049" t="n">
        <v>12.9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39642-2024</t>
        </is>
      </c>
      <c r="B10050" s="1" t="n">
        <v>45552</v>
      </c>
      <c r="C10050" s="1" t="n">
        <v>45710</v>
      </c>
      <c r="D10050" t="inlineStr">
        <is>
          <t>ÖSTERGÖTLANDS LÄN</t>
        </is>
      </c>
      <c r="E10050" t="inlineStr">
        <is>
          <t>ÖDESHÖG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39693-2024</t>
        </is>
      </c>
      <c r="B10051" s="1" t="n">
        <v>45552</v>
      </c>
      <c r="C10051" s="1" t="n">
        <v>45710</v>
      </c>
      <c r="D10051" t="inlineStr">
        <is>
          <t>ÖSTERGÖTLANDS LÄN</t>
        </is>
      </c>
      <c r="E10051" t="inlineStr">
        <is>
          <t>BOXHOLM</t>
        </is>
      </c>
      <c r="F10051" t="inlineStr">
        <is>
          <t>Allmännings- och besparingsskogar</t>
        </is>
      </c>
      <c r="G10051" t="n">
        <v>0.5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39706-2024</t>
        </is>
      </c>
      <c r="B10052" s="1" t="n">
        <v>45552</v>
      </c>
      <c r="C10052" s="1" t="n">
        <v>45710</v>
      </c>
      <c r="D10052" t="inlineStr">
        <is>
          <t>ÖSTERGÖTLANDS LÄN</t>
        </is>
      </c>
      <c r="E10052" t="inlineStr">
        <is>
          <t>MJÖLBY</t>
        </is>
      </c>
      <c r="F10052" t="inlineStr">
        <is>
          <t>Kyrkan</t>
        </is>
      </c>
      <c r="G10052" t="n">
        <v>6.2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39920-2024</t>
        </is>
      </c>
      <c r="B10053" s="1" t="n">
        <v>45553</v>
      </c>
      <c r="C10053" s="1" t="n">
        <v>45710</v>
      </c>
      <c r="D10053" t="inlineStr">
        <is>
          <t>ÖSTERGÖTLANDS LÄN</t>
        </is>
      </c>
      <c r="E10053" t="inlineStr">
        <is>
          <t>ÖDESHÖG</t>
        </is>
      </c>
      <c r="G10053" t="n">
        <v>0.4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39950-2024</t>
        </is>
      </c>
      <c r="B10054" s="1" t="n">
        <v>45553</v>
      </c>
      <c r="C10054" s="1" t="n">
        <v>45710</v>
      </c>
      <c r="D10054" t="inlineStr">
        <is>
          <t>ÖSTERGÖTLANDS LÄN</t>
        </is>
      </c>
      <c r="E10054" t="inlineStr">
        <is>
          <t>MJÖLBY</t>
        </is>
      </c>
      <c r="F10054" t="inlineStr">
        <is>
          <t>Kyrkan</t>
        </is>
      </c>
      <c r="G10054" t="n">
        <v>2.6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39959-2024</t>
        </is>
      </c>
      <c r="B10055" s="1" t="n">
        <v>45553</v>
      </c>
      <c r="C10055" s="1" t="n">
        <v>45710</v>
      </c>
      <c r="D10055" t="inlineStr">
        <is>
          <t>ÖSTERGÖTLANDS LÄN</t>
        </is>
      </c>
      <c r="E10055" t="inlineStr">
        <is>
          <t>MJÖLBY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39981-2024</t>
        </is>
      </c>
      <c r="B10056" s="1" t="n">
        <v>45553</v>
      </c>
      <c r="C10056" s="1" t="n">
        <v>45710</v>
      </c>
      <c r="D10056" t="inlineStr">
        <is>
          <t>ÖSTERGÖTLANDS LÄN</t>
        </is>
      </c>
      <c r="E10056" t="inlineStr">
        <is>
          <t>NORRKÖPING</t>
        </is>
      </c>
      <c r="F10056" t="inlineStr">
        <is>
          <t>Allmännings- och besparingsskogar</t>
        </is>
      </c>
      <c r="G10056" t="n">
        <v>5.3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39964-2024</t>
        </is>
      </c>
      <c r="B10057" s="1" t="n">
        <v>45553</v>
      </c>
      <c r="C10057" s="1" t="n">
        <v>45710</v>
      </c>
      <c r="D10057" t="inlineStr">
        <is>
          <t>ÖSTERGÖTLANDS LÄN</t>
        </is>
      </c>
      <c r="E10057" t="inlineStr">
        <is>
          <t>MJÖLBY</t>
        </is>
      </c>
      <c r="F10057" t="inlineStr">
        <is>
          <t>Kyrkan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40064-2024</t>
        </is>
      </c>
      <c r="B10058" s="1" t="n">
        <v>45554</v>
      </c>
      <c r="C10058" s="1" t="n">
        <v>45710</v>
      </c>
      <c r="D10058" t="inlineStr">
        <is>
          <t>ÖSTERGÖTLANDS LÄN</t>
        </is>
      </c>
      <c r="E10058" t="inlineStr">
        <is>
          <t>SÖDERKÖPING</t>
        </is>
      </c>
      <c r="G10058" t="n">
        <v>3.8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40068-2024</t>
        </is>
      </c>
      <c r="B10059" s="1" t="n">
        <v>45554</v>
      </c>
      <c r="C10059" s="1" t="n">
        <v>45710</v>
      </c>
      <c r="D10059" t="inlineStr">
        <is>
          <t>ÖSTERGÖTLANDS LÄN</t>
        </is>
      </c>
      <c r="E10059" t="inlineStr">
        <is>
          <t>NORRKÖPING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40160-2024</t>
        </is>
      </c>
      <c r="B10060" s="1" t="n">
        <v>45554</v>
      </c>
      <c r="C10060" s="1" t="n">
        <v>45710</v>
      </c>
      <c r="D10060" t="inlineStr">
        <is>
          <t>ÖSTERGÖTLANDS LÄN</t>
        </is>
      </c>
      <c r="E10060" t="inlineStr">
        <is>
          <t>ÅTVIDABERG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40168-2024</t>
        </is>
      </c>
      <c r="B10061" s="1" t="n">
        <v>45554</v>
      </c>
      <c r="C10061" s="1" t="n">
        <v>45710</v>
      </c>
      <c r="D10061" t="inlineStr">
        <is>
          <t>ÖSTERGÖTLANDS LÄN</t>
        </is>
      </c>
      <c r="E10061" t="inlineStr">
        <is>
          <t>ÅTVIDABERG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40066-2024</t>
        </is>
      </c>
      <c r="B10062" s="1" t="n">
        <v>45554</v>
      </c>
      <c r="C10062" s="1" t="n">
        <v>45710</v>
      </c>
      <c r="D10062" t="inlineStr">
        <is>
          <t>ÖSTERGÖTLANDS LÄN</t>
        </is>
      </c>
      <c r="E10062" t="inlineStr">
        <is>
          <t>SÖDERKÖPING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40292-2024</t>
        </is>
      </c>
      <c r="B10063" s="1" t="n">
        <v>45554</v>
      </c>
      <c r="C10063" s="1" t="n">
        <v>45710</v>
      </c>
      <c r="D10063" t="inlineStr">
        <is>
          <t>ÖSTERGÖTLANDS LÄN</t>
        </is>
      </c>
      <c r="E10063" t="inlineStr">
        <is>
          <t>BOXHOLM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40296-2024</t>
        </is>
      </c>
      <c r="B10064" s="1" t="n">
        <v>45554</v>
      </c>
      <c r="C10064" s="1" t="n">
        <v>45710</v>
      </c>
      <c r="D10064" t="inlineStr">
        <is>
          <t>ÖSTERGÖTLANDS LÄN</t>
        </is>
      </c>
      <c r="E10064" t="inlineStr">
        <is>
          <t>FINSPÅNG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40290-2024</t>
        </is>
      </c>
      <c r="B10065" s="1" t="n">
        <v>45554</v>
      </c>
      <c r="C10065" s="1" t="n">
        <v>45710</v>
      </c>
      <c r="D10065" t="inlineStr">
        <is>
          <t>ÖSTERGÖTLANDS LÄN</t>
        </is>
      </c>
      <c r="E10065" t="inlineStr">
        <is>
          <t>BOXHOLM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40294-2024</t>
        </is>
      </c>
      <c r="B10066" s="1" t="n">
        <v>45554</v>
      </c>
      <c r="C10066" s="1" t="n">
        <v>45710</v>
      </c>
      <c r="D10066" t="inlineStr">
        <is>
          <t>ÖSTERGÖTLANDS LÄN</t>
        </is>
      </c>
      <c r="E10066" t="inlineStr">
        <is>
          <t>BOXHOLM</t>
        </is>
      </c>
      <c r="G10066" t="n">
        <v>1.8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40065-2024</t>
        </is>
      </c>
      <c r="B10067" s="1" t="n">
        <v>45554</v>
      </c>
      <c r="C10067" s="1" t="n">
        <v>45710</v>
      </c>
      <c r="D10067" t="inlineStr">
        <is>
          <t>ÖSTERGÖTLANDS LÄN</t>
        </is>
      </c>
      <c r="E10067" t="inlineStr">
        <is>
          <t>FINSPÅNG</t>
        </is>
      </c>
      <c r="G10067" t="n">
        <v>0.6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40069-2024</t>
        </is>
      </c>
      <c r="B10068" s="1" t="n">
        <v>45554</v>
      </c>
      <c r="C10068" s="1" t="n">
        <v>45710</v>
      </c>
      <c r="D10068" t="inlineStr">
        <is>
          <t>ÖSTERGÖTLANDS LÄN</t>
        </is>
      </c>
      <c r="E10068" t="inlineStr">
        <is>
          <t>FINSPÅNG</t>
        </is>
      </c>
      <c r="G10068" t="n">
        <v>1.4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40063-2024</t>
        </is>
      </c>
      <c r="B10069" s="1" t="n">
        <v>45554</v>
      </c>
      <c r="C10069" s="1" t="n">
        <v>45710</v>
      </c>
      <c r="D10069" t="inlineStr">
        <is>
          <t>ÖSTERGÖTLANDS LÄN</t>
        </is>
      </c>
      <c r="E10069" t="inlineStr">
        <is>
          <t>FINSPÅNG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40335-2024</t>
        </is>
      </c>
      <c r="B10070" s="1" t="n">
        <v>45555</v>
      </c>
      <c r="C10070" s="1" t="n">
        <v>45710</v>
      </c>
      <c r="D10070" t="inlineStr">
        <is>
          <t>ÖSTERGÖTLANDS LÄN</t>
        </is>
      </c>
      <c r="E10070" t="inlineStr">
        <is>
          <t>LINKÖPING</t>
        </is>
      </c>
      <c r="G10070" t="n">
        <v>3.9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40372-2024</t>
        </is>
      </c>
      <c r="B10071" s="1" t="n">
        <v>45555</v>
      </c>
      <c r="C10071" s="1" t="n">
        <v>45710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40338-2024</t>
        </is>
      </c>
      <c r="B10072" s="1" t="n">
        <v>45555</v>
      </c>
      <c r="C10072" s="1" t="n">
        <v>45710</v>
      </c>
      <c r="D10072" t="inlineStr">
        <is>
          <t>ÖSTERGÖTLANDS LÄN</t>
        </is>
      </c>
      <c r="E10072" t="inlineStr">
        <is>
          <t>LINKÖPING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40341-2024</t>
        </is>
      </c>
      <c r="B10073" s="1" t="n">
        <v>45555</v>
      </c>
      <c r="C10073" s="1" t="n">
        <v>45710</v>
      </c>
      <c r="D10073" t="inlineStr">
        <is>
          <t>ÖSTERGÖTLANDS LÄN</t>
        </is>
      </c>
      <c r="E10073" t="inlineStr">
        <is>
          <t>LINKÖPING</t>
        </is>
      </c>
      <c r="G10073" t="n">
        <v>1.7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40328-2024</t>
        </is>
      </c>
      <c r="B10074" s="1" t="n">
        <v>45555</v>
      </c>
      <c r="C10074" s="1" t="n">
        <v>45710</v>
      </c>
      <c r="D10074" t="inlineStr">
        <is>
          <t>ÖSTERGÖTLANDS LÄN</t>
        </is>
      </c>
      <c r="E10074" t="inlineStr">
        <is>
          <t>MJÖLBY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40537-2024</t>
        </is>
      </c>
      <c r="B10075" s="1" t="n">
        <v>45555</v>
      </c>
      <c r="C10075" s="1" t="n">
        <v>45710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40472-2024</t>
        </is>
      </c>
      <c r="B10076" s="1" t="n">
        <v>45555</v>
      </c>
      <c r="C10076" s="1" t="n">
        <v>45710</v>
      </c>
      <c r="D10076" t="inlineStr">
        <is>
          <t>ÖSTERGÖTLANDS LÄN</t>
        </is>
      </c>
      <c r="E10076" t="inlineStr">
        <is>
          <t>VALDEMARSVIK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40532-2024</t>
        </is>
      </c>
      <c r="B10077" s="1" t="n">
        <v>45555</v>
      </c>
      <c r="C10077" s="1" t="n">
        <v>45710</v>
      </c>
      <c r="D10077" t="inlineStr">
        <is>
          <t>ÖSTERGÖTLANDS LÄN</t>
        </is>
      </c>
      <c r="E10077" t="inlineStr">
        <is>
          <t>MOTALA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40556-2024</t>
        </is>
      </c>
      <c r="B10078" s="1" t="n">
        <v>45555</v>
      </c>
      <c r="C10078" s="1" t="n">
        <v>45710</v>
      </c>
      <c r="D10078" t="inlineStr">
        <is>
          <t>ÖSTERGÖTLANDS LÄN</t>
        </is>
      </c>
      <c r="E10078" t="inlineStr">
        <is>
          <t>VALDEMARSVIK</t>
        </is>
      </c>
      <c r="G10078" t="n">
        <v>7.1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40410-2024</t>
        </is>
      </c>
      <c r="B10079" s="1" t="n">
        <v>45555</v>
      </c>
      <c r="C10079" s="1" t="n">
        <v>45710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2.1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40502-2024</t>
        </is>
      </c>
      <c r="B10080" s="1" t="n">
        <v>45555</v>
      </c>
      <c r="C10080" s="1" t="n">
        <v>45710</v>
      </c>
      <c r="D10080" t="inlineStr">
        <is>
          <t>ÖSTERGÖTLANDS LÄN</t>
        </is>
      </c>
      <c r="E10080" t="inlineStr">
        <is>
          <t>LINKÖPING</t>
        </is>
      </c>
      <c r="F10080" t="inlineStr">
        <is>
          <t>Allmännings- och besparingsskogar</t>
        </is>
      </c>
      <c r="G10080" t="n">
        <v>17.5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40534-2024</t>
        </is>
      </c>
      <c r="B10081" s="1" t="n">
        <v>45555</v>
      </c>
      <c r="C10081" s="1" t="n">
        <v>45710</v>
      </c>
      <c r="D10081" t="inlineStr">
        <is>
          <t>ÖSTERGÖTLANDS LÄN</t>
        </is>
      </c>
      <c r="E10081" t="inlineStr">
        <is>
          <t>MOTALA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40562-2024</t>
        </is>
      </c>
      <c r="B10082" s="1" t="n">
        <v>45555</v>
      </c>
      <c r="C10082" s="1" t="n">
        <v>45710</v>
      </c>
      <c r="D10082" t="inlineStr">
        <is>
          <t>ÖSTERGÖTLANDS LÄN</t>
        </is>
      </c>
      <c r="E10082" t="inlineStr">
        <is>
          <t>SÖDERKÖPING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40431-2024</t>
        </is>
      </c>
      <c r="B10083" s="1" t="n">
        <v>45555</v>
      </c>
      <c r="C10083" s="1" t="n">
        <v>45710</v>
      </c>
      <c r="D10083" t="inlineStr">
        <is>
          <t>ÖSTERGÖTLANDS LÄN</t>
        </is>
      </c>
      <c r="E10083" t="inlineStr">
        <is>
          <t>LINKÖPING</t>
        </is>
      </c>
      <c r="F10083" t="inlineStr">
        <is>
          <t>Allmännings- och besparingsskogar</t>
        </is>
      </c>
      <c r="G10083" t="n">
        <v>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40475-2024</t>
        </is>
      </c>
      <c r="B10084" s="1" t="n">
        <v>45555</v>
      </c>
      <c r="C10084" s="1" t="n">
        <v>45710</v>
      </c>
      <c r="D10084" t="inlineStr">
        <is>
          <t>ÖSTERGÖTLANDS LÄN</t>
        </is>
      </c>
      <c r="E10084" t="inlineStr">
        <is>
          <t>ÅTVIDABERG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40535-2024</t>
        </is>
      </c>
      <c r="B10085" s="1" t="n">
        <v>45555</v>
      </c>
      <c r="C10085" s="1" t="n">
        <v>45710</v>
      </c>
      <c r="D10085" t="inlineStr">
        <is>
          <t>ÖSTERGÖTLANDS LÄN</t>
        </is>
      </c>
      <c r="E10085" t="inlineStr">
        <is>
          <t>MOTALA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40623-2024</t>
        </is>
      </c>
      <c r="B10086" s="1" t="n">
        <v>45557</v>
      </c>
      <c r="C10086" s="1" t="n">
        <v>45710</v>
      </c>
      <c r="D10086" t="inlineStr">
        <is>
          <t>ÖSTERGÖTLANDS LÄN</t>
        </is>
      </c>
      <c r="E10086" t="inlineStr">
        <is>
          <t>ÅTVIDABERG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  <c r="U10086">
        <f>HYPERLINK("https://klasma.github.io/Logging_0561/knärot/A 40623-2024 karta knärot.png", "A 40623-2024")</f>
        <v/>
      </c>
      <c r="V10086">
        <f>HYPERLINK("https://klasma.github.io/Logging_0561/klagomål/A 40623-2024 FSC-klagomål.docx", "A 40623-2024")</f>
        <v/>
      </c>
      <c r="W10086">
        <f>HYPERLINK("https://klasma.github.io/Logging_0561/klagomålsmail/A 40623-2024 FSC-klagomål mail.docx", "A 40623-2024")</f>
        <v/>
      </c>
      <c r="X10086">
        <f>HYPERLINK("https://klasma.github.io/Logging_0561/tillsyn/A 40623-2024 tillsynsbegäran.docx", "A 40623-2024")</f>
        <v/>
      </c>
      <c r="Y10086">
        <f>HYPERLINK("https://klasma.github.io/Logging_0561/tillsynsmail/A 40623-2024 tillsynsbegäran mail.docx", "A 40623-2024")</f>
        <v/>
      </c>
    </row>
    <row r="10087" ht="15" customHeight="1">
      <c r="A10087" t="inlineStr">
        <is>
          <t>A 40627-2024</t>
        </is>
      </c>
      <c r="B10087" s="1" t="n">
        <v>45557</v>
      </c>
      <c r="C10087" s="1" t="n">
        <v>45710</v>
      </c>
      <c r="D10087" t="inlineStr">
        <is>
          <t>ÖSTERGÖTLANDS LÄN</t>
        </is>
      </c>
      <c r="E10087" t="inlineStr">
        <is>
          <t>ÅTVIDABERG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40812-2024</t>
        </is>
      </c>
      <c r="B10088" s="1" t="n">
        <v>45558</v>
      </c>
      <c r="C10088" s="1" t="n">
        <v>45710</v>
      </c>
      <c r="D10088" t="inlineStr">
        <is>
          <t>ÖSTERGÖTLANDS LÄN</t>
        </is>
      </c>
      <c r="E10088" t="inlineStr">
        <is>
          <t>NORRKÖPING</t>
        </is>
      </c>
      <c r="G10088" t="n">
        <v>4.2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40816-2024</t>
        </is>
      </c>
      <c r="B10089" s="1" t="n">
        <v>45558</v>
      </c>
      <c r="C10089" s="1" t="n">
        <v>45710</v>
      </c>
      <c r="D10089" t="inlineStr">
        <is>
          <t>ÖSTERGÖTLANDS LÄN</t>
        </is>
      </c>
      <c r="E10089" t="inlineStr">
        <is>
          <t>NORRKÖPING</t>
        </is>
      </c>
      <c r="G10089" t="n">
        <v>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40988-2024</t>
        </is>
      </c>
      <c r="B10090" s="1" t="n">
        <v>45558</v>
      </c>
      <c r="C10090" s="1" t="n">
        <v>45710</v>
      </c>
      <c r="D10090" t="inlineStr">
        <is>
          <t>ÖSTERGÖTLANDS LÄN</t>
        </is>
      </c>
      <c r="E10090" t="inlineStr">
        <is>
          <t>YDRE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40989-2024</t>
        </is>
      </c>
      <c r="B10091" s="1" t="n">
        <v>45558</v>
      </c>
      <c r="C10091" s="1" t="n">
        <v>45710</v>
      </c>
      <c r="D10091" t="inlineStr">
        <is>
          <t>ÖSTERGÖTLANDS LÄN</t>
        </is>
      </c>
      <c r="E10091" t="inlineStr">
        <is>
          <t>YDRE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41002-2024</t>
        </is>
      </c>
      <c r="B10092" s="1" t="n">
        <v>45558</v>
      </c>
      <c r="C10092" s="1" t="n">
        <v>45710</v>
      </c>
      <c r="D10092" t="inlineStr">
        <is>
          <t>ÖSTERGÖTLANDS LÄN</t>
        </is>
      </c>
      <c r="E10092" t="inlineStr">
        <is>
          <t>MOTALA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41080-2024</t>
        </is>
      </c>
      <c r="B10093" s="1" t="n">
        <v>45559</v>
      </c>
      <c r="C10093" s="1" t="n">
        <v>45710</v>
      </c>
      <c r="D10093" t="inlineStr">
        <is>
          <t>ÖSTERGÖTLANDS LÄN</t>
        </is>
      </c>
      <c r="E10093" t="inlineStr">
        <is>
          <t>BOXHOLM</t>
        </is>
      </c>
      <c r="F10093" t="inlineStr">
        <is>
          <t>Allmännings- och besparingsskogar</t>
        </is>
      </c>
      <c r="G10093" t="n">
        <v>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41348-2024</t>
        </is>
      </c>
      <c r="B10094" s="1" t="n">
        <v>45559</v>
      </c>
      <c r="C10094" s="1" t="n">
        <v>45710</v>
      </c>
      <c r="D10094" t="inlineStr">
        <is>
          <t>ÖSTERGÖTLANDS LÄN</t>
        </is>
      </c>
      <c r="E10094" t="inlineStr">
        <is>
          <t>BOXHOLM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41021-2024</t>
        </is>
      </c>
      <c r="B10095" s="1" t="n">
        <v>45559</v>
      </c>
      <c r="C10095" s="1" t="n">
        <v>45710</v>
      </c>
      <c r="D10095" t="inlineStr">
        <is>
          <t>ÖSTERGÖTLANDS LÄN</t>
        </is>
      </c>
      <c r="E10095" t="inlineStr">
        <is>
          <t>MOTALA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41122-2024</t>
        </is>
      </c>
      <c r="B10096" s="1" t="n">
        <v>45559</v>
      </c>
      <c r="C10096" s="1" t="n">
        <v>45710</v>
      </c>
      <c r="D10096" t="inlineStr">
        <is>
          <t>ÖSTERGÖTLANDS LÄN</t>
        </is>
      </c>
      <c r="E10096" t="inlineStr">
        <is>
          <t>SÖDERKÖPING</t>
        </is>
      </c>
      <c r="F10096" t="inlineStr">
        <is>
          <t>Allmännings- och besparingsskogar</t>
        </is>
      </c>
      <c r="G10096" t="n">
        <v>18.6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41134-2024</t>
        </is>
      </c>
      <c r="B10097" s="1" t="n">
        <v>45559</v>
      </c>
      <c r="C10097" s="1" t="n">
        <v>45710</v>
      </c>
      <c r="D10097" t="inlineStr">
        <is>
          <t>ÖSTERGÖTLANDS LÄN</t>
        </is>
      </c>
      <c r="E10097" t="inlineStr">
        <is>
          <t>SÖDERKÖPING</t>
        </is>
      </c>
      <c r="F10097" t="inlineStr">
        <is>
          <t>Allmännings- och besparingsskogar</t>
        </is>
      </c>
      <c r="G10097" t="n">
        <v>7.7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41217-2024</t>
        </is>
      </c>
      <c r="B10098" s="1" t="n">
        <v>45559</v>
      </c>
      <c r="C10098" s="1" t="n">
        <v>45710</v>
      </c>
      <c r="D10098" t="inlineStr">
        <is>
          <t>ÖSTERGÖTLANDS LÄN</t>
        </is>
      </c>
      <c r="E10098" t="inlineStr">
        <is>
          <t>ÖDESHÖG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41221-2024</t>
        </is>
      </c>
      <c r="B10099" s="1" t="n">
        <v>45559</v>
      </c>
      <c r="C10099" s="1" t="n">
        <v>45710</v>
      </c>
      <c r="D10099" t="inlineStr">
        <is>
          <t>ÖSTERGÖTLANDS LÄN</t>
        </is>
      </c>
      <c r="E10099" t="inlineStr">
        <is>
          <t>KINDA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41379-2024</t>
        </is>
      </c>
      <c r="B10100" s="1" t="n">
        <v>45560</v>
      </c>
      <c r="C10100" s="1" t="n">
        <v>45710</v>
      </c>
      <c r="D10100" t="inlineStr">
        <is>
          <t>ÖSTERGÖTLANDS LÄN</t>
        </is>
      </c>
      <c r="E10100" t="inlineStr">
        <is>
          <t>KINDA</t>
        </is>
      </c>
      <c r="F10100" t="inlineStr">
        <is>
          <t>Övriga Aktiebolag</t>
        </is>
      </c>
      <c r="G10100" t="n">
        <v>1.1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41570-2024</t>
        </is>
      </c>
      <c r="B10101" s="1" t="n">
        <v>45560</v>
      </c>
      <c r="C10101" s="1" t="n">
        <v>45710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41537-2024</t>
        </is>
      </c>
      <c r="B10102" s="1" t="n">
        <v>45560</v>
      </c>
      <c r="C10102" s="1" t="n">
        <v>45710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41533-2024</t>
        </is>
      </c>
      <c r="B10103" s="1" t="n">
        <v>45560</v>
      </c>
      <c r="C10103" s="1" t="n">
        <v>45710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4.8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41517-2024</t>
        </is>
      </c>
      <c r="B10104" s="1" t="n">
        <v>45560</v>
      </c>
      <c r="C10104" s="1" t="n">
        <v>45710</v>
      </c>
      <c r="D10104" t="inlineStr">
        <is>
          <t>ÖSTERGÖTLANDS LÄN</t>
        </is>
      </c>
      <c r="E10104" t="inlineStr">
        <is>
          <t>LINKÖPING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41513-2024</t>
        </is>
      </c>
      <c r="B10105" s="1" t="n">
        <v>45560</v>
      </c>
      <c r="C10105" s="1" t="n">
        <v>45710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41561-2024</t>
        </is>
      </c>
      <c r="B10106" s="1" t="n">
        <v>45560</v>
      </c>
      <c r="C10106" s="1" t="n">
        <v>45710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41527-2024</t>
        </is>
      </c>
      <c r="B10107" s="1" t="n">
        <v>45560</v>
      </c>
      <c r="C10107" s="1" t="n">
        <v>45710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41625-2024</t>
        </is>
      </c>
      <c r="B10108" s="1" t="n">
        <v>45560</v>
      </c>
      <c r="C10108" s="1" t="n">
        <v>45710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41657-2024</t>
        </is>
      </c>
      <c r="B10109" s="1" t="n">
        <v>45560</v>
      </c>
      <c r="C10109" s="1" t="n">
        <v>45710</v>
      </c>
      <c r="D10109" t="inlineStr">
        <is>
          <t>ÖSTERGÖTLANDS LÄN</t>
        </is>
      </c>
      <c r="E10109" t="inlineStr">
        <is>
          <t>KINDA</t>
        </is>
      </c>
      <c r="G10109" t="n">
        <v>0.4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41732-2024</t>
        </is>
      </c>
      <c r="B10110" s="1" t="n">
        <v>45561</v>
      </c>
      <c r="C10110" s="1" t="n">
        <v>45710</v>
      </c>
      <c r="D10110" t="inlineStr">
        <is>
          <t>ÖSTERGÖTLANDS LÄN</t>
        </is>
      </c>
      <c r="E10110" t="inlineStr">
        <is>
          <t>MOTALA</t>
        </is>
      </c>
      <c r="G10110" t="n">
        <v>2.6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41643-2024</t>
        </is>
      </c>
      <c r="B10111" s="1" t="n">
        <v>45560</v>
      </c>
      <c r="C10111" s="1" t="n">
        <v>45710</v>
      </c>
      <c r="D10111" t="inlineStr">
        <is>
          <t>ÖSTERGÖTLANDS LÄN</t>
        </is>
      </c>
      <c r="E10111" t="inlineStr">
        <is>
          <t>BOXHOLM</t>
        </is>
      </c>
      <c r="F10111" t="inlineStr">
        <is>
          <t>Övriga Aktiebolag</t>
        </is>
      </c>
      <c r="G10111" t="n">
        <v>5.1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41884-2024</t>
        </is>
      </c>
      <c r="B10112" s="1" t="n">
        <v>45561</v>
      </c>
      <c r="C10112" s="1" t="n">
        <v>45710</v>
      </c>
      <c r="D10112" t="inlineStr">
        <is>
          <t>ÖSTERGÖTLANDS LÄN</t>
        </is>
      </c>
      <c r="E10112" t="inlineStr">
        <is>
          <t>YDRE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41900-2024</t>
        </is>
      </c>
      <c r="B10113" s="1" t="n">
        <v>45561</v>
      </c>
      <c r="C10113" s="1" t="n">
        <v>45710</v>
      </c>
      <c r="D10113" t="inlineStr">
        <is>
          <t>ÖSTERGÖTLANDS LÄN</t>
        </is>
      </c>
      <c r="E10113" t="inlineStr">
        <is>
          <t>YDRE</t>
        </is>
      </c>
      <c r="G10113" t="n">
        <v>2.9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41899-2024</t>
        </is>
      </c>
      <c r="B10114" s="1" t="n">
        <v>45561</v>
      </c>
      <c r="C10114" s="1" t="n">
        <v>45710</v>
      </c>
      <c r="D10114" t="inlineStr">
        <is>
          <t>ÖSTERGÖTLANDS LÄN</t>
        </is>
      </c>
      <c r="E10114" t="inlineStr">
        <is>
          <t>YDRE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41973-2024</t>
        </is>
      </c>
      <c r="B10115" s="1" t="n">
        <v>45561</v>
      </c>
      <c r="C10115" s="1" t="n">
        <v>45710</v>
      </c>
      <c r="D10115" t="inlineStr">
        <is>
          <t>ÖSTERGÖTLANDS LÄN</t>
        </is>
      </c>
      <c r="E10115" t="inlineStr">
        <is>
          <t>BOXHOLM</t>
        </is>
      </c>
      <c r="G10115" t="n">
        <v>4.3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41796-2024</t>
        </is>
      </c>
      <c r="B10116" s="1" t="n">
        <v>45561</v>
      </c>
      <c r="C10116" s="1" t="n">
        <v>45710</v>
      </c>
      <c r="D10116" t="inlineStr">
        <is>
          <t>ÖSTERGÖTLANDS LÄN</t>
        </is>
      </c>
      <c r="E10116" t="inlineStr">
        <is>
          <t>MOTALA</t>
        </is>
      </c>
      <c r="G10116" t="n">
        <v>3.2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41837-2024</t>
        </is>
      </c>
      <c r="B10117" s="1" t="n">
        <v>45561</v>
      </c>
      <c r="C10117" s="1" t="n">
        <v>45710</v>
      </c>
      <c r="D10117" t="inlineStr">
        <is>
          <t>ÖSTERGÖTLANDS LÄN</t>
        </is>
      </c>
      <c r="E10117" t="inlineStr">
        <is>
          <t>FINSPÅNG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42017-2024</t>
        </is>
      </c>
      <c r="B10118" s="1" t="n">
        <v>45561</v>
      </c>
      <c r="C10118" s="1" t="n">
        <v>45710</v>
      </c>
      <c r="D10118" t="inlineStr">
        <is>
          <t>ÖSTERGÖTLANDS LÄN</t>
        </is>
      </c>
      <c r="E10118" t="inlineStr">
        <is>
          <t>VALDEMARSVIK</t>
        </is>
      </c>
      <c r="G10118" t="n">
        <v>5.1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41817-2024</t>
        </is>
      </c>
      <c r="B10119" s="1" t="n">
        <v>45561</v>
      </c>
      <c r="C10119" s="1" t="n">
        <v>45710</v>
      </c>
      <c r="D10119" t="inlineStr">
        <is>
          <t>ÖSTERGÖTLANDS LÄN</t>
        </is>
      </c>
      <c r="E10119" t="inlineStr">
        <is>
          <t>MOTALA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41903-2024</t>
        </is>
      </c>
      <c r="B10120" s="1" t="n">
        <v>45561</v>
      </c>
      <c r="C10120" s="1" t="n">
        <v>45710</v>
      </c>
      <c r="D10120" t="inlineStr">
        <is>
          <t>ÖSTERGÖTLANDS LÄN</t>
        </is>
      </c>
      <c r="E10120" t="inlineStr">
        <is>
          <t>YDRE</t>
        </is>
      </c>
      <c r="G10120" t="n">
        <v>3.3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42084-2024</t>
        </is>
      </c>
      <c r="B10121" s="1" t="n">
        <v>45562</v>
      </c>
      <c r="C10121" s="1" t="n">
        <v>45710</v>
      </c>
      <c r="D10121" t="inlineStr">
        <is>
          <t>ÖSTERGÖTLANDS LÄN</t>
        </is>
      </c>
      <c r="E10121" t="inlineStr">
        <is>
          <t>KINDA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42067-2024</t>
        </is>
      </c>
      <c r="B10122" s="1" t="n">
        <v>45562</v>
      </c>
      <c r="C10122" s="1" t="n">
        <v>45710</v>
      </c>
      <c r="D10122" t="inlineStr">
        <is>
          <t>ÖSTERGÖTLANDS LÄN</t>
        </is>
      </c>
      <c r="E10122" t="inlineStr">
        <is>
          <t>MOTALA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42133-2024</t>
        </is>
      </c>
      <c r="B10123" s="1" t="n">
        <v>45562</v>
      </c>
      <c r="C10123" s="1" t="n">
        <v>45710</v>
      </c>
      <c r="D10123" t="inlineStr">
        <is>
          <t>ÖSTERGÖTLANDS LÄN</t>
        </is>
      </c>
      <c r="E10123" t="inlineStr">
        <is>
          <t>MOTALA</t>
        </is>
      </c>
      <c r="G10123" t="n">
        <v>17.6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42137-2024</t>
        </is>
      </c>
      <c r="B10124" s="1" t="n">
        <v>45562</v>
      </c>
      <c r="C10124" s="1" t="n">
        <v>45710</v>
      </c>
      <c r="D10124" t="inlineStr">
        <is>
          <t>ÖSTERGÖTLANDS LÄN</t>
        </is>
      </c>
      <c r="E10124" t="inlineStr">
        <is>
          <t>MOTALA</t>
        </is>
      </c>
      <c r="G10124" t="n">
        <v>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42246-2024</t>
        </is>
      </c>
      <c r="B10125" s="1" t="n">
        <v>45562</v>
      </c>
      <c r="C10125" s="1" t="n">
        <v>45710</v>
      </c>
      <c r="D10125" t="inlineStr">
        <is>
          <t>ÖSTERGÖTLANDS LÄN</t>
        </is>
      </c>
      <c r="E10125" t="inlineStr">
        <is>
          <t>NORRKÖPING</t>
        </is>
      </c>
      <c r="F10125" t="inlineStr">
        <is>
          <t>Holmen skog AB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42126-2024</t>
        </is>
      </c>
      <c r="B10126" s="1" t="n">
        <v>45562</v>
      </c>
      <c r="C10126" s="1" t="n">
        <v>45710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42130-2024</t>
        </is>
      </c>
      <c r="B10127" s="1" t="n">
        <v>45562</v>
      </c>
      <c r="C10127" s="1" t="n">
        <v>45710</v>
      </c>
      <c r="D10127" t="inlineStr">
        <is>
          <t>ÖSTERGÖTLANDS LÄN</t>
        </is>
      </c>
      <c r="E10127" t="inlineStr">
        <is>
          <t>MOTALA</t>
        </is>
      </c>
      <c r="G10127" t="n">
        <v>8.1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42294-2024</t>
        </is>
      </c>
      <c r="B10128" s="1" t="n">
        <v>45562</v>
      </c>
      <c r="C10128" s="1" t="n">
        <v>45710</v>
      </c>
      <c r="D10128" t="inlineStr">
        <is>
          <t>ÖSTERGÖTLANDS LÄN</t>
        </is>
      </c>
      <c r="E10128" t="inlineStr">
        <is>
          <t>KINDA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42240-2024</t>
        </is>
      </c>
      <c r="B10129" s="1" t="n">
        <v>45562</v>
      </c>
      <c r="C10129" s="1" t="n">
        <v>45710</v>
      </c>
      <c r="D10129" t="inlineStr">
        <is>
          <t>ÖSTERGÖTLANDS LÄN</t>
        </is>
      </c>
      <c r="E10129" t="inlineStr">
        <is>
          <t>NORRKÖPING</t>
        </is>
      </c>
      <c r="F10129" t="inlineStr">
        <is>
          <t>Holmen skog AB</t>
        </is>
      </c>
      <c r="G10129" t="n">
        <v>3.1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42361-2024</t>
        </is>
      </c>
      <c r="B10130" s="1" t="n">
        <v>45562</v>
      </c>
      <c r="C10130" s="1" t="n">
        <v>45710</v>
      </c>
      <c r="D10130" t="inlineStr">
        <is>
          <t>ÖSTERGÖTLANDS LÄN</t>
        </is>
      </c>
      <c r="E10130" t="inlineStr">
        <is>
          <t>NORRKÖPING</t>
        </is>
      </c>
      <c r="G10130" t="n">
        <v>2.4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42376-2024</t>
        </is>
      </c>
      <c r="B10131" s="1" t="n">
        <v>45564</v>
      </c>
      <c r="C10131" s="1" t="n">
        <v>45710</v>
      </c>
      <c r="D10131" t="inlineStr">
        <is>
          <t>ÖSTERGÖTLANDS LÄN</t>
        </is>
      </c>
      <c r="E10131" t="inlineStr">
        <is>
          <t>VALDEMARSVIK</t>
        </is>
      </c>
      <c r="G10131" t="n">
        <v>2.4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42394-2024</t>
        </is>
      </c>
      <c r="B10132" s="1" t="n">
        <v>45565</v>
      </c>
      <c r="C10132" s="1" t="n">
        <v>45710</v>
      </c>
      <c r="D10132" t="inlineStr">
        <is>
          <t>ÖSTERGÖTLANDS LÄN</t>
        </is>
      </c>
      <c r="E10132" t="inlineStr">
        <is>
          <t>YDRE</t>
        </is>
      </c>
      <c r="G10132" t="n">
        <v>1.6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42504-2024</t>
        </is>
      </c>
      <c r="B10133" s="1" t="n">
        <v>45565</v>
      </c>
      <c r="C10133" s="1" t="n">
        <v>45710</v>
      </c>
      <c r="D10133" t="inlineStr">
        <is>
          <t>ÖSTERGÖTLANDS LÄN</t>
        </is>
      </c>
      <c r="E10133" t="inlineStr">
        <is>
          <t>NORRKÖPING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42397-2024</t>
        </is>
      </c>
      <c r="B10134" s="1" t="n">
        <v>45565</v>
      </c>
      <c r="C10134" s="1" t="n">
        <v>45710</v>
      </c>
      <c r="D10134" t="inlineStr">
        <is>
          <t>ÖSTERGÖTLANDS LÄN</t>
        </is>
      </c>
      <c r="E10134" t="inlineStr">
        <is>
          <t>YDRE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42503-2024</t>
        </is>
      </c>
      <c r="B10135" s="1" t="n">
        <v>45565</v>
      </c>
      <c r="C10135" s="1" t="n">
        <v>45710</v>
      </c>
      <c r="D10135" t="inlineStr">
        <is>
          <t>ÖSTERGÖTLANDS LÄN</t>
        </is>
      </c>
      <c r="E10135" t="inlineStr">
        <is>
          <t>NORRKÖPING</t>
        </is>
      </c>
      <c r="G10135" t="n">
        <v>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42534-2024</t>
        </is>
      </c>
      <c r="B10136" s="1" t="n">
        <v>45565</v>
      </c>
      <c r="C10136" s="1" t="n">
        <v>45710</v>
      </c>
      <c r="D10136" t="inlineStr">
        <is>
          <t>ÖSTERGÖTLANDS LÄN</t>
        </is>
      </c>
      <c r="E10136" t="inlineStr">
        <is>
          <t>FINSPÅNG</t>
        </is>
      </c>
      <c r="G10136" t="n">
        <v>1.5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42520-2024</t>
        </is>
      </c>
      <c r="B10137" s="1" t="n">
        <v>45565</v>
      </c>
      <c r="C10137" s="1" t="n">
        <v>45710</v>
      </c>
      <c r="D10137" t="inlineStr">
        <is>
          <t>ÖSTERGÖTLANDS LÄN</t>
        </is>
      </c>
      <c r="E10137" t="inlineStr">
        <is>
          <t>KINDA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42395-2024</t>
        </is>
      </c>
      <c r="B10138" s="1" t="n">
        <v>45565</v>
      </c>
      <c r="C10138" s="1" t="n">
        <v>45710</v>
      </c>
      <c r="D10138" t="inlineStr">
        <is>
          <t>ÖSTERGÖTLANDS LÄN</t>
        </is>
      </c>
      <c r="E10138" t="inlineStr">
        <is>
          <t>YDRE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42391-2024</t>
        </is>
      </c>
      <c r="B10139" s="1" t="n">
        <v>45565</v>
      </c>
      <c r="C10139" s="1" t="n">
        <v>45710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42632-2024</t>
        </is>
      </c>
      <c r="B10140" s="1" t="n">
        <v>45565</v>
      </c>
      <c r="C10140" s="1" t="n">
        <v>45710</v>
      </c>
      <c r="D10140" t="inlineStr">
        <is>
          <t>ÖSTERGÖTLANDS LÄN</t>
        </is>
      </c>
      <c r="E10140" t="inlineStr">
        <is>
          <t>VALDEMARSVIK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42628-2024</t>
        </is>
      </c>
      <c r="B10141" s="1" t="n">
        <v>45565</v>
      </c>
      <c r="C10141" s="1" t="n">
        <v>45710</v>
      </c>
      <c r="D10141" t="inlineStr">
        <is>
          <t>ÖSTERGÖTLANDS LÄN</t>
        </is>
      </c>
      <c r="E10141" t="inlineStr">
        <is>
          <t>VALDEMARSVIK</t>
        </is>
      </c>
      <c r="G10141" t="n">
        <v>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42620-2024</t>
        </is>
      </c>
      <c r="B10142" s="1" t="n">
        <v>45565</v>
      </c>
      <c r="C10142" s="1" t="n">
        <v>45710</v>
      </c>
      <c r="D10142" t="inlineStr">
        <is>
          <t>ÖSTERGÖTLANDS LÄN</t>
        </is>
      </c>
      <c r="E10142" t="inlineStr">
        <is>
          <t>VALDEMARSVIK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42634-2024</t>
        </is>
      </c>
      <c r="B10143" s="1" t="n">
        <v>45565</v>
      </c>
      <c r="C10143" s="1" t="n">
        <v>45710</v>
      </c>
      <c r="D10143" t="inlineStr">
        <is>
          <t>ÖSTERGÖTLANDS LÄN</t>
        </is>
      </c>
      <c r="E10143" t="inlineStr">
        <is>
          <t>VALDEMARSVIK</t>
        </is>
      </c>
      <c r="G10143" t="n">
        <v>2.2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42626-2024</t>
        </is>
      </c>
      <c r="B10144" s="1" t="n">
        <v>45565</v>
      </c>
      <c r="C10144" s="1" t="n">
        <v>45710</v>
      </c>
      <c r="D10144" t="inlineStr">
        <is>
          <t>ÖSTERGÖTLANDS LÄN</t>
        </is>
      </c>
      <c r="E10144" t="inlineStr">
        <is>
          <t>VALDEMARSVIK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42622-2024</t>
        </is>
      </c>
      <c r="B10145" s="1" t="n">
        <v>45565</v>
      </c>
      <c r="C10145" s="1" t="n">
        <v>45710</v>
      </c>
      <c r="D10145" t="inlineStr">
        <is>
          <t>ÖSTERGÖTLANDS LÄN</t>
        </is>
      </c>
      <c r="E10145" t="inlineStr">
        <is>
          <t>VALDEMARSVIK</t>
        </is>
      </c>
      <c r="G10145" t="n">
        <v>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42633-2024</t>
        </is>
      </c>
      <c r="B10146" s="1" t="n">
        <v>45565</v>
      </c>
      <c r="C10146" s="1" t="n">
        <v>45710</v>
      </c>
      <c r="D10146" t="inlineStr">
        <is>
          <t>ÖSTERGÖTLANDS LÄN</t>
        </is>
      </c>
      <c r="E10146" t="inlineStr">
        <is>
          <t>VALDEMARSVIK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42625-2024</t>
        </is>
      </c>
      <c r="B10147" s="1" t="n">
        <v>45565</v>
      </c>
      <c r="C10147" s="1" t="n">
        <v>45710</v>
      </c>
      <c r="D10147" t="inlineStr">
        <is>
          <t>ÖSTERGÖTLANDS LÄN</t>
        </is>
      </c>
      <c r="E10147" t="inlineStr">
        <is>
          <t>VALDEMARSVIK</t>
        </is>
      </c>
      <c r="G10147" t="n">
        <v>4.4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42621-2024</t>
        </is>
      </c>
      <c r="B10148" s="1" t="n">
        <v>45565</v>
      </c>
      <c r="C10148" s="1" t="n">
        <v>45710</v>
      </c>
      <c r="D10148" t="inlineStr">
        <is>
          <t>ÖSTERGÖTLANDS LÄN</t>
        </is>
      </c>
      <c r="E10148" t="inlineStr">
        <is>
          <t>VALDEMARSVIK</t>
        </is>
      </c>
      <c r="G10148" t="n">
        <v>1.1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42449-2024</t>
        </is>
      </c>
      <c r="B10149" s="1" t="n">
        <v>45565</v>
      </c>
      <c r="C10149" s="1" t="n">
        <v>45710</v>
      </c>
      <c r="D10149" t="inlineStr">
        <is>
          <t>ÖSTERGÖTLANDS LÄN</t>
        </is>
      </c>
      <c r="E10149" t="inlineStr">
        <is>
          <t>YDRE</t>
        </is>
      </c>
      <c r="G10149" t="n">
        <v>1.5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42619-2024</t>
        </is>
      </c>
      <c r="B10150" s="1" t="n">
        <v>45565</v>
      </c>
      <c r="C10150" s="1" t="n">
        <v>45710</v>
      </c>
      <c r="D10150" t="inlineStr">
        <is>
          <t>ÖSTERGÖTLANDS LÄN</t>
        </is>
      </c>
      <c r="E10150" t="inlineStr">
        <is>
          <t>VALDEMARSVIK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42623-2024</t>
        </is>
      </c>
      <c r="B10151" s="1" t="n">
        <v>45565</v>
      </c>
      <c r="C10151" s="1" t="n">
        <v>45710</v>
      </c>
      <c r="D10151" t="inlineStr">
        <is>
          <t>ÖSTERGÖTLANDS LÄN</t>
        </is>
      </c>
      <c r="E10151" t="inlineStr">
        <is>
          <t>VALDEMARSVIK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42627-2024</t>
        </is>
      </c>
      <c r="B10152" s="1" t="n">
        <v>45565</v>
      </c>
      <c r="C10152" s="1" t="n">
        <v>45710</v>
      </c>
      <c r="D10152" t="inlineStr">
        <is>
          <t>ÖSTERGÖTLANDS LÄN</t>
        </is>
      </c>
      <c r="E10152" t="inlineStr">
        <is>
          <t>VALDEMARSVIK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42514-2024</t>
        </is>
      </c>
      <c r="B10153" s="1" t="n">
        <v>45565</v>
      </c>
      <c r="C10153" s="1" t="n">
        <v>45710</v>
      </c>
      <c r="D10153" t="inlineStr">
        <is>
          <t>ÖSTERGÖTLANDS LÄN</t>
        </is>
      </c>
      <c r="E10153" t="inlineStr">
        <is>
          <t>NORRKÖPING</t>
        </is>
      </c>
      <c r="G10153" t="n">
        <v>3.6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42510-2024</t>
        </is>
      </c>
      <c r="B10154" s="1" t="n">
        <v>45565</v>
      </c>
      <c r="C10154" s="1" t="n">
        <v>45710</v>
      </c>
      <c r="D10154" t="inlineStr">
        <is>
          <t>ÖSTERGÖTLANDS LÄN</t>
        </is>
      </c>
      <c r="E10154" t="inlineStr">
        <is>
          <t>NORRKÖPING</t>
        </is>
      </c>
      <c r="G10154" t="n">
        <v>2.5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42468-2024</t>
        </is>
      </c>
      <c r="B10155" s="1" t="n">
        <v>45565</v>
      </c>
      <c r="C10155" s="1" t="n">
        <v>45710</v>
      </c>
      <c r="D10155" t="inlineStr">
        <is>
          <t>ÖSTERGÖTLANDS LÄN</t>
        </is>
      </c>
      <c r="E10155" t="inlineStr">
        <is>
          <t>ÅTVIDABERG</t>
        </is>
      </c>
      <c r="F10155" t="inlineStr">
        <is>
          <t>Sveaskog</t>
        </is>
      </c>
      <c r="G10155" t="n">
        <v>2.9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42466-2024</t>
        </is>
      </c>
      <c r="B10156" s="1" t="n">
        <v>45565</v>
      </c>
      <c r="C10156" s="1" t="n">
        <v>45710</v>
      </c>
      <c r="D10156" t="inlineStr">
        <is>
          <t>ÖSTERGÖTLANDS LÄN</t>
        </is>
      </c>
      <c r="E10156" t="inlineStr">
        <is>
          <t>ÅTVIDABERG</t>
        </is>
      </c>
      <c r="F10156" t="inlineStr">
        <is>
          <t>Sveaskog</t>
        </is>
      </c>
      <c r="G10156" t="n">
        <v>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42705-2024</t>
        </is>
      </c>
      <c r="B10157" s="1" t="n">
        <v>45566</v>
      </c>
      <c r="C10157" s="1" t="n">
        <v>45710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42841-2024</t>
        </is>
      </c>
      <c r="B10158" s="1" t="n">
        <v>45566</v>
      </c>
      <c r="C10158" s="1" t="n">
        <v>45710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42835-2024</t>
        </is>
      </c>
      <c r="B10159" s="1" t="n">
        <v>45566</v>
      </c>
      <c r="C10159" s="1" t="n">
        <v>45710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  <c r="U10159">
        <f>HYPERLINK("https://klasma.github.io/Logging_0562/knärot/A 42835-2024 karta knärot.png", "A 42835-2024")</f>
        <v/>
      </c>
      <c r="V10159">
        <f>HYPERLINK("https://klasma.github.io/Logging_0562/klagomål/A 42835-2024 FSC-klagomål.docx", "A 42835-2024")</f>
        <v/>
      </c>
      <c r="W10159">
        <f>HYPERLINK("https://klasma.github.io/Logging_0562/klagomålsmail/A 42835-2024 FSC-klagomål mail.docx", "A 42835-2024")</f>
        <v/>
      </c>
      <c r="X10159">
        <f>HYPERLINK("https://klasma.github.io/Logging_0562/tillsyn/A 42835-2024 tillsynsbegäran.docx", "A 42835-2024")</f>
        <v/>
      </c>
      <c r="Y10159">
        <f>HYPERLINK("https://klasma.github.io/Logging_0562/tillsynsmail/A 42835-2024 tillsynsbegäran mail.docx", "A 42835-2024")</f>
        <v/>
      </c>
    </row>
    <row r="10160" ht="15" customHeight="1">
      <c r="A10160" t="inlineStr">
        <is>
          <t>A 42908-2024</t>
        </is>
      </c>
      <c r="B10160" s="1" t="n">
        <v>45567</v>
      </c>
      <c r="C10160" s="1" t="n">
        <v>45710</v>
      </c>
      <c r="D10160" t="inlineStr">
        <is>
          <t>ÖSTERGÖTLANDS LÄN</t>
        </is>
      </c>
      <c r="E10160" t="inlineStr">
        <is>
          <t>FINSPÅNG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42846-2024</t>
        </is>
      </c>
      <c r="B10161" s="1" t="n">
        <v>45566</v>
      </c>
      <c r="C10161" s="1" t="n">
        <v>45710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42785-2024</t>
        </is>
      </c>
      <c r="B10162" s="1" t="n">
        <v>45566</v>
      </c>
      <c r="C10162" s="1" t="n">
        <v>45710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42781-2024</t>
        </is>
      </c>
      <c r="B10163" s="1" t="n">
        <v>45566</v>
      </c>
      <c r="C10163" s="1" t="n">
        <v>45710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42721-2024</t>
        </is>
      </c>
      <c r="B10164" s="1" t="n">
        <v>45566</v>
      </c>
      <c r="C10164" s="1" t="n">
        <v>45710</v>
      </c>
      <c r="D10164" t="inlineStr">
        <is>
          <t>ÖSTERGÖTLANDS LÄN</t>
        </is>
      </c>
      <c r="E10164" t="inlineStr">
        <is>
          <t>NORRKÖPING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42707-2024</t>
        </is>
      </c>
      <c r="B10165" s="1" t="n">
        <v>45566</v>
      </c>
      <c r="C10165" s="1" t="n">
        <v>45710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42699-2024</t>
        </is>
      </c>
      <c r="B10166" s="1" t="n">
        <v>45566</v>
      </c>
      <c r="C10166" s="1" t="n">
        <v>45710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5.4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42913-2024</t>
        </is>
      </c>
      <c r="B10167" s="1" t="n">
        <v>45567</v>
      </c>
      <c r="C10167" s="1" t="n">
        <v>45710</v>
      </c>
      <c r="D10167" t="inlineStr">
        <is>
          <t>ÖSTERGÖTLANDS LÄN</t>
        </is>
      </c>
      <c r="E10167" t="inlineStr">
        <is>
          <t>FINSPÅNG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42840-2024</t>
        </is>
      </c>
      <c r="B10168" s="1" t="n">
        <v>45566</v>
      </c>
      <c r="C10168" s="1" t="n">
        <v>45710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42786-2024</t>
        </is>
      </c>
      <c r="B10169" s="1" t="n">
        <v>45566</v>
      </c>
      <c r="C10169" s="1" t="n">
        <v>45710</v>
      </c>
      <c r="D10169" t="inlineStr">
        <is>
          <t>ÖSTERGÖTLANDS LÄN</t>
        </is>
      </c>
      <c r="E10169" t="inlineStr">
        <is>
          <t>ÅTVIDABERG</t>
        </is>
      </c>
      <c r="F10169" t="inlineStr">
        <is>
          <t>Sveaskog</t>
        </is>
      </c>
      <c r="G10169" t="n">
        <v>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42782-2024</t>
        </is>
      </c>
      <c r="B10170" s="1" t="n">
        <v>45566</v>
      </c>
      <c r="C10170" s="1" t="n">
        <v>45710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42766-2024</t>
        </is>
      </c>
      <c r="B10171" s="1" t="n">
        <v>45566</v>
      </c>
      <c r="C10171" s="1" t="n">
        <v>45710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7.5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42907-2024</t>
        </is>
      </c>
      <c r="B10172" s="1" t="n">
        <v>45567</v>
      </c>
      <c r="C10172" s="1" t="n">
        <v>45710</v>
      </c>
      <c r="D10172" t="inlineStr">
        <is>
          <t>ÖSTERGÖTLANDS LÄN</t>
        </is>
      </c>
      <c r="E10172" t="inlineStr">
        <is>
          <t>FINSPÅNG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42744-2024</t>
        </is>
      </c>
      <c r="B10173" s="1" t="n">
        <v>45566</v>
      </c>
      <c r="C10173" s="1" t="n">
        <v>45710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42700-2024</t>
        </is>
      </c>
      <c r="B10174" s="1" t="n">
        <v>45566</v>
      </c>
      <c r="C10174" s="1" t="n">
        <v>45710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42779-2024</t>
        </is>
      </c>
      <c r="B10175" s="1" t="n">
        <v>45566</v>
      </c>
      <c r="C10175" s="1" t="n">
        <v>45710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42775-2024</t>
        </is>
      </c>
      <c r="B10176" s="1" t="n">
        <v>45566</v>
      </c>
      <c r="C10176" s="1" t="n">
        <v>45710</v>
      </c>
      <c r="D10176" t="inlineStr">
        <is>
          <t>ÖSTERGÖTLANDS LÄN</t>
        </is>
      </c>
      <c r="E10176" t="inlineStr">
        <is>
          <t>ÅTVIDABERG</t>
        </is>
      </c>
      <c r="F10176" t="inlineStr">
        <is>
          <t>Sveaskog</t>
        </is>
      </c>
      <c r="G10176" t="n">
        <v>8.699999999999999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42651-2024</t>
        </is>
      </c>
      <c r="B10177" s="1" t="n">
        <v>45566</v>
      </c>
      <c r="C10177" s="1" t="n">
        <v>45710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42647-2024</t>
        </is>
      </c>
      <c r="B10178" s="1" t="n">
        <v>45566</v>
      </c>
      <c r="C10178" s="1" t="n">
        <v>45710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42784-2024</t>
        </is>
      </c>
      <c r="B10179" s="1" t="n">
        <v>45566</v>
      </c>
      <c r="C10179" s="1" t="n">
        <v>45710</v>
      </c>
      <c r="D10179" t="inlineStr">
        <is>
          <t>ÖSTERGÖTLANDS LÄN</t>
        </is>
      </c>
      <c r="E10179" t="inlineStr">
        <is>
          <t>ÅTVIDABERG</t>
        </is>
      </c>
      <c r="F10179" t="inlineStr">
        <is>
          <t>Sveaskog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42780-2024</t>
        </is>
      </c>
      <c r="B10180" s="1" t="n">
        <v>45566</v>
      </c>
      <c r="C10180" s="1" t="n">
        <v>45710</v>
      </c>
      <c r="D10180" t="inlineStr">
        <is>
          <t>ÖSTERGÖTLANDS LÄN</t>
        </is>
      </c>
      <c r="E10180" t="inlineStr">
        <is>
          <t>ÅTVIDABERG</t>
        </is>
      </c>
      <c r="F10180" t="inlineStr">
        <is>
          <t>Sveaskog</t>
        </is>
      </c>
      <c r="G10180" t="n">
        <v>13.5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42914-2024</t>
        </is>
      </c>
      <c r="B10181" s="1" t="n">
        <v>45566</v>
      </c>
      <c r="C10181" s="1" t="n">
        <v>45710</v>
      </c>
      <c r="D10181" t="inlineStr">
        <is>
          <t>ÖSTERGÖTLANDS LÄN</t>
        </is>
      </c>
      <c r="E10181" t="inlineStr">
        <is>
          <t>YDRE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42728-2024</t>
        </is>
      </c>
      <c r="B10182" s="1" t="n">
        <v>45566</v>
      </c>
      <c r="C10182" s="1" t="n">
        <v>45710</v>
      </c>
      <c r="D10182" t="inlineStr">
        <is>
          <t>ÖSTERGÖTLANDS LÄN</t>
        </is>
      </c>
      <c r="E10182" t="inlineStr">
        <is>
          <t>NORRKÖPING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42711-2024</t>
        </is>
      </c>
      <c r="B10183" s="1" t="n">
        <v>45566</v>
      </c>
      <c r="C10183" s="1" t="n">
        <v>45710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0.4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42694-2024</t>
        </is>
      </c>
      <c r="B10184" s="1" t="n">
        <v>45566</v>
      </c>
      <c r="C10184" s="1" t="n">
        <v>45710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42682-2024</t>
        </is>
      </c>
      <c r="B10185" s="1" t="n">
        <v>45566</v>
      </c>
      <c r="C10185" s="1" t="n">
        <v>45710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3.9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42678-2024</t>
        </is>
      </c>
      <c r="B10186" s="1" t="n">
        <v>45566</v>
      </c>
      <c r="C10186" s="1" t="n">
        <v>45710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42665-2024</t>
        </is>
      </c>
      <c r="B10187" s="1" t="n">
        <v>45566</v>
      </c>
      <c r="C10187" s="1" t="n">
        <v>45710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42745-2024</t>
        </is>
      </c>
      <c r="B10188" s="1" t="n">
        <v>45566</v>
      </c>
      <c r="C10188" s="1" t="n">
        <v>45710</v>
      </c>
      <c r="D10188" t="inlineStr">
        <is>
          <t>ÖSTERGÖTLANDS LÄN</t>
        </is>
      </c>
      <c r="E10188" t="inlineStr">
        <is>
          <t>NORRKÖPING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42741-2024</t>
        </is>
      </c>
      <c r="B10189" s="1" t="n">
        <v>45566</v>
      </c>
      <c r="C10189" s="1" t="n">
        <v>45710</v>
      </c>
      <c r="D10189" t="inlineStr">
        <is>
          <t>ÖSTERGÖTLANDS LÄN</t>
        </is>
      </c>
      <c r="E10189" t="inlineStr">
        <is>
          <t>NORRKÖPING</t>
        </is>
      </c>
      <c r="G10189" t="n">
        <v>6.3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42646-2024</t>
        </is>
      </c>
      <c r="B10190" s="1" t="n">
        <v>45566</v>
      </c>
      <c r="C10190" s="1" t="n">
        <v>45710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43074-2024</t>
        </is>
      </c>
      <c r="B10191" s="1" t="n">
        <v>45567</v>
      </c>
      <c r="C10191" s="1" t="n">
        <v>45710</v>
      </c>
      <c r="D10191" t="inlineStr">
        <is>
          <t>ÖSTERGÖTLANDS LÄN</t>
        </is>
      </c>
      <c r="E10191" t="inlineStr">
        <is>
          <t>KINDA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43198-2024</t>
        </is>
      </c>
      <c r="B10192" s="1" t="n">
        <v>45567</v>
      </c>
      <c r="C10192" s="1" t="n">
        <v>45710</v>
      </c>
      <c r="D10192" t="inlineStr">
        <is>
          <t>ÖSTERGÖTLANDS LÄN</t>
        </is>
      </c>
      <c r="E10192" t="inlineStr">
        <is>
          <t>KINDA</t>
        </is>
      </c>
      <c r="G10192" t="n">
        <v>4.2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43041-2024</t>
        </is>
      </c>
      <c r="B10193" s="1" t="n">
        <v>45567</v>
      </c>
      <c r="C10193" s="1" t="n">
        <v>45710</v>
      </c>
      <c r="D10193" t="inlineStr">
        <is>
          <t>ÖSTERGÖTLANDS LÄN</t>
        </is>
      </c>
      <c r="E10193" t="inlineStr">
        <is>
          <t>SÖDERKÖPING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43012-2024</t>
        </is>
      </c>
      <c r="B10194" s="1" t="n">
        <v>45567</v>
      </c>
      <c r="C10194" s="1" t="n">
        <v>45710</v>
      </c>
      <c r="D10194" t="inlineStr">
        <is>
          <t>ÖSTERGÖTLANDS LÄN</t>
        </is>
      </c>
      <c r="E10194" t="inlineStr">
        <is>
          <t>MJÖLBY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42937-2024</t>
        </is>
      </c>
      <c r="B10195" s="1" t="n">
        <v>45567</v>
      </c>
      <c r="C10195" s="1" t="n">
        <v>45710</v>
      </c>
      <c r="D10195" t="inlineStr">
        <is>
          <t>ÖSTERGÖTLANDS LÄN</t>
        </is>
      </c>
      <c r="E10195" t="inlineStr">
        <is>
          <t>SÖDERKÖPING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43069-2024</t>
        </is>
      </c>
      <c r="B10196" s="1" t="n">
        <v>45567</v>
      </c>
      <c r="C10196" s="1" t="n">
        <v>45710</v>
      </c>
      <c r="D10196" t="inlineStr">
        <is>
          <t>ÖSTERGÖTLANDS LÄN</t>
        </is>
      </c>
      <c r="E10196" t="inlineStr">
        <is>
          <t>KINDA</t>
        </is>
      </c>
      <c r="G10196" t="n">
        <v>4.1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42947-2024</t>
        </is>
      </c>
      <c r="B10197" s="1" t="n">
        <v>45567</v>
      </c>
      <c r="C10197" s="1" t="n">
        <v>45710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43047-2024</t>
        </is>
      </c>
      <c r="B10198" s="1" t="n">
        <v>45567</v>
      </c>
      <c r="C10198" s="1" t="n">
        <v>45710</v>
      </c>
      <c r="D10198" t="inlineStr">
        <is>
          <t>ÖSTERGÖTLANDS LÄN</t>
        </is>
      </c>
      <c r="E10198" t="inlineStr">
        <is>
          <t>KINDA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42946-2024</t>
        </is>
      </c>
      <c r="B10199" s="1" t="n">
        <v>45567</v>
      </c>
      <c r="C10199" s="1" t="n">
        <v>45710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43476-2024</t>
        </is>
      </c>
      <c r="B10200" s="1" t="n">
        <v>45568</v>
      </c>
      <c r="C10200" s="1" t="n">
        <v>45710</v>
      </c>
      <c r="D10200" t="inlineStr">
        <is>
          <t>ÖSTERGÖTLANDS LÄN</t>
        </is>
      </c>
      <c r="E10200" t="inlineStr">
        <is>
          <t>LINKÖPING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43475-2024</t>
        </is>
      </c>
      <c r="B10201" s="1" t="n">
        <v>45568</v>
      </c>
      <c r="C10201" s="1" t="n">
        <v>45710</v>
      </c>
      <c r="D10201" t="inlineStr">
        <is>
          <t>ÖSTERGÖTLANDS LÄN</t>
        </is>
      </c>
      <c r="E10201" t="inlineStr">
        <is>
          <t>LINKÖPING</t>
        </is>
      </c>
      <c r="G10201" t="n">
        <v>3.2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43471-2024</t>
        </is>
      </c>
      <c r="B10202" s="1" t="n">
        <v>45568</v>
      </c>
      <c r="C10202" s="1" t="n">
        <v>45710</v>
      </c>
      <c r="D10202" t="inlineStr">
        <is>
          <t>ÖSTERGÖTLANDS LÄN</t>
        </is>
      </c>
      <c r="E10202" t="inlineStr">
        <is>
          <t>ÅTVIDABERG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43467-2024</t>
        </is>
      </c>
      <c r="B10203" s="1" t="n">
        <v>45568</v>
      </c>
      <c r="C10203" s="1" t="n">
        <v>45710</v>
      </c>
      <c r="D10203" t="inlineStr">
        <is>
          <t>ÖSTERGÖTLANDS LÄN</t>
        </is>
      </c>
      <c r="E10203" t="inlineStr">
        <is>
          <t>VALDEMARSVIK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43427-2024</t>
        </is>
      </c>
      <c r="B10204" s="1" t="n">
        <v>45568</v>
      </c>
      <c r="C10204" s="1" t="n">
        <v>45710</v>
      </c>
      <c r="D10204" t="inlineStr">
        <is>
          <t>ÖSTERGÖTLANDS LÄN</t>
        </is>
      </c>
      <c r="E10204" t="inlineStr">
        <is>
          <t>NORRKÖPING</t>
        </is>
      </c>
      <c r="G10204" t="n">
        <v>3.4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43473-2024</t>
        </is>
      </c>
      <c r="B10205" s="1" t="n">
        <v>45568</v>
      </c>
      <c r="C10205" s="1" t="n">
        <v>45710</v>
      </c>
      <c r="D10205" t="inlineStr">
        <is>
          <t>ÖSTERGÖTLANDS LÄN</t>
        </is>
      </c>
      <c r="E10205" t="inlineStr">
        <is>
          <t>LINKÖPING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43468-2024</t>
        </is>
      </c>
      <c r="B10206" s="1" t="n">
        <v>45568</v>
      </c>
      <c r="C10206" s="1" t="n">
        <v>45710</v>
      </c>
      <c r="D10206" t="inlineStr">
        <is>
          <t>ÖSTERGÖTLANDS LÄN</t>
        </is>
      </c>
      <c r="E10206" t="inlineStr">
        <is>
          <t>VALDEMARSVIK</t>
        </is>
      </c>
      <c r="G10206" t="n">
        <v>1.3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43464-2024</t>
        </is>
      </c>
      <c r="B10207" s="1" t="n">
        <v>45568</v>
      </c>
      <c r="C10207" s="1" t="n">
        <v>45710</v>
      </c>
      <c r="D10207" t="inlineStr">
        <is>
          <t>ÖSTERGÖTLANDS LÄN</t>
        </is>
      </c>
      <c r="E10207" t="inlineStr">
        <is>
          <t>BOXHOLM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43417-2024</t>
        </is>
      </c>
      <c r="B10208" s="1" t="n">
        <v>45568</v>
      </c>
      <c r="C10208" s="1" t="n">
        <v>45710</v>
      </c>
      <c r="D10208" t="inlineStr">
        <is>
          <t>ÖSTERGÖTLANDS LÄN</t>
        </is>
      </c>
      <c r="E10208" t="inlineStr">
        <is>
          <t>NORRKÖPING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43430-2024</t>
        </is>
      </c>
      <c r="B10209" s="1" t="n">
        <v>45568</v>
      </c>
      <c r="C10209" s="1" t="n">
        <v>45710</v>
      </c>
      <c r="D10209" t="inlineStr">
        <is>
          <t>ÖSTERGÖTLANDS LÄN</t>
        </is>
      </c>
      <c r="E10209" t="inlineStr">
        <is>
          <t>NORRKÖPING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43363-2024</t>
        </is>
      </c>
      <c r="B10210" s="1" t="n">
        <v>45568</v>
      </c>
      <c r="C10210" s="1" t="n">
        <v>45710</v>
      </c>
      <c r="D10210" t="inlineStr">
        <is>
          <t>ÖSTERGÖTLANDS LÄN</t>
        </is>
      </c>
      <c r="E10210" t="inlineStr">
        <is>
          <t>VALDEMARSVIK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43408-2024</t>
        </is>
      </c>
      <c r="B10211" s="1" t="n">
        <v>45568</v>
      </c>
      <c r="C10211" s="1" t="n">
        <v>45710</v>
      </c>
      <c r="D10211" t="inlineStr">
        <is>
          <t>ÖSTERGÖTLANDS LÄN</t>
        </is>
      </c>
      <c r="E10211" t="inlineStr">
        <is>
          <t>NORRKÖPING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43245-2024</t>
        </is>
      </c>
      <c r="B10212" s="1" t="n">
        <v>45568</v>
      </c>
      <c r="C10212" s="1" t="n">
        <v>45710</v>
      </c>
      <c r="D10212" t="inlineStr">
        <is>
          <t>ÖSTERGÖTLANDS LÄN</t>
        </is>
      </c>
      <c r="E10212" t="inlineStr">
        <is>
          <t>VALDEMARSVIK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43288-2024</t>
        </is>
      </c>
      <c r="B10213" s="1" t="n">
        <v>45568</v>
      </c>
      <c r="C10213" s="1" t="n">
        <v>45710</v>
      </c>
      <c r="D10213" t="inlineStr">
        <is>
          <t>ÖSTERGÖTLANDS LÄN</t>
        </is>
      </c>
      <c r="E10213" t="inlineStr">
        <is>
          <t>YDRE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43514-2024</t>
        </is>
      </c>
      <c r="B10214" s="1" t="n">
        <v>45569</v>
      </c>
      <c r="C10214" s="1" t="n">
        <v>45710</v>
      </c>
      <c r="D10214" t="inlineStr">
        <is>
          <t>ÖSTERGÖTLANDS LÄN</t>
        </is>
      </c>
      <c r="E10214" t="inlineStr">
        <is>
          <t>VALDEMARSVIK</t>
        </is>
      </c>
      <c r="F10214" t="inlineStr">
        <is>
          <t>Kyrkan</t>
        </is>
      </c>
      <c r="G10214" t="n">
        <v>3.5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43518-2024</t>
        </is>
      </c>
      <c r="B10215" s="1" t="n">
        <v>45569</v>
      </c>
      <c r="C10215" s="1" t="n">
        <v>45710</v>
      </c>
      <c r="D10215" t="inlineStr">
        <is>
          <t>ÖSTERGÖTLANDS LÄN</t>
        </is>
      </c>
      <c r="E10215" t="inlineStr">
        <is>
          <t>VALDEMARSVIK</t>
        </is>
      </c>
      <c r="F10215" t="inlineStr">
        <is>
          <t>Kyrkan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43500-2024</t>
        </is>
      </c>
      <c r="B10216" s="1" t="n">
        <v>45569</v>
      </c>
      <c r="C10216" s="1" t="n">
        <v>45710</v>
      </c>
      <c r="D10216" t="inlineStr">
        <is>
          <t>ÖSTERGÖTLANDS LÄN</t>
        </is>
      </c>
      <c r="E10216" t="inlineStr">
        <is>
          <t>VALDEMARSVIK</t>
        </is>
      </c>
      <c r="G10216" t="n">
        <v>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43516-2024</t>
        </is>
      </c>
      <c r="B10217" s="1" t="n">
        <v>45569</v>
      </c>
      <c r="C10217" s="1" t="n">
        <v>45710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43530-2024</t>
        </is>
      </c>
      <c r="B10218" s="1" t="n">
        <v>45569</v>
      </c>
      <c r="C10218" s="1" t="n">
        <v>45710</v>
      </c>
      <c r="D10218" t="inlineStr">
        <is>
          <t>ÖSTERGÖTLANDS LÄN</t>
        </is>
      </c>
      <c r="E10218" t="inlineStr">
        <is>
          <t>ÅTVIDABERG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43637-2024</t>
        </is>
      </c>
      <c r="B10219" s="1" t="n">
        <v>45569</v>
      </c>
      <c r="C10219" s="1" t="n">
        <v>45710</v>
      </c>
      <c r="D10219" t="inlineStr">
        <is>
          <t>ÖSTERGÖTLANDS LÄN</t>
        </is>
      </c>
      <c r="E10219" t="inlineStr">
        <is>
          <t>MOTALA</t>
        </is>
      </c>
      <c r="G10219" t="n">
        <v>4.8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43728-2024</t>
        </is>
      </c>
      <c r="B10220" s="1" t="n">
        <v>45569</v>
      </c>
      <c r="C10220" s="1" t="n">
        <v>45710</v>
      </c>
      <c r="D10220" t="inlineStr">
        <is>
          <t>ÖSTERGÖTLANDS LÄN</t>
        </is>
      </c>
      <c r="E10220" t="inlineStr">
        <is>
          <t>KINDA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43725-2024</t>
        </is>
      </c>
      <c r="B10221" s="1" t="n">
        <v>45569</v>
      </c>
      <c r="C10221" s="1" t="n">
        <v>45710</v>
      </c>
      <c r="D10221" t="inlineStr">
        <is>
          <t>ÖSTERGÖTLANDS LÄN</t>
        </is>
      </c>
      <c r="E10221" t="inlineStr">
        <is>
          <t>MJÖLBY</t>
        </is>
      </c>
      <c r="G10221" t="n">
        <v>2.5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43539-2024</t>
        </is>
      </c>
      <c r="B10222" s="1" t="n">
        <v>45569</v>
      </c>
      <c r="C10222" s="1" t="n">
        <v>45710</v>
      </c>
      <c r="D10222" t="inlineStr">
        <is>
          <t>ÖSTERGÖTLANDS LÄN</t>
        </is>
      </c>
      <c r="E10222" t="inlineStr">
        <is>
          <t>ÅTVIDABERG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43509-2024</t>
        </is>
      </c>
      <c r="B10223" s="1" t="n">
        <v>45569</v>
      </c>
      <c r="C10223" s="1" t="n">
        <v>45710</v>
      </c>
      <c r="D10223" t="inlineStr">
        <is>
          <t>ÖSTERGÖTLANDS LÄN</t>
        </is>
      </c>
      <c r="E10223" t="inlineStr">
        <is>
          <t>VALDEMARSVIK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43519-2024</t>
        </is>
      </c>
      <c r="B10224" s="1" t="n">
        <v>45569</v>
      </c>
      <c r="C10224" s="1" t="n">
        <v>45710</v>
      </c>
      <c r="D10224" t="inlineStr">
        <is>
          <t>ÖSTERGÖTLANDS LÄN</t>
        </is>
      </c>
      <c r="E10224" t="inlineStr">
        <is>
          <t>VALDEMARSVIK</t>
        </is>
      </c>
      <c r="F10224" t="inlineStr">
        <is>
          <t>Kyrkan</t>
        </is>
      </c>
      <c r="G10224" t="n">
        <v>0.9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43763-2024</t>
        </is>
      </c>
      <c r="B10225" s="1" t="n">
        <v>45569</v>
      </c>
      <c r="C10225" s="1" t="n">
        <v>45710</v>
      </c>
      <c r="D10225" t="inlineStr">
        <is>
          <t>ÖSTERGÖTLANDS LÄN</t>
        </is>
      </c>
      <c r="E10225" t="inlineStr">
        <is>
          <t>VALDEMARSVIK</t>
        </is>
      </c>
      <c r="G10225" t="n">
        <v>6.3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43767-2024</t>
        </is>
      </c>
      <c r="B10226" s="1" t="n">
        <v>45569</v>
      </c>
      <c r="C10226" s="1" t="n">
        <v>45710</v>
      </c>
      <c r="D10226" t="inlineStr">
        <is>
          <t>ÖSTERGÖTLANDS LÄN</t>
        </is>
      </c>
      <c r="E10226" t="inlineStr">
        <is>
          <t>BOXHOLM</t>
        </is>
      </c>
      <c r="G10226" t="n">
        <v>1.1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43800-2024</t>
        </is>
      </c>
      <c r="B10227" s="1" t="n">
        <v>45571</v>
      </c>
      <c r="C10227" s="1" t="n">
        <v>45710</v>
      </c>
      <c r="D10227" t="inlineStr">
        <is>
          <t>ÖSTERGÖTLANDS LÄN</t>
        </is>
      </c>
      <c r="E10227" t="inlineStr">
        <is>
          <t>NORRKÖPING</t>
        </is>
      </c>
      <c r="G10227" t="n">
        <v>7.5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43936-2024</t>
        </is>
      </c>
      <c r="B10228" s="1" t="n">
        <v>45572</v>
      </c>
      <c r="C10228" s="1" t="n">
        <v>45710</v>
      </c>
      <c r="D10228" t="inlineStr">
        <is>
          <t>ÖSTERGÖTLANDS LÄN</t>
        </is>
      </c>
      <c r="E10228" t="inlineStr">
        <is>
          <t>BOXHOLM</t>
        </is>
      </c>
      <c r="F10228" t="inlineStr">
        <is>
          <t>Allmännings- och besparingsskogar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43940-2024</t>
        </is>
      </c>
      <c r="B10229" s="1" t="n">
        <v>45572</v>
      </c>
      <c r="C10229" s="1" t="n">
        <v>45710</v>
      </c>
      <c r="D10229" t="inlineStr">
        <is>
          <t>ÖSTERGÖTLANDS LÄN</t>
        </is>
      </c>
      <c r="E10229" t="inlineStr">
        <is>
          <t>SÖDERKÖPING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43899-2024</t>
        </is>
      </c>
      <c r="B10230" s="1" t="n">
        <v>45572</v>
      </c>
      <c r="C10230" s="1" t="n">
        <v>45710</v>
      </c>
      <c r="D10230" t="inlineStr">
        <is>
          <t>ÖSTERGÖTLANDS LÄN</t>
        </is>
      </c>
      <c r="E10230" t="inlineStr">
        <is>
          <t>ÅTVIDABERG</t>
        </is>
      </c>
      <c r="G10230" t="n">
        <v>9.6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43949-2024</t>
        </is>
      </c>
      <c r="B10231" s="1" t="n">
        <v>45572</v>
      </c>
      <c r="C10231" s="1" t="n">
        <v>45710</v>
      </c>
      <c r="D10231" t="inlineStr">
        <is>
          <t>ÖSTERGÖTLANDS LÄN</t>
        </is>
      </c>
      <c r="E10231" t="inlineStr">
        <is>
          <t>SÖDERKÖPING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44029-2024</t>
        </is>
      </c>
      <c r="B10232" s="1" t="n">
        <v>45572</v>
      </c>
      <c r="C10232" s="1" t="n">
        <v>45710</v>
      </c>
      <c r="D10232" t="inlineStr">
        <is>
          <t>ÖSTERGÖTLANDS LÄN</t>
        </is>
      </c>
      <c r="E10232" t="inlineStr">
        <is>
          <t>KINDA</t>
        </is>
      </c>
      <c r="F10232" t="inlineStr">
        <is>
          <t>Övriga Aktiebolag</t>
        </is>
      </c>
      <c r="G10232" t="n">
        <v>4.9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44001-2024</t>
        </is>
      </c>
      <c r="B10233" s="1" t="n">
        <v>45572</v>
      </c>
      <c r="C10233" s="1" t="n">
        <v>45710</v>
      </c>
      <c r="D10233" t="inlineStr">
        <is>
          <t>ÖSTERGÖTLANDS LÄN</t>
        </is>
      </c>
      <c r="E10233" t="inlineStr">
        <is>
          <t>LINKÖPING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44139-2024</t>
        </is>
      </c>
      <c r="B10234" s="1" t="n">
        <v>45572</v>
      </c>
      <c r="C10234" s="1" t="n">
        <v>45710</v>
      </c>
      <c r="D10234" t="inlineStr">
        <is>
          <t>ÖSTERGÖTLANDS LÄN</t>
        </is>
      </c>
      <c r="E10234" t="inlineStr">
        <is>
          <t>KINDA</t>
        </is>
      </c>
      <c r="G10234" t="n">
        <v>3.6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44130-2024</t>
        </is>
      </c>
      <c r="B10235" s="1" t="n">
        <v>45572</v>
      </c>
      <c r="C10235" s="1" t="n">
        <v>45710</v>
      </c>
      <c r="D10235" t="inlineStr">
        <is>
          <t>ÖSTERGÖTLANDS LÄN</t>
        </is>
      </c>
      <c r="E10235" t="inlineStr">
        <is>
          <t>MJÖLBY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44134-2024</t>
        </is>
      </c>
      <c r="B10236" s="1" t="n">
        <v>45572</v>
      </c>
      <c r="C10236" s="1" t="n">
        <v>45710</v>
      </c>
      <c r="D10236" t="inlineStr">
        <is>
          <t>ÖSTERGÖTLANDS LÄN</t>
        </is>
      </c>
      <c r="E10236" t="inlineStr">
        <is>
          <t>MJÖLBY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44146-2024</t>
        </is>
      </c>
      <c r="B10237" s="1" t="n">
        <v>45572</v>
      </c>
      <c r="C10237" s="1" t="n">
        <v>45710</v>
      </c>
      <c r="D10237" t="inlineStr">
        <is>
          <t>ÖSTERGÖTLANDS LÄN</t>
        </is>
      </c>
      <c r="E10237" t="inlineStr">
        <is>
          <t>LINKÖPING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44155-2024</t>
        </is>
      </c>
      <c r="B10238" s="1" t="n">
        <v>45572</v>
      </c>
      <c r="C10238" s="1" t="n">
        <v>45710</v>
      </c>
      <c r="D10238" t="inlineStr">
        <is>
          <t>ÖSTERGÖTLANDS LÄN</t>
        </is>
      </c>
      <c r="E10238" t="inlineStr">
        <is>
          <t>LINKÖPING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43939-2024</t>
        </is>
      </c>
      <c r="B10239" s="1" t="n">
        <v>45572</v>
      </c>
      <c r="C10239" s="1" t="n">
        <v>45710</v>
      </c>
      <c r="D10239" t="inlineStr">
        <is>
          <t>ÖSTERGÖTLANDS LÄN</t>
        </is>
      </c>
      <c r="E10239" t="inlineStr">
        <is>
          <t>NORRKÖPING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43965-2024</t>
        </is>
      </c>
      <c r="B10240" s="1" t="n">
        <v>45572</v>
      </c>
      <c r="C10240" s="1" t="n">
        <v>45710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4.6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44148-2024</t>
        </is>
      </c>
      <c r="B10241" s="1" t="n">
        <v>45572</v>
      </c>
      <c r="C10241" s="1" t="n">
        <v>45710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44280-2024</t>
        </is>
      </c>
      <c r="B10242" s="1" t="n">
        <v>45573</v>
      </c>
      <c r="C10242" s="1" t="n">
        <v>45710</v>
      </c>
      <c r="D10242" t="inlineStr">
        <is>
          <t>ÖSTERGÖTLANDS LÄN</t>
        </is>
      </c>
      <c r="E10242" t="inlineStr">
        <is>
          <t>LINKÖPING</t>
        </is>
      </c>
      <c r="G10242" t="n">
        <v>5.3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44287-2024</t>
        </is>
      </c>
      <c r="B10243" s="1" t="n">
        <v>45573</v>
      </c>
      <c r="C10243" s="1" t="n">
        <v>45710</v>
      </c>
      <c r="D10243" t="inlineStr">
        <is>
          <t>ÖSTERGÖTLANDS LÄN</t>
        </is>
      </c>
      <c r="E10243" t="inlineStr">
        <is>
          <t>LINKÖPING</t>
        </is>
      </c>
      <c r="G10243" t="n">
        <v>12.7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45137-2024</t>
        </is>
      </c>
      <c r="B10244" s="1" t="n">
        <v>45575</v>
      </c>
      <c r="C10244" s="1" t="n">
        <v>45710</v>
      </c>
      <c r="D10244" t="inlineStr">
        <is>
          <t>ÖSTERGÖTLANDS LÄN</t>
        </is>
      </c>
      <c r="E10244" t="inlineStr">
        <is>
          <t>BOXHOLM</t>
        </is>
      </c>
      <c r="F10244" t="inlineStr">
        <is>
          <t>Allmännings- och besparingsskogar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45154-2024</t>
        </is>
      </c>
      <c r="B10245" s="1" t="n">
        <v>45575</v>
      </c>
      <c r="C10245" s="1" t="n">
        <v>45710</v>
      </c>
      <c r="D10245" t="inlineStr">
        <is>
          <t>ÖSTERGÖTLANDS LÄN</t>
        </is>
      </c>
      <c r="E10245" t="inlineStr">
        <is>
          <t>BOXHOLM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44911-2024</t>
        </is>
      </c>
      <c r="B10246" s="1" t="n">
        <v>45575</v>
      </c>
      <c r="C10246" s="1" t="n">
        <v>45710</v>
      </c>
      <c r="D10246" t="inlineStr">
        <is>
          <t>ÖSTERGÖTLANDS LÄN</t>
        </is>
      </c>
      <c r="E10246" t="inlineStr">
        <is>
          <t>SÖDERKÖPING</t>
        </is>
      </c>
      <c r="G10246" t="n">
        <v>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45159-2024</t>
        </is>
      </c>
      <c r="B10247" s="1" t="n">
        <v>45575</v>
      </c>
      <c r="C10247" s="1" t="n">
        <v>45710</v>
      </c>
      <c r="D10247" t="inlineStr">
        <is>
          <t>ÖSTERGÖTLANDS LÄN</t>
        </is>
      </c>
      <c r="E10247" t="inlineStr">
        <is>
          <t>BOXHOLM</t>
        </is>
      </c>
      <c r="G10247" t="n">
        <v>4.9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44872-2024</t>
        </is>
      </c>
      <c r="B10248" s="1" t="n">
        <v>45575</v>
      </c>
      <c r="C10248" s="1" t="n">
        <v>45710</v>
      </c>
      <c r="D10248" t="inlineStr">
        <is>
          <t>ÖSTERGÖTLANDS LÄN</t>
        </is>
      </c>
      <c r="E10248" t="inlineStr">
        <is>
          <t>NORRKÖPING</t>
        </is>
      </c>
      <c r="F10248" t="inlineStr">
        <is>
          <t>Holmen skog AB</t>
        </is>
      </c>
      <c r="G10248" t="n">
        <v>1.2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44868-2024</t>
        </is>
      </c>
      <c r="B10249" s="1" t="n">
        <v>45575</v>
      </c>
      <c r="C10249" s="1" t="n">
        <v>45710</v>
      </c>
      <c r="D10249" t="inlineStr">
        <is>
          <t>ÖSTERGÖTLANDS LÄN</t>
        </is>
      </c>
      <c r="E10249" t="inlineStr">
        <is>
          <t>MOTALA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45198-2024</t>
        </is>
      </c>
      <c r="B10250" s="1" t="n">
        <v>45575</v>
      </c>
      <c r="C10250" s="1" t="n">
        <v>45710</v>
      </c>
      <c r="D10250" t="inlineStr">
        <is>
          <t>ÖSTERGÖTLANDS LÄN</t>
        </is>
      </c>
      <c r="E10250" t="inlineStr">
        <is>
          <t>YDRE</t>
        </is>
      </c>
      <c r="G10250" t="n">
        <v>2.8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45199-2024</t>
        </is>
      </c>
      <c r="B10251" s="1" t="n">
        <v>45575</v>
      </c>
      <c r="C10251" s="1" t="n">
        <v>45710</v>
      </c>
      <c r="D10251" t="inlineStr">
        <is>
          <t>ÖSTERGÖTLANDS LÄN</t>
        </is>
      </c>
      <c r="E10251" t="inlineStr">
        <is>
          <t>YDRE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45237-2024</t>
        </is>
      </c>
      <c r="B10252" s="1" t="n">
        <v>45575</v>
      </c>
      <c r="C10252" s="1" t="n">
        <v>45710</v>
      </c>
      <c r="D10252" t="inlineStr">
        <is>
          <t>ÖSTERGÖTLANDS LÄN</t>
        </is>
      </c>
      <c r="E10252" t="inlineStr">
        <is>
          <t>MOTALA</t>
        </is>
      </c>
      <c r="G10252" t="n">
        <v>2.9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44861-2024</t>
        </is>
      </c>
      <c r="B10253" s="1" t="n">
        <v>45575</v>
      </c>
      <c r="C10253" s="1" t="n">
        <v>45710</v>
      </c>
      <c r="D10253" t="inlineStr">
        <is>
          <t>ÖSTERGÖTLANDS LÄN</t>
        </is>
      </c>
      <c r="E10253" t="inlineStr">
        <is>
          <t>MOTALA</t>
        </is>
      </c>
      <c r="G10253" t="n">
        <v>4.1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44866-2024</t>
        </is>
      </c>
      <c r="B10254" s="1" t="n">
        <v>45575</v>
      </c>
      <c r="C10254" s="1" t="n">
        <v>45710</v>
      </c>
      <c r="D10254" t="inlineStr">
        <is>
          <t>ÖSTERGÖTLANDS LÄN</t>
        </is>
      </c>
      <c r="E10254" t="inlineStr">
        <is>
          <t>MOTALA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44870-2024</t>
        </is>
      </c>
      <c r="B10255" s="1" t="n">
        <v>45575</v>
      </c>
      <c r="C10255" s="1" t="n">
        <v>45710</v>
      </c>
      <c r="D10255" t="inlineStr">
        <is>
          <t>ÖSTERGÖTLANDS LÄN</t>
        </is>
      </c>
      <c r="E10255" t="inlineStr">
        <is>
          <t>MOTALA</t>
        </is>
      </c>
      <c r="G10255" t="n">
        <v>3.9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45442-2024</t>
        </is>
      </c>
      <c r="B10256" s="1" t="n">
        <v>45576</v>
      </c>
      <c r="C10256" s="1" t="n">
        <v>45710</v>
      </c>
      <c r="D10256" t="inlineStr">
        <is>
          <t>ÖSTERGÖTLANDS LÄN</t>
        </is>
      </c>
      <c r="E10256" t="inlineStr">
        <is>
          <t>LINKÖPING</t>
        </is>
      </c>
      <c r="G10256" t="n">
        <v>1.8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45450-2024</t>
        </is>
      </c>
      <c r="B10257" s="1" t="n">
        <v>45576</v>
      </c>
      <c r="C10257" s="1" t="n">
        <v>45710</v>
      </c>
      <c r="D10257" t="inlineStr">
        <is>
          <t>ÖSTERGÖTLANDS LÄN</t>
        </is>
      </c>
      <c r="E10257" t="inlineStr">
        <is>
          <t>KINDA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45292-2024</t>
        </is>
      </c>
      <c r="B10258" s="1" t="n">
        <v>45576</v>
      </c>
      <c r="C10258" s="1" t="n">
        <v>45710</v>
      </c>
      <c r="D10258" t="inlineStr">
        <is>
          <t>ÖSTERGÖTLANDS LÄN</t>
        </is>
      </c>
      <c r="E10258" t="inlineStr">
        <is>
          <t>MJÖLBY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45436-2024</t>
        </is>
      </c>
      <c r="B10259" s="1" t="n">
        <v>45576</v>
      </c>
      <c r="C10259" s="1" t="n">
        <v>45710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5.1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45460-2024</t>
        </is>
      </c>
      <c r="B10260" s="1" t="n">
        <v>45576</v>
      </c>
      <c r="C10260" s="1" t="n">
        <v>45710</v>
      </c>
      <c r="D10260" t="inlineStr">
        <is>
          <t>ÖSTERGÖTLANDS LÄN</t>
        </is>
      </c>
      <c r="E10260" t="inlineStr">
        <is>
          <t>VALDEMARSVIK</t>
        </is>
      </c>
      <c r="G10260" t="n">
        <v>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45457-2024</t>
        </is>
      </c>
      <c r="B10261" s="1" t="n">
        <v>45576</v>
      </c>
      <c r="C10261" s="1" t="n">
        <v>45710</v>
      </c>
      <c r="D10261" t="inlineStr">
        <is>
          <t>ÖSTERGÖTLANDS LÄN</t>
        </is>
      </c>
      <c r="E10261" t="inlineStr">
        <is>
          <t>KINDA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45368-2024</t>
        </is>
      </c>
      <c r="B10262" s="1" t="n">
        <v>45576</v>
      </c>
      <c r="C10262" s="1" t="n">
        <v>45710</v>
      </c>
      <c r="D10262" t="inlineStr">
        <is>
          <t>ÖSTERGÖTLANDS LÄN</t>
        </is>
      </c>
      <c r="E10262" t="inlineStr">
        <is>
          <t>ÖDESHÖG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45358-2024</t>
        </is>
      </c>
      <c r="B10263" s="1" t="n">
        <v>45576</v>
      </c>
      <c r="C10263" s="1" t="n">
        <v>45710</v>
      </c>
      <c r="D10263" t="inlineStr">
        <is>
          <t>ÖSTERGÖTLANDS LÄN</t>
        </is>
      </c>
      <c r="E10263" t="inlineStr">
        <is>
          <t>ÖDESHÖG</t>
        </is>
      </c>
      <c r="G10263" t="n">
        <v>2.5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45699-2024</t>
        </is>
      </c>
      <c r="B10264" s="1" t="n">
        <v>45579</v>
      </c>
      <c r="C10264" s="1" t="n">
        <v>45710</v>
      </c>
      <c r="D10264" t="inlineStr">
        <is>
          <t>ÖSTERGÖTLANDS LÄN</t>
        </is>
      </c>
      <c r="E10264" t="inlineStr">
        <is>
          <t>NORRKÖPING</t>
        </is>
      </c>
      <c r="F10264" t="inlineStr">
        <is>
          <t>Holmen skog AB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45707-2024</t>
        </is>
      </c>
      <c r="B10265" s="1" t="n">
        <v>45579</v>
      </c>
      <c r="C10265" s="1" t="n">
        <v>45710</v>
      </c>
      <c r="D10265" t="inlineStr">
        <is>
          <t>ÖSTERGÖTLANDS LÄN</t>
        </is>
      </c>
      <c r="E10265" t="inlineStr">
        <is>
          <t>KINDA</t>
        </is>
      </c>
      <c r="G10265" t="n">
        <v>1.7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45723-2024</t>
        </is>
      </c>
      <c r="B10266" s="1" t="n">
        <v>45579</v>
      </c>
      <c r="C10266" s="1" t="n">
        <v>45710</v>
      </c>
      <c r="D10266" t="inlineStr">
        <is>
          <t>ÖSTERGÖTLANDS LÄN</t>
        </is>
      </c>
      <c r="E10266" t="inlineStr">
        <is>
          <t>BOXHOLM</t>
        </is>
      </c>
      <c r="F10266" t="inlineStr">
        <is>
          <t>Övriga Aktiebolag</t>
        </is>
      </c>
      <c r="G10266" t="n">
        <v>5.3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45675-2024</t>
        </is>
      </c>
      <c r="B10267" s="1" t="n">
        <v>45579</v>
      </c>
      <c r="C10267" s="1" t="n">
        <v>45710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Kyrkan</t>
        </is>
      </c>
      <c r="G10267" t="n">
        <v>4.2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45745-2024</t>
        </is>
      </c>
      <c r="B10268" s="1" t="n">
        <v>45579</v>
      </c>
      <c r="C10268" s="1" t="n">
        <v>45710</v>
      </c>
      <c r="D10268" t="inlineStr">
        <is>
          <t>ÖSTERGÖTLANDS LÄN</t>
        </is>
      </c>
      <c r="E10268" t="inlineStr">
        <is>
          <t>YDRE</t>
        </is>
      </c>
      <c r="G10268" t="n">
        <v>4.5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45821-2024</t>
        </is>
      </c>
      <c r="B10269" s="1" t="n">
        <v>45579</v>
      </c>
      <c r="C10269" s="1" t="n">
        <v>45710</v>
      </c>
      <c r="D10269" t="inlineStr">
        <is>
          <t>ÖSTERGÖTLANDS LÄN</t>
        </is>
      </c>
      <c r="E10269" t="inlineStr">
        <is>
          <t>LINKÖPING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45813-2024</t>
        </is>
      </c>
      <c r="B10270" s="1" t="n">
        <v>45579</v>
      </c>
      <c r="C10270" s="1" t="n">
        <v>45710</v>
      </c>
      <c r="D10270" t="inlineStr">
        <is>
          <t>ÖSTERGÖTLANDS LÄN</t>
        </is>
      </c>
      <c r="E10270" t="inlineStr">
        <is>
          <t>LINKÖPING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45819-2024</t>
        </is>
      </c>
      <c r="B10271" s="1" t="n">
        <v>45579</v>
      </c>
      <c r="C10271" s="1" t="n">
        <v>45710</v>
      </c>
      <c r="D10271" t="inlineStr">
        <is>
          <t>ÖSTERGÖTLANDS LÄN</t>
        </is>
      </c>
      <c r="E10271" t="inlineStr">
        <is>
          <t>LINKÖPING</t>
        </is>
      </c>
      <c r="G10271" t="n">
        <v>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45803-2024</t>
        </is>
      </c>
      <c r="B10272" s="1" t="n">
        <v>45579</v>
      </c>
      <c r="C10272" s="1" t="n">
        <v>45710</v>
      </c>
      <c r="D10272" t="inlineStr">
        <is>
          <t>ÖSTERGÖTLANDS LÄN</t>
        </is>
      </c>
      <c r="E10272" t="inlineStr">
        <is>
          <t>LINKÖPING</t>
        </is>
      </c>
      <c r="G10272" t="n">
        <v>6.8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45831-2024</t>
        </is>
      </c>
      <c r="B10273" s="1" t="n">
        <v>45579</v>
      </c>
      <c r="C10273" s="1" t="n">
        <v>45710</v>
      </c>
      <c r="D10273" t="inlineStr">
        <is>
          <t>ÖSTERGÖTLANDS LÄN</t>
        </is>
      </c>
      <c r="E10273" t="inlineStr">
        <is>
          <t>LINKÖPING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45835-2024</t>
        </is>
      </c>
      <c r="B10274" s="1" t="n">
        <v>45580</v>
      </c>
      <c r="C10274" s="1" t="n">
        <v>45710</v>
      </c>
      <c r="D10274" t="inlineStr">
        <is>
          <t>ÖSTERGÖTLANDS LÄN</t>
        </is>
      </c>
      <c r="E10274" t="inlineStr">
        <is>
          <t>LINKÖPING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45702-2024</t>
        </is>
      </c>
      <c r="B10275" s="1" t="n">
        <v>45579</v>
      </c>
      <c r="C10275" s="1" t="n">
        <v>45710</v>
      </c>
      <c r="D10275" t="inlineStr">
        <is>
          <t>ÖSTERGÖTLANDS LÄN</t>
        </is>
      </c>
      <c r="E10275" t="inlineStr">
        <is>
          <t>KINDA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45806-2024</t>
        </is>
      </c>
      <c r="B10276" s="1" t="n">
        <v>45579</v>
      </c>
      <c r="C10276" s="1" t="n">
        <v>45710</v>
      </c>
      <c r="D10276" t="inlineStr">
        <is>
          <t>ÖSTERGÖTLANDS LÄN</t>
        </is>
      </c>
      <c r="E10276" t="inlineStr">
        <is>
          <t>LINKÖPING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45810-2024</t>
        </is>
      </c>
      <c r="B10277" s="1" t="n">
        <v>45579</v>
      </c>
      <c r="C10277" s="1" t="n">
        <v>45710</v>
      </c>
      <c r="D10277" t="inlineStr">
        <is>
          <t>ÖSTERGÖTLANDS LÄN</t>
        </is>
      </c>
      <c r="E10277" t="inlineStr">
        <is>
          <t>LINKÖPING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45818-2024</t>
        </is>
      </c>
      <c r="B10278" s="1" t="n">
        <v>45579</v>
      </c>
      <c r="C10278" s="1" t="n">
        <v>45710</v>
      </c>
      <c r="D10278" t="inlineStr">
        <is>
          <t>ÖSTERGÖTLANDS LÄN</t>
        </is>
      </c>
      <c r="E10278" t="inlineStr">
        <is>
          <t>LINKÖPING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45692-2024</t>
        </is>
      </c>
      <c r="B10279" s="1" t="n">
        <v>45579</v>
      </c>
      <c r="C10279" s="1" t="n">
        <v>45710</v>
      </c>
      <c r="D10279" t="inlineStr">
        <is>
          <t>ÖSTERGÖTLANDS LÄN</t>
        </is>
      </c>
      <c r="E10279" t="inlineStr">
        <is>
          <t>KINDA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45676-2024</t>
        </is>
      </c>
      <c r="B10280" s="1" t="n">
        <v>45579</v>
      </c>
      <c r="C10280" s="1" t="n">
        <v>45710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Kyrkan</t>
        </is>
      </c>
      <c r="G10280" t="n">
        <v>5.2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45861-2024</t>
        </is>
      </c>
      <c r="B10281" s="1" t="n">
        <v>45580</v>
      </c>
      <c r="C10281" s="1" t="n">
        <v>45710</v>
      </c>
      <c r="D10281" t="inlineStr">
        <is>
          <t>ÖSTERGÖTLANDS LÄN</t>
        </is>
      </c>
      <c r="E10281" t="inlineStr">
        <is>
          <t>KINDA</t>
        </is>
      </c>
      <c r="G10281" t="n">
        <v>1.4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45919-2024</t>
        </is>
      </c>
      <c r="B10282" s="1" t="n">
        <v>45580</v>
      </c>
      <c r="C10282" s="1" t="n">
        <v>45710</v>
      </c>
      <c r="D10282" t="inlineStr">
        <is>
          <t>ÖSTERGÖTLANDS LÄN</t>
        </is>
      </c>
      <c r="E10282" t="inlineStr">
        <is>
          <t>KINDA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45859-2024</t>
        </is>
      </c>
      <c r="B10283" s="1" t="n">
        <v>45580</v>
      </c>
      <c r="C10283" s="1" t="n">
        <v>45710</v>
      </c>
      <c r="D10283" t="inlineStr">
        <is>
          <t>ÖSTERGÖTLANDS LÄN</t>
        </is>
      </c>
      <c r="E10283" t="inlineStr">
        <is>
          <t>BOXHOLM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45875-2024</t>
        </is>
      </c>
      <c r="B10284" s="1" t="n">
        <v>45580</v>
      </c>
      <c r="C10284" s="1" t="n">
        <v>45710</v>
      </c>
      <c r="D10284" t="inlineStr">
        <is>
          <t>ÖSTERGÖTLANDS LÄN</t>
        </is>
      </c>
      <c r="E10284" t="inlineStr">
        <is>
          <t>YDRE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45973-2024</t>
        </is>
      </c>
      <c r="B10285" s="1" t="n">
        <v>45580</v>
      </c>
      <c r="C10285" s="1" t="n">
        <v>45710</v>
      </c>
      <c r="D10285" t="inlineStr">
        <is>
          <t>ÖSTERGÖTLANDS LÄN</t>
        </is>
      </c>
      <c r="E10285" t="inlineStr">
        <is>
          <t>ÖDESHÖG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46060-2024</t>
        </is>
      </c>
      <c r="B10286" s="1" t="n">
        <v>45581</v>
      </c>
      <c r="C10286" s="1" t="n">
        <v>45710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Övriga Aktiebolag</t>
        </is>
      </c>
      <c r="G10286" t="n">
        <v>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45932-2024</t>
        </is>
      </c>
      <c r="B10287" s="1" t="n">
        <v>45580</v>
      </c>
      <c r="C10287" s="1" t="n">
        <v>45710</v>
      </c>
      <c r="D10287" t="inlineStr">
        <is>
          <t>ÖSTERGÖTLANDS LÄN</t>
        </is>
      </c>
      <c r="E10287" t="inlineStr">
        <is>
          <t>SÖDERKÖPING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45918-2024</t>
        </is>
      </c>
      <c r="B10288" s="1" t="n">
        <v>45580</v>
      </c>
      <c r="C10288" s="1" t="n">
        <v>45710</v>
      </c>
      <c r="D10288" t="inlineStr">
        <is>
          <t>ÖSTERGÖTLANDS LÄN</t>
        </is>
      </c>
      <c r="E10288" t="inlineStr">
        <is>
          <t>MJÖLBY</t>
        </is>
      </c>
      <c r="G10288" t="n">
        <v>0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45922-2024</t>
        </is>
      </c>
      <c r="B10289" s="1" t="n">
        <v>45580</v>
      </c>
      <c r="C10289" s="1" t="n">
        <v>45710</v>
      </c>
      <c r="D10289" t="inlineStr">
        <is>
          <t>ÖSTERGÖTLANDS LÄN</t>
        </is>
      </c>
      <c r="E10289" t="inlineStr">
        <is>
          <t>NORRKÖPING</t>
        </is>
      </c>
      <c r="G10289" t="n">
        <v>2.7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45926-2024</t>
        </is>
      </c>
      <c r="B10290" s="1" t="n">
        <v>45580</v>
      </c>
      <c r="C10290" s="1" t="n">
        <v>45710</v>
      </c>
      <c r="D10290" t="inlineStr">
        <is>
          <t>ÖSTERGÖTLANDS LÄN</t>
        </is>
      </c>
      <c r="E10290" t="inlineStr">
        <is>
          <t>ÖDESHÖG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46160-2024</t>
        </is>
      </c>
      <c r="B10291" s="1" t="n">
        <v>45581</v>
      </c>
      <c r="C10291" s="1" t="n">
        <v>45710</v>
      </c>
      <c r="D10291" t="inlineStr">
        <is>
          <t>ÖSTERGÖTLANDS LÄN</t>
        </is>
      </c>
      <c r="E10291" t="inlineStr">
        <is>
          <t>ÅTVIDABERG</t>
        </is>
      </c>
      <c r="F10291" t="inlineStr">
        <is>
          <t>Övriga Aktiebolag</t>
        </is>
      </c>
      <c r="G10291" t="n">
        <v>5.4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46180-2024</t>
        </is>
      </c>
      <c r="B10292" s="1" t="n">
        <v>45581</v>
      </c>
      <c r="C10292" s="1" t="n">
        <v>45710</v>
      </c>
      <c r="D10292" t="inlineStr">
        <is>
          <t>ÖSTERGÖTLANDS LÄN</t>
        </is>
      </c>
      <c r="E10292" t="inlineStr">
        <is>
          <t>ÅTVIDABERG</t>
        </is>
      </c>
      <c r="F10292" t="inlineStr">
        <is>
          <t>Övriga Aktiebolag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46184-2024</t>
        </is>
      </c>
      <c r="B10293" s="1" t="n">
        <v>45581</v>
      </c>
      <c r="C10293" s="1" t="n">
        <v>45710</v>
      </c>
      <c r="D10293" t="inlineStr">
        <is>
          <t>ÖSTERGÖTLANDS LÄN</t>
        </is>
      </c>
      <c r="E10293" t="inlineStr">
        <is>
          <t>VALDEMARSVIK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46188-2024</t>
        </is>
      </c>
      <c r="B10294" s="1" t="n">
        <v>45581</v>
      </c>
      <c r="C10294" s="1" t="n">
        <v>45710</v>
      </c>
      <c r="D10294" t="inlineStr">
        <is>
          <t>ÖSTERGÖTLANDS LÄN</t>
        </is>
      </c>
      <c r="E10294" t="inlineStr">
        <is>
          <t>VALDEMARSVIK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46297-2024</t>
        </is>
      </c>
      <c r="B10295" s="1" t="n">
        <v>45581</v>
      </c>
      <c r="C10295" s="1" t="n">
        <v>45710</v>
      </c>
      <c r="D10295" t="inlineStr">
        <is>
          <t>ÖSTERGÖTLANDS LÄN</t>
        </is>
      </c>
      <c r="E10295" t="inlineStr">
        <is>
          <t>YDRE</t>
        </is>
      </c>
      <c r="G10295" t="n">
        <v>3.9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46191-2024</t>
        </is>
      </c>
      <c r="B10296" s="1" t="n">
        <v>45581</v>
      </c>
      <c r="C10296" s="1" t="n">
        <v>45710</v>
      </c>
      <c r="D10296" t="inlineStr">
        <is>
          <t>ÖSTERGÖTLANDS LÄN</t>
        </is>
      </c>
      <c r="E10296" t="inlineStr">
        <is>
          <t>ÅTVIDABERG</t>
        </is>
      </c>
      <c r="F10296" t="inlineStr">
        <is>
          <t>Övriga Aktiebolag</t>
        </is>
      </c>
      <c r="G10296" t="n">
        <v>3.1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46186-2024</t>
        </is>
      </c>
      <c r="B10297" s="1" t="n">
        <v>45581</v>
      </c>
      <c r="C10297" s="1" t="n">
        <v>45710</v>
      </c>
      <c r="D10297" t="inlineStr">
        <is>
          <t>ÖSTERGÖTLANDS LÄN</t>
        </is>
      </c>
      <c r="E10297" t="inlineStr">
        <is>
          <t>VALDEMARSVIK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46187-2024</t>
        </is>
      </c>
      <c r="B10298" s="1" t="n">
        <v>45581</v>
      </c>
      <c r="C10298" s="1" t="n">
        <v>45710</v>
      </c>
      <c r="D10298" t="inlineStr">
        <is>
          <t>ÖSTERGÖTLANDS LÄN</t>
        </is>
      </c>
      <c r="E10298" t="inlineStr">
        <is>
          <t>VALDEMARSVIK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46306-2024</t>
        </is>
      </c>
      <c r="B10299" s="1" t="n">
        <v>45581</v>
      </c>
      <c r="C10299" s="1" t="n">
        <v>45710</v>
      </c>
      <c r="D10299" t="inlineStr">
        <is>
          <t>ÖSTERGÖTLANDS LÄN</t>
        </is>
      </c>
      <c r="E10299" t="inlineStr">
        <is>
          <t>ÅTVIDABERG</t>
        </is>
      </c>
      <c r="F10299" t="inlineStr">
        <is>
          <t>Övriga Aktiebolag</t>
        </is>
      </c>
      <c r="G10299" t="n">
        <v>3.9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46307-2024</t>
        </is>
      </c>
      <c r="B10300" s="1" t="n">
        <v>45581</v>
      </c>
      <c r="C10300" s="1" t="n">
        <v>45710</v>
      </c>
      <c r="D10300" t="inlineStr">
        <is>
          <t>ÖSTERGÖTLANDS LÄN</t>
        </is>
      </c>
      <c r="E10300" t="inlineStr">
        <is>
          <t>NORRKÖPING</t>
        </is>
      </c>
      <c r="G10300" t="n">
        <v>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46248-2024</t>
        </is>
      </c>
      <c r="B10301" s="1" t="n">
        <v>45581</v>
      </c>
      <c r="C10301" s="1" t="n">
        <v>45710</v>
      </c>
      <c r="D10301" t="inlineStr">
        <is>
          <t>ÖSTERGÖTLANDS LÄN</t>
        </is>
      </c>
      <c r="E10301" t="inlineStr">
        <is>
          <t>MJÖLBY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46270-2024</t>
        </is>
      </c>
      <c r="B10302" s="1" t="n">
        <v>45581</v>
      </c>
      <c r="C10302" s="1" t="n">
        <v>45710</v>
      </c>
      <c r="D10302" t="inlineStr">
        <is>
          <t>ÖSTERGÖTLANDS LÄN</t>
        </is>
      </c>
      <c r="E10302" t="inlineStr">
        <is>
          <t>NORRKÖPING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46237-2024</t>
        </is>
      </c>
      <c r="B10303" s="1" t="n">
        <v>45581</v>
      </c>
      <c r="C10303" s="1" t="n">
        <v>45710</v>
      </c>
      <c r="D10303" t="inlineStr">
        <is>
          <t>ÖSTERGÖTLANDS LÄN</t>
        </is>
      </c>
      <c r="E10303" t="inlineStr">
        <is>
          <t>BOXHOLM</t>
        </is>
      </c>
      <c r="G10303" t="n">
        <v>6.2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46228-2024</t>
        </is>
      </c>
      <c r="B10304" s="1" t="n">
        <v>45581</v>
      </c>
      <c r="C10304" s="1" t="n">
        <v>45710</v>
      </c>
      <c r="D10304" t="inlineStr">
        <is>
          <t>ÖSTERGÖTLANDS LÄN</t>
        </is>
      </c>
      <c r="E10304" t="inlineStr">
        <is>
          <t>KINDA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46193-2024</t>
        </is>
      </c>
      <c r="B10305" s="1" t="n">
        <v>45581</v>
      </c>
      <c r="C10305" s="1" t="n">
        <v>45710</v>
      </c>
      <c r="D10305" t="inlineStr">
        <is>
          <t>ÖSTERGÖTLANDS LÄN</t>
        </is>
      </c>
      <c r="E10305" t="inlineStr">
        <is>
          <t>KINDA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46291-2024</t>
        </is>
      </c>
      <c r="B10306" s="1" t="n">
        <v>45581</v>
      </c>
      <c r="C10306" s="1" t="n">
        <v>45710</v>
      </c>
      <c r="D10306" t="inlineStr">
        <is>
          <t>ÖSTERGÖTLANDS LÄN</t>
        </is>
      </c>
      <c r="E10306" t="inlineStr">
        <is>
          <t>ÅTVIDABERG</t>
        </is>
      </c>
      <c r="G10306" t="n">
        <v>4.3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46308-2024</t>
        </is>
      </c>
      <c r="B10307" s="1" t="n">
        <v>45581</v>
      </c>
      <c r="C10307" s="1" t="n">
        <v>45710</v>
      </c>
      <c r="D10307" t="inlineStr">
        <is>
          <t>ÖSTERGÖTLANDS LÄN</t>
        </is>
      </c>
      <c r="E10307" t="inlineStr">
        <is>
          <t>ÅTVIDABERG</t>
        </is>
      </c>
      <c r="G10307" t="n">
        <v>2.3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46528-2024</t>
        </is>
      </c>
      <c r="B10308" s="1" t="n">
        <v>45582</v>
      </c>
      <c r="C10308" s="1" t="n">
        <v>45710</v>
      </c>
      <c r="D10308" t="inlineStr">
        <is>
          <t>ÖSTERGÖTLANDS LÄN</t>
        </is>
      </c>
      <c r="E10308" t="inlineStr">
        <is>
          <t>ÖDESHÖG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46536-2024</t>
        </is>
      </c>
      <c r="B10309" s="1" t="n">
        <v>45582</v>
      </c>
      <c r="C10309" s="1" t="n">
        <v>45710</v>
      </c>
      <c r="D10309" t="inlineStr">
        <is>
          <t>ÖSTERGÖTLANDS LÄN</t>
        </is>
      </c>
      <c r="E10309" t="inlineStr">
        <is>
          <t>ÖDESHÖG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46474-2024</t>
        </is>
      </c>
      <c r="B10310" s="1" t="n">
        <v>45582</v>
      </c>
      <c r="C10310" s="1" t="n">
        <v>45710</v>
      </c>
      <c r="D10310" t="inlineStr">
        <is>
          <t>ÖSTERGÖTLANDS LÄN</t>
        </is>
      </c>
      <c r="E10310" t="inlineStr">
        <is>
          <t>ÖDESHÖG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46576-2024</t>
        </is>
      </c>
      <c r="B10311" s="1" t="n">
        <v>45582</v>
      </c>
      <c r="C10311" s="1" t="n">
        <v>45710</v>
      </c>
      <c r="D10311" t="inlineStr">
        <is>
          <t>ÖSTERGÖTLANDS LÄN</t>
        </is>
      </c>
      <c r="E10311" t="inlineStr">
        <is>
          <t>LINKÖPING</t>
        </is>
      </c>
      <c r="G10311" t="n">
        <v>7.8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46406-2024</t>
        </is>
      </c>
      <c r="B10312" s="1" t="n">
        <v>45582</v>
      </c>
      <c r="C10312" s="1" t="n">
        <v>45710</v>
      </c>
      <c r="D10312" t="inlineStr">
        <is>
          <t>ÖSTERGÖTLANDS LÄN</t>
        </is>
      </c>
      <c r="E10312" t="inlineStr">
        <is>
          <t>MJÖLBY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46386-2024</t>
        </is>
      </c>
      <c r="B10313" s="1" t="n">
        <v>45582</v>
      </c>
      <c r="C10313" s="1" t="n">
        <v>45710</v>
      </c>
      <c r="D10313" t="inlineStr">
        <is>
          <t>ÖSTERGÖTLANDS LÄN</t>
        </is>
      </c>
      <c r="E10313" t="inlineStr">
        <is>
          <t>FINSPÅNG</t>
        </is>
      </c>
      <c r="G10313" t="n">
        <v>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46574-2024</t>
        </is>
      </c>
      <c r="B10314" s="1" t="n">
        <v>45582</v>
      </c>
      <c r="C10314" s="1" t="n">
        <v>45710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Allmännings- och besparingsskogar</t>
        </is>
      </c>
      <c r="G10314" t="n">
        <v>5.3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46610-2024</t>
        </is>
      </c>
      <c r="B10315" s="1" t="n">
        <v>45583</v>
      </c>
      <c r="C10315" s="1" t="n">
        <v>45710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Allmännings- och besparingsskogar</t>
        </is>
      </c>
      <c r="G10315" t="n">
        <v>2.7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46583-2024</t>
        </is>
      </c>
      <c r="B10316" s="1" t="n">
        <v>45582</v>
      </c>
      <c r="C10316" s="1" t="n">
        <v>45710</v>
      </c>
      <c r="D10316" t="inlineStr">
        <is>
          <t>ÖSTERGÖTLANDS LÄN</t>
        </is>
      </c>
      <c r="E10316" t="inlineStr">
        <is>
          <t>FINSPÅNG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46452-2024</t>
        </is>
      </c>
      <c r="B10317" s="1" t="n">
        <v>45582</v>
      </c>
      <c r="C10317" s="1" t="n">
        <v>45710</v>
      </c>
      <c r="D10317" t="inlineStr">
        <is>
          <t>ÖSTERGÖTLANDS LÄN</t>
        </is>
      </c>
      <c r="E10317" t="inlineStr">
        <is>
          <t>ÅTVIDABERG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46607-2024</t>
        </is>
      </c>
      <c r="B10318" s="1" t="n">
        <v>45582</v>
      </c>
      <c r="C10318" s="1" t="n">
        <v>45710</v>
      </c>
      <c r="D10318" t="inlineStr">
        <is>
          <t>ÖSTERGÖTLANDS LÄN</t>
        </is>
      </c>
      <c r="E10318" t="inlineStr">
        <is>
          <t>BOXHOLM</t>
        </is>
      </c>
      <c r="G10318" t="n">
        <v>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46704-2024</t>
        </is>
      </c>
      <c r="B10319" s="1" t="n">
        <v>45583</v>
      </c>
      <c r="C10319" s="1" t="n">
        <v>45710</v>
      </c>
      <c r="D10319" t="inlineStr">
        <is>
          <t>ÖSTERGÖTLANDS LÄN</t>
        </is>
      </c>
      <c r="E10319" t="inlineStr">
        <is>
          <t>KINDA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46712-2024</t>
        </is>
      </c>
      <c r="B10320" s="1" t="n">
        <v>45583</v>
      </c>
      <c r="C10320" s="1" t="n">
        <v>45710</v>
      </c>
      <c r="D10320" t="inlineStr">
        <is>
          <t>ÖSTERGÖTLANDS LÄN</t>
        </is>
      </c>
      <c r="E10320" t="inlineStr">
        <is>
          <t>KINDA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46808-2024</t>
        </is>
      </c>
      <c r="B10321" s="1" t="n">
        <v>45583</v>
      </c>
      <c r="C10321" s="1" t="n">
        <v>45710</v>
      </c>
      <c r="D10321" t="inlineStr">
        <is>
          <t>ÖSTERGÖTLANDS LÄN</t>
        </is>
      </c>
      <c r="E10321" t="inlineStr">
        <is>
          <t>NORRKÖPING</t>
        </is>
      </c>
      <c r="F10321" t="inlineStr">
        <is>
          <t>Holmen skog AB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46806-2024</t>
        </is>
      </c>
      <c r="B10322" s="1" t="n">
        <v>45583</v>
      </c>
      <c r="C10322" s="1" t="n">
        <v>45710</v>
      </c>
      <c r="D10322" t="inlineStr">
        <is>
          <t>ÖSTERGÖTLANDS LÄN</t>
        </is>
      </c>
      <c r="E10322" t="inlineStr">
        <is>
          <t>NORRKÖPING</t>
        </is>
      </c>
      <c r="F10322" t="inlineStr">
        <is>
          <t>Holmen skog AB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46699-2024</t>
        </is>
      </c>
      <c r="B10323" s="1" t="n">
        <v>45583</v>
      </c>
      <c r="C10323" s="1" t="n">
        <v>45710</v>
      </c>
      <c r="D10323" t="inlineStr">
        <is>
          <t>ÖSTERGÖTLANDS LÄN</t>
        </is>
      </c>
      <c r="E10323" t="inlineStr">
        <is>
          <t>SÖDERKÖPING</t>
        </is>
      </c>
      <c r="G10323" t="n">
        <v>3.2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46689-2024</t>
        </is>
      </c>
      <c r="B10324" s="1" t="n">
        <v>45583</v>
      </c>
      <c r="C10324" s="1" t="n">
        <v>45710</v>
      </c>
      <c r="D10324" t="inlineStr">
        <is>
          <t>ÖSTERGÖTLANDS LÄN</t>
        </is>
      </c>
      <c r="E10324" t="inlineStr">
        <is>
          <t>YDRE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46641-2024</t>
        </is>
      </c>
      <c r="B10325" s="1" t="n">
        <v>45583</v>
      </c>
      <c r="C10325" s="1" t="n">
        <v>45710</v>
      </c>
      <c r="D10325" t="inlineStr">
        <is>
          <t>ÖSTERGÖTLANDS LÄN</t>
        </is>
      </c>
      <c r="E10325" t="inlineStr">
        <is>
          <t>BOXHOLM</t>
        </is>
      </c>
      <c r="G10325" t="n">
        <v>1.1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46633-2024</t>
        </is>
      </c>
      <c r="B10326" s="1" t="n">
        <v>45583</v>
      </c>
      <c r="C10326" s="1" t="n">
        <v>45710</v>
      </c>
      <c r="D10326" t="inlineStr">
        <is>
          <t>ÖSTERGÖTLANDS LÄN</t>
        </is>
      </c>
      <c r="E10326" t="inlineStr">
        <is>
          <t>NORRKÖPING</t>
        </is>
      </c>
      <c r="F10326" t="inlineStr">
        <is>
          <t>Holmen skog AB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46867-2024</t>
        </is>
      </c>
      <c r="B10327" s="1" t="n">
        <v>45583</v>
      </c>
      <c r="C10327" s="1" t="n">
        <v>45710</v>
      </c>
      <c r="D10327" t="inlineStr">
        <is>
          <t>ÖSTERGÖTLANDS LÄN</t>
        </is>
      </c>
      <c r="E10327" t="inlineStr">
        <is>
          <t>ÅTVIDABERG</t>
        </is>
      </c>
      <c r="G10327" t="n">
        <v>5.6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46948-2024</t>
        </is>
      </c>
      <c r="B10328" s="1" t="n">
        <v>45585</v>
      </c>
      <c r="C10328" s="1" t="n">
        <v>45710</v>
      </c>
      <c r="D10328" t="inlineStr">
        <is>
          <t>ÖSTERGÖTLANDS LÄN</t>
        </is>
      </c>
      <c r="E10328" t="inlineStr">
        <is>
          <t>YDRE</t>
        </is>
      </c>
      <c r="F10328" t="inlineStr">
        <is>
          <t>Övriga Aktiebolag</t>
        </is>
      </c>
      <c r="G10328" t="n">
        <v>1.7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46934-2024</t>
        </is>
      </c>
      <c r="B10329" s="1" t="n">
        <v>45585</v>
      </c>
      <c r="C10329" s="1" t="n">
        <v>45710</v>
      </c>
      <c r="D10329" t="inlineStr">
        <is>
          <t>ÖSTERGÖTLANDS LÄN</t>
        </is>
      </c>
      <c r="E10329" t="inlineStr">
        <is>
          <t>ÖDESHÖG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47319-2024</t>
        </is>
      </c>
      <c r="B10330" s="1" t="n">
        <v>45586</v>
      </c>
      <c r="C10330" s="1" t="n">
        <v>45710</v>
      </c>
      <c r="D10330" t="inlineStr">
        <is>
          <t>ÖSTERGÖTLANDS LÄN</t>
        </is>
      </c>
      <c r="E10330" t="inlineStr">
        <is>
          <t>YDRE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47419-2024</t>
        </is>
      </c>
      <c r="B10331" s="1" t="n">
        <v>45586</v>
      </c>
      <c r="C10331" s="1" t="n">
        <v>45710</v>
      </c>
      <c r="D10331" t="inlineStr">
        <is>
          <t>ÖSTERGÖTLANDS LÄN</t>
        </is>
      </c>
      <c r="E10331" t="inlineStr">
        <is>
          <t>SÖDERKÖPING</t>
        </is>
      </c>
      <c r="G10331" t="n">
        <v>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47412-2024</t>
        </is>
      </c>
      <c r="B10332" s="1" t="n">
        <v>45586</v>
      </c>
      <c r="C10332" s="1" t="n">
        <v>45710</v>
      </c>
      <c r="D10332" t="inlineStr">
        <is>
          <t>ÖSTERGÖTLANDS LÄN</t>
        </is>
      </c>
      <c r="E10332" t="inlineStr">
        <is>
          <t>SÖDERKÖPING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47430-2024</t>
        </is>
      </c>
      <c r="B10333" s="1" t="n">
        <v>45586</v>
      </c>
      <c r="C10333" s="1" t="n">
        <v>45710</v>
      </c>
      <c r="D10333" t="inlineStr">
        <is>
          <t>ÖSTERGÖTLANDS LÄN</t>
        </is>
      </c>
      <c r="E10333" t="inlineStr">
        <is>
          <t>SÖDERKÖPING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47115-2024</t>
        </is>
      </c>
      <c r="B10334" s="1" t="n">
        <v>45586</v>
      </c>
      <c r="C10334" s="1" t="n">
        <v>45710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3.4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47400-2024</t>
        </is>
      </c>
      <c r="B10335" s="1" t="n">
        <v>45586</v>
      </c>
      <c r="C10335" s="1" t="n">
        <v>45710</v>
      </c>
      <c r="D10335" t="inlineStr">
        <is>
          <t>ÖSTERGÖTLANDS LÄN</t>
        </is>
      </c>
      <c r="E10335" t="inlineStr">
        <is>
          <t>SÖDERKÖPING</t>
        </is>
      </c>
      <c r="G10335" t="n">
        <v>5.8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47429-2024</t>
        </is>
      </c>
      <c r="B10336" s="1" t="n">
        <v>45586</v>
      </c>
      <c r="C10336" s="1" t="n">
        <v>45710</v>
      </c>
      <c r="D10336" t="inlineStr">
        <is>
          <t>ÖSTERGÖTLANDS LÄN</t>
        </is>
      </c>
      <c r="E10336" t="inlineStr">
        <is>
          <t>SÖDERKÖPING</t>
        </is>
      </c>
      <c r="G10336" t="n">
        <v>2.5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47383-2024</t>
        </is>
      </c>
      <c r="B10337" s="1" t="n">
        <v>45586</v>
      </c>
      <c r="C10337" s="1" t="n">
        <v>45710</v>
      </c>
      <c r="D10337" t="inlineStr">
        <is>
          <t>ÖSTERGÖTLANDS LÄN</t>
        </is>
      </c>
      <c r="E10337" t="inlineStr">
        <is>
          <t>SÖDERKÖPING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47428-2024</t>
        </is>
      </c>
      <c r="B10338" s="1" t="n">
        <v>45586</v>
      </c>
      <c r="C10338" s="1" t="n">
        <v>45710</v>
      </c>
      <c r="D10338" t="inlineStr">
        <is>
          <t>ÖSTERGÖTLANDS LÄN</t>
        </is>
      </c>
      <c r="E10338" t="inlineStr">
        <is>
          <t>SÖDERKÖPING</t>
        </is>
      </c>
      <c r="G10338" t="n">
        <v>7.8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47543-2024</t>
        </is>
      </c>
      <c r="B10339" s="1" t="n">
        <v>45587</v>
      </c>
      <c r="C10339" s="1" t="n">
        <v>45710</v>
      </c>
      <c r="D10339" t="inlineStr">
        <is>
          <t>ÖSTERGÖTLANDS LÄN</t>
        </is>
      </c>
      <c r="E10339" t="inlineStr">
        <is>
          <t>KINDA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47497-2024</t>
        </is>
      </c>
      <c r="B10340" s="1" t="n">
        <v>45587</v>
      </c>
      <c r="C10340" s="1" t="n">
        <v>45710</v>
      </c>
      <c r="D10340" t="inlineStr">
        <is>
          <t>ÖSTERGÖTLANDS LÄN</t>
        </is>
      </c>
      <c r="E10340" t="inlineStr">
        <is>
          <t>LINKÖPING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47484-2024</t>
        </is>
      </c>
      <c r="B10341" s="1" t="n">
        <v>45587</v>
      </c>
      <c r="C10341" s="1" t="n">
        <v>45710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Allmännings- och besparingsskogar</t>
        </is>
      </c>
      <c r="G10341" t="n">
        <v>4.9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47395-2024</t>
        </is>
      </c>
      <c r="B10342" s="1" t="n">
        <v>45587</v>
      </c>
      <c r="C10342" s="1" t="n">
        <v>45710</v>
      </c>
      <c r="D10342" t="inlineStr">
        <is>
          <t>ÖSTERGÖTLANDS LÄN</t>
        </is>
      </c>
      <c r="E10342" t="inlineStr">
        <is>
          <t>FINSPÅNG</t>
        </is>
      </c>
      <c r="G10342" t="n">
        <v>6.2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47416-2024</t>
        </is>
      </c>
      <c r="B10343" s="1" t="n">
        <v>45587</v>
      </c>
      <c r="C10343" s="1" t="n">
        <v>45710</v>
      </c>
      <c r="D10343" t="inlineStr">
        <is>
          <t>ÖSTERGÖTLANDS LÄN</t>
        </is>
      </c>
      <c r="E10343" t="inlineStr">
        <is>
          <t>FINSPÅNG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47361-2024</t>
        </is>
      </c>
      <c r="B10344" s="1" t="n">
        <v>45587</v>
      </c>
      <c r="C10344" s="1" t="n">
        <v>45710</v>
      </c>
      <c r="D10344" t="inlineStr">
        <is>
          <t>ÖSTERGÖTLANDS LÄN</t>
        </is>
      </c>
      <c r="E10344" t="inlineStr">
        <is>
          <t>YDRE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47311-2024</t>
        </is>
      </c>
      <c r="B10345" s="1" t="n">
        <v>45587</v>
      </c>
      <c r="C10345" s="1" t="n">
        <v>45710</v>
      </c>
      <c r="D10345" t="inlineStr">
        <is>
          <t>ÖSTERGÖTLANDS LÄN</t>
        </is>
      </c>
      <c r="E10345" t="inlineStr">
        <is>
          <t>YDRE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47337-2024</t>
        </is>
      </c>
      <c r="B10346" s="1" t="n">
        <v>45587</v>
      </c>
      <c r="C10346" s="1" t="n">
        <v>45710</v>
      </c>
      <c r="D10346" t="inlineStr">
        <is>
          <t>ÖSTERGÖTLANDS LÄN</t>
        </is>
      </c>
      <c r="E10346" t="inlineStr">
        <is>
          <t>YDRE</t>
        </is>
      </c>
      <c r="F10346" t="inlineStr">
        <is>
          <t>Kyrkan</t>
        </is>
      </c>
      <c r="G10346" t="n">
        <v>3.3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47613-2024</t>
        </is>
      </c>
      <c r="B10347" s="1" t="n">
        <v>45588</v>
      </c>
      <c r="C10347" s="1" t="n">
        <v>45710</v>
      </c>
      <c r="D10347" t="inlineStr">
        <is>
          <t>ÖSTERGÖTLANDS LÄN</t>
        </is>
      </c>
      <c r="E10347" t="inlineStr">
        <is>
          <t>FINSPÅNG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47309-2024</t>
        </is>
      </c>
      <c r="B10348" s="1" t="n">
        <v>45587</v>
      </c>
      <c r="C10348" s="1" t="n">
        <v>45710</v>
      </c>
      <c r="D10348" t="inlineStr">
        <is>
          <t>ÖSTERGÖTLANDS LÄN</t>
        </is>
      </c>
      <c r="E10348" t="inlineStr">
        <is>
          <t>MOTALA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47342-2024</t>
        </is>
      </c>
      <c r="B10349" s="1" t="n">
        <v>45587</v>
      </c>
      <c r="C10349" s="1" t="n">
        <v>45710</v>
      </c>
      <c r="D10349" t="inlineStr">
        <is>
          <t>ÖSTERGÖTLANDS LÄN</t>
        </is>
      </c>
      <c r="E10349" t="inlineStr">
        <is>
          <t>YDRE</t>
        </is>
      </c>
      <c r="F10349" t="inlineStr">
        <is>
          <t>Kyrkan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47338-2024</t>
        </is>
      </c>
      <c r="B10350" s="1" t="n">
        <v>45587</v>
      </c>
      <c r="C10350" s="1" t="n">
        <v>45710</v>
      </c>
      <c r="D10350" t="inlineStr">
        <is>
          <t>ÖSTERGÖTLANDS LÄN</t>
        </is>
      </c>
      <c r="E10350" t="inlineStr">
        <is>
          <t>YDRE</t>
        </is>
      </c>
      <c r="F10350" t="inlineStr">
        <is>
          <t>Kyrkan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47333-2024</t>
        </is>
      </c>
      <c r="B10351" s="1" t="n">
        <v>45587</v>
      </c>
      <c r="C10351" s="1" t="n">
        <v>45710</v>
      </c>
      <c r="D10351" t="inlineStr">
        <is>
          <t>ÖSTERGÖTLANDS LÄN</t>
        </is>
      </c>
      <c r="E10351" t="inlineStr">
        <is>
          <t>BOXHOLM</t>
        </is>
      </c>
      <c r="F10351" t="inlineStr">
        <is>
          <t>Allmännings- och besparingsskogar</t>
        </is>
      </c>
      <c r="G10351" t="n">
        <v>4.5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47724-2024</t>
        </is>
      </c>
      <c r="B10352" s="1" t="n">
        <v>45588</v>
      </c>
      <c r="C10352" s="1" t="n">
        <v>45710</v>
      </c>
      <c r="D10352" t="inlineStr">
        <is>
          <t>ÖSTERGÖTLANDS LÄN</t>
        </is>
      </c>
      <c r="E10352" t="inlineStr">
        <is>
          <t>KINDA</t>
        </is>
      </c>
      <c r="G10352" t="n">
        <v>2.6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47660-2024</t>
        </is>
      </c>
      <c r="B10353" s="1" t="n">
        <v>45588</v>
      </c>
      <c r="C10353" s="1" t="n">
        <v>45710</v>
      </c>
      <c r="D10353" t="inlineStr">
        <is>
          <t>ÖSTERGÖTLANDS LÄN</t>
        </is>
      </c>
      <c r="E10353" t="inlineStr">
        <is>
          <t>VALDEMARSVIK</t>
        </is>
      </c>
      <c r="G10353" t="n">
        <v>3.8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47679-2024</t>
        </is>
      </c>
      <c r="B10354" s="1" t="n">
        <v>45588</v>
      </c>
      <c r="C10354" s="1" t="n">
        <v>45710</v>
      </c>
      <c r="D10354" t="inlineStr">
        <is>
          <t>ÖSTERGÖTLANDS LÄN</t>
        </is>
      </c>
      <c r="E10354" t="inlineStr">
        <is>
          <t>VALDEMARSVIK</t>
        </is>
      </c>
      <c r="G10354" t="n">
        <v>5.5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47669-2024</t>
        </is>
      </c>
      <c r="B10355" s="1" t="n">
        <v>45588</v>
      </c>
      <c r="C10355" s="1" t="n">
        <v>45710</v>
      </c>
      <c r="D10355" t="inlineStr">
        <is>
          <t>ÖSTERGÖTLANDS LÄN</t>
        </is>
      </c>
      <c r="E10355" t="inlineStr">
        <is>
          <t>KINDA</t>
        </is>
      </c>
      <c r="F10355" t="inlineStr">
        <is>
          <t>Övriga Aktiebolag</t>
        </is>
      </c>
      <c r="G10355" t="n">
        <v>4.9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47705-2024</t>
        </is>
      </c>
      <c r="B10356" s="1" t="n">
        <v>45588</v>
      </c>
      <c r="C10356" s="1" t="n">
        <v>45710</v>
      </c>
      <c r="D10356" t="inlineStr">
        <is>
          <t>ÖSTERGÖTLANDS LÄN</t>
        </is>
      </c>
      <c r="E10356" t="inlineStr">
        <is>
          <t>KINDA</t>
        </is>
      </c>
      <c r="F10356" t="inlineStr">
        <is>
          <t>Övriga Aktiebolag</t>
        </is>
      </c>
      <c r="G10356" t="n">
        <v>5.4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47881-2024</t>
        </is>
      </c>
      <c r="B10357" s="1" t="n">
        <v>45588</v>
      </c>
      <c r="C10357" s="1" t="n">
        <v>45710</v>
      </c>
      <c r="D10357" t="inlineStr">
        <is>
          <t>ÖSTERGÖTLANDS LÄN</t>
        </is>
      </c>
      <c r="E10357" t="inlineStr">
        <is>
          <t>NORRKÖPING</t>
        </is>
      </c>
      <c r="G10357" t="n">
        <v>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47780-2024</t>
        </is>
      </c>
      <c r="B10358" s="1" t="n">
        <v>45588</v>
      </c>
      <c r="C10358" s="1" t="n">
        <v>45710</v>
      </c>
      <c r="D10358" t="inlineStr">
        <is>
          <t>ÖSTERGÖTLANDS LÄN</t>
        </is>
      </c>
      <c r="E10358" t="inlineStr">
        <is>
          <t>KINDA</t>
        </is>
      </c>
      <c r="G10358" t="n">
        <v>5.2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48058-2024</t>
        </is>
      </c>
      <c r="B10359" s="1" t="n">
        <v>45589</v>
      </c>
      <c r="C10359" s="1" t="n">
        <v>45710</v>
      </c>
      <c r="D10359" t="inlineStr">
        <is>
          <t>ÖSTERGÖTLANDS LÄN</t>
        </is>
      </c>
      <c r="E10359" t="inlineStr">
        <is>
          <t>MOTALA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48158-2024</t>
        </is>
      </c>
      <c r="B10360" s="1" t="n">
        <v>45589</v>
      </c>
      <c r="C10360" s="1" t="n">
        <v>45710</v>
      </c>
      <c r="D10360" t="inlineStr">
        <is>
          <t>ÖSTERGÖTLANDS LÄN</t>
        </is>
      </c>
      <c r="E10360" t="inlineStr">
        <is>
          <t>VALDEMARSVIK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48014-2024</t>
        </is>
      </c>
      <c r="B10361" s="1" t="n">
        <v>45589</v>
      </c>
      <c r="C10361" s="1" t="n">
        <v>45710</v>
      </c>
      <c r="D10361" t="inlineStr">
        <is>
          <t>ÖSTERGÖTLANDS LÄN</t>
        </is>
      </c>
      <c r="E10361" t="inlineStr">
        <is>
          <t>KINDA</t>
        </is>
      </c>
      <c r="G10361" t="n">
        <v>4.2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47905-2024</t>
        </is>
      </c>
      <c r="B10362" s="1" t="n">
        <v>45589</v>
      </c>
      <c r="C10362" s="1" t="n">
        <v>45710</v>
      </c>
      <c r="D10362" t="inlineStr">
        <is>
          <t>ÖSTERGÖTLANDS LÄN</t>
        </is>
      </c>
      <c r="E10362" t="inlineStr">
        <is>
          <t>MOTALA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47993-2024</t>
        </is>
      </c>
      <c r="B10363" s="1" t="n">
        <v>45589</v>
      </c>
      <c r="C10363" s="1" t="n">
        <v>45710</v>
      </c>
      <c r="D10363" t="inlineStr">
        <is>
          <t>ÖSTERGÖTLANDS LÄN</t>
        </is>
      </c>
      <c r="E10363" t="inlineStr">
        <is>
          <t>ÖDESHÖG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47964-2024</t>
        </is>
      </c>
      <c r="B10364" s="1" t="n">
        <v>45589</v>
      </c>
      <c r="C10364" s="1" t="n">
        <v>45710</v>
      </c>
      <c r="D10364" t="inlineStr">
        <is>
          <t>ÖSTERGÖTLANDS LÄN</t>
        </is>
      </c>
      <c r="E10364" t="inlineStr">
        <is>
          <t>MOTALA</t>
        </is>
      </c>
      <c r="G10364" t="n">
        <v>2.9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48239-2024</t>
        </is>
      </c>
      <c r="B10365" s="1" t="n">
        <v>45590</v>
      </c>
      <c r="C10365" s="1" t="n">
        <v>45710</v>
      </c>
      <c r="D10365" t="inlineStr">
        <is>
          <t>ÖSTERGÖTLANDS LÄN</t>
        </is>
      </c>
      <c r="E10365" t="inlineStr">
        <is>
          <t>VALDEMARSVIK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48247-2024</t>
        </is>
      </c>
      <c r="B10366" s="1" t="n">
        <v>45590</v>
      </c>
      <c r="C10366" s="1" t="n">
        <v>45710</v>
      </c>
      <c r="D10366" t="inlineStr">
        <is>
          <t>ÖSTERGÖTLANDS LÄN</t>
        </is>
      </c>
      <c r="E10366" t="inlineStr">
        <is>
          <t>VALDEMARSVIK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48292-2024</t>
        </is>
      </c>
      <c r="B10367" s="1" t="n">
        <v>45590</v>
      </c>
      <c r="C10367" s="1" t="n">
        <v>45710</v>
      </c>
      <c r="D10367" t="inlineStr">
        <is>
          <t>ÖSTERGÖTLANDS LÄN</t>
        </is>
      </c>
      <c r="E10367" t="inlineStr">
        <is>
          <t>MJÖLBY</t>
        </is>
      </c>
      <c r="G10367" t="n">
        <v>5.2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48392-2024</t>
        </is>
      </c>
      <c r="B10368" s="1" t="n">
        <v>45590</v>
      </c>
      <c r="C10368" s="1" t="n">
        <v>45710</v>
      </c>
      <c r="D10368" t="inlineStr">
        <is>
          <t>ÖSTERGÖTLANDS LÄN</t>
        </is>
      </c>
      <c r="E10368" t="inlineStr">
        <is>
          <t>MOTALA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48389-2024</t>
        </is>
      </c>
      <c r="B10369" s="1" t="n">
        <v>45590</v>
      </c>
      <c r="C10369" s="1" t="n">
        <v>45710</v>
      </c>
      <c r="D10369" t="inlineStr">
        <is>
          <t>ÖSTERGÖTLANDS LÄN</t>
        </is>
      </c>
      <c r="E10369" t="inlineStr">
        <is>
          <t>LINKÖPING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48386-2024</t>
        </is>
      </c>
      <c r="B10370" s="1" t="n">
        <v>45590</v>
      </c>
      <c r="C10370" s="1" t="n">
        <v>45710</v>
      </c>
      <c r="D10370" t="inlineStr">
        <is>
          <t>ÖSTERGÖTLANDS LÄN</t>
        </is>
      </c>
      <c r="E10370" t="inlineStr">
        <is>
          <t>KINDA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48452-2024</t>
        </is>
      </c>
      <c r="B10371" s="1" t="n">
        <v>45590</v>
      </c>
      <c r="C10371" s="1" t="n">
        <v>45710</v>
      </c>
      <c r="D10371" t="inlineStr">
        <is>
          <t>ÖSTERGÖTLANDS LÄN</t>
        </is>
      </c>
      <c r="E10371" t="inlineStr">
        <is>
          <t>YDRE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48243-2024</t>
        </is>
      </c>
      <c r="B10372" s="1" t="n">
        <v>45590</v>
      </c>
      <c r="C10372" s="1" t="n">
        <v>45710</v>
      </c>
      <c r="D10372" t="inlineStr">
        <is>
          <t>ÖSTERGÖTLANDS LÄN</t>
        </is>
      </c>
      <c r="E10372" t="inlineStr">
        <is>
          <t>VALDEMARSVIK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48466-2024</t>
        </is>
      </c>
      <c r="B10373" s="1" t="n">
        <v>45591</v>
      </c>
      <c r="C10373" s="1" t="n">
        <v>45710</v>
      </c>
      <c r="D10373" t="inlineStr">
        <is>
          <t>ÖSTERGÖTLANDS LÄN</t>
        </is>
      </c>
      <c r="E10373" t="inlineStr">
        <is>
          <t>KINDA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48475-2024</t>
        </is>
      </c>
      <c r="B10374" s="1" t="n">
        <v>45591</v>
      </c>
      <c r="C10374" s="1" t="n">
        <v>45710</v>
      </c>
      <c r="D10374" t="inlineStr">
        <is>
          <t>ÖSTERGÖTLANDS LÄN</t>
        </is>
      </c>
      <c r="E10374" t="inlineStr">
        <is>
          <t>BOXHOLM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48473-2024</t>
        </is>
      </c>
      <c r="B10375" s="1" t="n">
        <v>45591</v>
      </c>
      <c r="C10375" s="1" t="n">
        <v>45710</v>
      </c>
      <c r="D10375" t="inlineStr">
        <is>
          <t>ÖSTERGÖTLANDS LÄN</t>
        </is>
      </c>
      <c r="E10375" t="inlineStr">
        <is>
          <t>FINSPÅNG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48497-2024</t>
        </is>
      </c>
      <c r="B10376" s="1" t="n">
        <v>45592</v>
      </c>
      <c r="C10376" s="1" t="n">
        <v>45710</v>
      </c>
      <c r="D10376" t="inlineStr">
        <is>
          <t>ÖSTERGÖTLANDS LÄN</t>
        </is>
      </c>
      <c r="E10376" t="inlineStr">
        <is>
          <t>KINDA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48691-2024</t>
        </is>
      </c>
      <c r="B10377" s="1" t="n">
        <v>45593</v>
      </c>
      <c r="C10377" s="1" t="n">
        <v>45710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Övriga Aktiebolag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48699-2024</t>
        </is>
      </c>
      <c r="B10378" s="1" t="n">
        <v>45593</v>
      </c>
      <c r="C10378" s="1" t="n">
        <v>45710</v>
      </c>
      <c r="D10378" t="inlineStr">
        <is>
          <t>ÖSTERGÖTLANDS LÄN</t>
        </is>
      </c>
      <c r="E10378" t="inlineStr">
        <is>
          <t>LINKÖPING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48703-2024</t>
        </is>
      </c>
      <c r="B10379" s="1" t="n">
        <v>45593</v>
      </c>
      <c r="C10379" s="1" t="n">
        <v>45710</v>
      </c>
      <c r="D10379" t="inlineStr">
        <is>
          <t>ÖSTERGÖTLANDS LÄN</t>
        </is>
      </c>
      <c r="E10379" t="inlineStr">
        <is>
          <t>MOTALA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48624-2024</t>
        </is>
      </c>
      <c r="B10380" s="1" t="n">
        <v>45593</v>
      </c>
      <c r="C10380" s="1" t="n">
        <v>45710</v>
      </c>
      <c r="D10380" t="inlineStr">
        <is>
          <t>ÖSTERGÖTLANDS LÄN</t>
        </is>
      </c>
      <c r="E10380" t="inlineStr">
        <is>
          <t>KINDA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48676-2024</t>
        </is>
      </c>
      <c r="B10381" s="1" t="n">
        <v>45593</v>
      </c>
      <c r="C10381" s="1" t="n">
        <v>45710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4.5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48684-2024</t>
        </is>
      </c>
      <c r="B10382" s="1" t="n">
        <v>45593</v>
      </c>
      <c r="C10382" s="1" t="n">
        <v>45710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48740-2024</t>
        </is>
      </c>
      <c r="B10383" s="1" t="n">
        <v>45593</v>
      </c>
      <c r="C10383" s="1" t="n">
        <v>45710</v>
      </c>
      <c r="D10383" t="inlineStr">
        <is>
          <t>ÖSTERGÖTLANDS LÄN</t>
        </is>
      </c>
      <c r="E10383" t="inlineStr">
        <is>
          <t>LINKÖPING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48572-2024</t>
        </is>
      </c>
      <c r="B10384" s="1" t="n">
        <v>45593</v>
      </c>
      <c r="C10384" s="1" t="n">
        <v>45710</v>
      </c>
      <c r="D10384" t="inlineStr">
        <is>
          <t>ÖSTERGÖTLANDS LÄN</t>
        </is>
      </c>
      <c r="E10384" t="inlineStr">
        <is>
          <t>KINDA</t>
        </is>
      </c>
      <c r="G10384" t="n">
        <v>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48633-2024</t>
        </is>
      </c>
      <c r="B10385" s="1" t="n">
        <v>45593</v>
      </c>
      <c r="C10385" s="1" t="n">
        <v>45710</v>
      </c>
      <c r="D10385" t="inlineStr">
        <is>
          <t>ÖSTERGÖTLANDS LÄN</t>
        </is>
      </c>
      <c r="E10385" t="inlineStr">
        <is>
          <t>YDRE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48665-2024</t>
        </is>
      </c>
      <c r="B10386" s="1" t="n">
        <v>45593</v>
      </c>
      <c r="C10386" s="1" t="n">
        <v>45710</v>
      </c>
      <c r="D10386" t="inlineStr">
        <is>
          <t>ÖSTERGÖTLANDS LÄN</t>
        </is>
      </c>
      <c r="E10386" t="inlineStr">
        <is>
          <t>MOTALA</t>
        </is>
      </c>
      <c r="F10386" t="inlineStr">
        <is>
          <t>Sveaskog</t>
        </is>
      </c>
      <c r="G10386" t="n">
        <v>1.3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48685-2024</t>
        </is>
      </c>
      <c r="B10387" s="1" t="n">
        <v>45593</v>
      </c>
      <c r="C10387" s="1" t="n">
        <v>45710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5.2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48544-2024</t>
        </is>
      </c>
      <c r="B10388" s="1" t="n">
        <v>45593</v>
      </c>
      <c r="C10388" s="1" t="n">
        <v>45710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48520-2024</t>
        </is>
      </c>
      <c r="B10389" s="1" t="n">
        <v>45593</v>
      </c>
      <c r="C10389" s="1" t="n">
        <v>45710</v>
      </c>
      <c r="D10389" t="inlineStr">
        <is>
          <t>ÖSTERGÖTLANDS LÄN</t>
        </is>
      </c>
      <c r="E10389" t="inlineStr">
        <is>
          <t>KINDA</t>
        </is>
      </c>
      <c r="G10389" t="n">
        <v>4.6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48749-2024</t>
        </is>
      </c>
      <c r="B10390" s="1" t="n">
        <v>45593</v>
      </c>
      <c r="C10390" s="1" t="n">
        <v>45710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Holmen skog AB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48758-2024</t>
        </is>
      </c>
      <c r="B10391" s="1" t="n">
        <v>45593</v>
      </c>
      <c r="C10391" s="1" t="n">
        <v>45710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48794-2024</t>
        </is>
      </c>
      <c r="B10392" s="1" t="n">
        <v>45593</v>
      </c>
      <c r="C10392" s="1" t="n">
        <v>45710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48802-2024</t>
        </is>
      </c>
      <c r="B10393" s="1" t="n">
        <v>45593</v>
      </c>
      <c r="C10393" s="1" t="n">
        <v>45710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48545-2024</t>
        </is>
      </c>
      <c r="B10394" s="1" t="n">
        <v>45593</v>
      </c>
      <c r="C10394" s="1" t="n">
        <v>45710</v>
      </c>
      <c r="D10394" t="inlineStr">
        <is>
          <t>ÖSTERGÖTLANDS LÄN</t>
        </is>
      </c>
      <c r="E10394" t="inlineStr">
        <is>
          <t>MOTALA</t>
        </is>
      </c>
      <c r="F10394" t="inlineStr">
        <is>
          <t>Sveaskog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48626-2024</t>
        </is>
      </c>
      <c r="B10395" s="1" t="n">
        <v>45593</v>
      </c>
      <c r="C10395" s="1" t="n">
        <v>45710</v>
      </c>
      <c r="D10395" t="inlineStr">
        <is>
          <t>ÖSTERGÖTLANDS LÄN</t>
        </is>
      </c>
      <c r="E10395" t="inlineStr">
        <is>
          <t>YDRE</t>
        </is>
      </c>
      <c r="G10395" t="n">
        <v>6.1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48658-2024</t>
        </is>
      </c>
      <c r="B10396" s="1" t="n">
        <v>45593</v>
      </c>
      <c r="C10396" s="1" t="n">
        <v>45710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Övriga Aktiebolag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48662-2024</t>
        </is>
      </c>
      <c r="B10397" s="1" t="n">
        <v>45593</v>
      </c>
      <c r="C10397" s="1" t="n">
        <v>45710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48742-2024</t>
        </is>
      </c>
      <c r="B10398" s="1" t="n">
        <v>45593</v>
      </c>
      <c r="C10398" s="1" t="n">
        <v>45710</v>
      </c>
      <c r="D10398" t="inlineStr">
        <is>
          <t>ÖSTERGÖTLANDS LÄN</t>
        </is>
      </c>
      <c r="E10398" t="inlineStr">
        <is>
          <t>LINKÖPING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48746-2024</t>
        </is>
      </c>
      <c r="B10399" s="1" t="n">
        <v>45593</v>
      </c>
      <c r="C10399" s="1" t="n">
        <v>45710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Holmen skog AB</t>
        </is>
      </c>
      <c r="G10399" t="n">
        <v>5.6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48767-2024</t>
        </is>
      </c>
      <c r="B10400" s="1" t="n">
        <v>45593</v>
      </c>
      <c r="C10400" s="1" t="n">
        <v>45710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Holmen skog AB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48811-2024</t>
        </is>
      </c>
      <c r="B10401" s="1" t="n">
        <v>45593</v>
      </c>
      <c r="C10401" s="1" t="n">
        <v>45710</v>
      </c>
      <c r="D10401" t="inlineStr">
        <is>
          <t>ÖSTERGÖTLANDS LÄN</t>
        </is>
      </c>
      <c r="E10401" t="inlineStr">
        <is>
          <t>KINDA</t>
        </is>
      </c>
      <c r="G10401" t="n">
        <v>1.2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48859-2024</t>
        </is>
      </c>
      <c r="B10402" s="1" t="n">
        <v>45593</v>
      </c>
      <c r="C10402" s="1" t="n">
        <v>45710</v>
      </c>
      <c r="D10402" t="inlineStr">
        <is>
          <t>ÖSTERGÖTLANDS LÄN</t>
        </is>
      </c>
      <c r="E10402" t="inlineStr">
        <is>
          <t>BOXHOLM</t>
        </is>
      </c>
      <c r="G10402" t="n">
        <v>2.5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48652-2024</t>
        </is>
      </c>
      <c r="B10403" s="1" t="n">
        <v>45593</v>
      </c>
      <c r="C10403" s="1" t="n">
        <v>45710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Övriga Aktiebolag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48679-2024</t>
        </is>
      </c>
      <c r="B10404" s="1" t="n">
        <v>45593</v>
      </c>
      <c r="C10404" s="1" t="n">
        <v>45710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Övriga Aktiebolag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48671-2024</t>
        </is>
      </c>
      <c r="B10405" s="1" t="n">
        <v>45593</v>
      </c>
      <c r="C10405" s="1" t="n">
        <v>45710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48841-2024</t>
        </is>
      </c>
      <c r="B10406" s="1" t="n">
        <v>45593</v>
      </c>
      <c r="C10406" s="1" t="n">
        <v>45710</v>
      </c>
      <c r="D10406" t="inlineStr">
        <is>
          <t>ÖSTERGÖTLANDS LÄN</t>
        </is>
      </c>
      <c r="E10406" t="inlineStr">
        <is>
          <t>LINKÖPING</t>
        </is>
      </c>
      <c r="G10406" t="n">
        <v>7.4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48550-2024</t>
        </is>
      </c>
      <c r="B10407" s="1" t="n">
        <v>45593</v>
      </c>
      <c r="C10407" s="1" t="n">
        <v>45710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48546-2024</t>
        </is>
      </c>
      <c r="B10408" s="1" t="n">
        <v>45593</v>
      </c>
      <c r="C10408" s="1" t="n">
        <v>45710</v>
      </c>
      <c r="D10408" t="inlineStr">
        <is>
          <t>ÖSTERGÖTLANDS LÄN</t>
        </is>
      </c>
      <c r="E10408" t="inlineStr">
        <is>
          <t>YDRE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48873-2024</t>
        </is>
      </c>
      <c r="B10409" s="1" t="n">
        <v>45594</v>
      </c>
      <c r="C10409" s="1" t="n">
        <v>45710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48887-2024</t>
        </is>
      </c>
      <c r="B10410" s="1" t="n">
        <v>45594</v>
      </c>
      <c r="C10410" s="1" t="n">
        <v>45710</v>
      </c>
      <c r="D10410" t="inlineStr">
        <is>
          <t>ÖSTERGÖTLANDS LÄN</t>
        </is>
      </c>
      <c r="E10410" t="inlineStr">
        <is>
          <t>LINKÖPING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49218-2024</t>
        </is>
      </c>
      <c r="B10411" s="1" t="n">
        <v>45595</v>
      </c>
      <c r="C10411" s="1" t="n">
        <v>45710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Holmen skog AB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49243-2024</t>
        </is>
      </c>
      <c r="B10412" s="1" t="n">
        <v>45595</v>
      </c>
      <c r="C10412" s="1" t="n">
        <v>45710</v>
      </c>
      <c r="D10412" t="inlineStr">
        <is>
          <t>ÖSTERGÖTLANDS LÄN</t>
        </is>
      </c>
      <c r="E10412" t="inlineStr">
        <is>
          <t>NORRKÖPING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49251-2024</t>
        </is>
      </c>
      <c r="B10413" s="1" t="n">
        <v>45595</v>
      </c>
      <c r="C10413" s="1" t="n">
        <v>45710</v>
      </c>
      <c r="D10413" t="inlineStr">
        <is>
          <t>ÖSTERGÖTLANDS LÄN</t>
        </is>
      </c>
      <c r="E10413" t="inlineStr">
        <is>
          <t>SÖDERKÖPING</t>
        </is>
      </c>
      <c r="G10413" t="n">
        <v>0.7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49317-2024</t>
        </is>
      </c>
      <c r="B10414" s="1" t="n">
        <v>45595</v>
      </c>
      <c r="C10414" s="1" t="n">
        <v>45710</v>
      </c>
      <c r="D10414" t="inlineStr">
        <is>
          <t>ÖSTERGÖTLANDS LÄN</t>
        </is>
      </c>
      <c r="E10414" t="inlineStr">
        <is>
          <t>LINKÖPING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49337-2024</t>
        </is>
      </c>
      <c r="B10415" s="1" t="n">
        <v>45595</v>
      </c>
      <c r="C10415" s="1" t="n">
        <v>45710</v>
      </c>
      <c r="D10415" t="inlineStr">
        <is>
          <t>ÖSTERGÖTLANDS LÄN</t>
        </is>
      </c>
      <c r="E10415" t="inlineStr">
        <is>
          <t>KINDA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49330-2024</t>
        </is>
      </c>
      <c r="B10416" s="1" t="n">
        <v>45595</v>
      </c>
      <c r="C10416" s="1" t="n">
        <v>45710</v>
      </c>
      <c r="D10416" t="inlineStr">
        <is>
          <t>ÖSTERGÖTLANDS LÄN</t>
        </is>
      </c>
      <c r="E10416" t="inlineStr">
        <is>
          <t>ÖDESHÖG</t>
        </is>
      </c>
      <c r="G10416" t="n">
        <v>3.8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49244-2024</t>
        </is>
      </c>
      <c r="B10417" s="1" t="n">
        <v>45595</v>
      </c>
      <c r="C10417" s="1" t="n">
        <v>45710</v>
      </c>
      <c r="D10417" t="inlineStr">
        <is>
          <t>ÖSTERGÖTLANDS LÄN</t>
        </is>
      </c>
      <c r="E10417" t="inlineStr">
        <is>
          <t>NORRKÖPING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49295-2024</t>
        </is>
      </c>
      <c r="B10418" s="1" t="n">
        <v>45595</v>
      </c>
      <c r="C10418" s="1" t="n">
        <v>45710</v>
      </c>
      <c r="D10418" t="inlineStr">
        <is>
          <t>ÖSTERGÖTLANDS LÄN</t>
        </is>
      </c>
      <c r="E10418" t="inlineStr">
        <is>
          <t>NORRKÖPING</t>
        </is>
      </c>
      <c r="G10418" t="n">
        <v>3.8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49336-2024</t>
        </is>
      </c>
      <c r="B10419" s="1" t="n">
        <v>45595</v>
      </c>
      <c r="C10419" s="1" t="n">
        <v>45710</v>
      </c>
      <c r="D10419" t="inlineStr">
        <is>
          <t>ÖSTERGÖTLANDS LÄN</t>
        </is>
      </c>
      <c r="E10419" t="inlineStr">
        <is>
          <t>KINDA</t>
        </is>
      </c>
      <c r="G10419" t="n">
        <v>4.3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49242-2024</t>
        </is>
      </c>
      <c r="B10420" s="1" t="n">
        <v>45595</v>
      </c>
      <c r="C10420" s="1" t="n">
        <v>45710</v>
      </c>
      <c r="D10420" t="inlineStr">
        <is>
          <t>ÖSTERGÖTLANDS LÄN</t>
        </is>
      </c>
      <c r="E10420" t="inlineStr">
        <is>
          <t>NORRKÖPING</t>
        </is>
      </c>
      <c r="G10420" t="n">
        <v>15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49441-2024</t>
        </is>
      </c>
      <c r="B10421" s="1" t="n">
        <v>45595</v>
      </c>
      <c r="C10421" s="1" t="n">
        <v>45710</v>
      </c>
      <c r="D10421" t="inlineStr">
        <is>
          <t>ÖSTERGÖTLANDS LÄN</t>
        </is>
      </c>
      <c r="E10421" t="inlineStr">
        <is>
          <t>YDRE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49294-2024</t>
        </is>
      </c>
      <c r="B10422" s="1" t="n">
        <v>45595</v>
      </c>
      <c r="C10422" s="1" t="n">
        <v>45710</v>
      </c>
      <c r="D10422" t="inlineStr">
        <is>
          <t>ÖSTERGÖTLANDS LÄN</t>
        </is>
      </c>
      <c r="E10422" t="inlineStr">
        <is>
          <t>VALDEMARSVIK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49677-2024</t>
        </is>
      </c>
      <c r="B10423" s="1" t="n">
        <v>45596</v>
      </c>
      <c r="C10423" s="1" t="n">
        <v>45710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Kyrkan</t>
        </is>
      </c>
      <c r="G10423" t="n">
        <v>6.6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49693-2024</t>
        </is>
      </c>
      <c r="B10424" s="1" t="n">
        <v>45596</v>
      </c>
      <c r="C10424" s="1" t="n">
        <v>45710</v>
      </c>
      <c r="D10424" t="inlineStr">
        <is>
          <t>ÖSTERGÖTLANDS LÄN</t>
        </is>
      </c>
      <c r="E10424" t="inlineStr">
        <is>
          <t>YDRE</t>
        </is>
      </c>
      <c r="G10424" t="n">
        <v>8.800000000000001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49701-2024</t>
        </is>
      </c>
      <c r="B10425" s="1" t="n">
        <v>45596</v>
      </c>
      <c r="C10425" s="1" t="n">
        <v>45710</v>
      </c>
      <c r="D10425" t="inlineStr">
        <is>
          <t>ÖSTERGÖTLANDS LÄN</t>
        </is>
      </c>
      <c r="E10425" t="inlineStr">
        <is>
          <t>ÖDESHÖG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49694-2024</t>
        </is>
      </c>
      <c r="B10426" s="1" t="n">
        <v>45596</v>
      </c>
      <c r="C10426" s="1" t="n">
        <v>45710</v>
      </c>
      <c r="D10426" t="inlineStr">
        <is>
          <t>ÖSTERGÖTLANDS LÄN</t>
        </is>
      </c>
      <c r="E10426" t="inlineStr">
        <is>
          <t>YDRE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49698-2024</t>
        </is>
      </c>
      <c r="B10427" s="1" t="n">
        <v>45596</v>
      </c>
      <c r="C10427" s="1" t="n">
        <v>45710</v>
      </c>
      <c r="D10427" t="inlineStr">
        <is>
          <t>ÖSTERGÖTLANDS LÄN</t>
        </is>
      </c>
      <c r="E10427" t="inlineStr">
        <is>
          <t>YDRE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49695-2024</t>
        </is>
      </c>
      <c r="B10428" s="1" t="n">
        <v>45596</v>
      </c>
      <c r="C10428" s="1" t="n">
        <v>45710</v>
      </c>
      <c r="D10428" t="inlineStr">
        <is>
          <t>ÖSTERGÖTLANDS LÄN</t>
        </is>
      </c>
      <c r="E10428" t="inlineStr">
        <is>
          <t>YDRE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49699-2024</t>
        </is>
      </c>
      <c r="B10429" s="1" t="n">
        <v>45596</v>
      </c>
      <c r="C10429" s="1" t="n">
        <v>45710</v>
      </c>
      <c r="D10429" t="inlineStr">
        <is>
          <t>ÖSTERGÖTLANDS LÄN</t>
        </is>
      </c>
      <c r="E10429" t="inlineStr">
        <is>
          <t>YDRE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49558-2024</t>
        </is>
      </c>
      <c r="B10430" s="1" t="n">
        <v>45596</v>
      </c>
      <c r="C10430" s="1" t="n">
        <v>45710</v>
      </c>
      <c r="D10430" t="inlineStr">
        <is>
          <t>ÖSTERGÖTLANDS LÄN</t>
        </is>
      </c>
      <c r="E10430" t="inlineStr">
        <is>
          <t>YDRE</t>
        </is>
      </c>
      <c r="G10430" t="n">
        <v>3.3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49516-2024</t>
        </is>
      </c>
      <c r="B10431" s="1" t="n">
        <v>45596</v>
      </c>
      <c r="C10431" s="1" t="n">
        <v>45710</v>
      </c>
      <c r="D10431" t="inlineStr">
        <is>
          <t>ÖSTERGÖTLANDS LÄN</t>
        </is>
      </c>
      <c r="E10431" t="inlineStr">
        <is>
          <t>ÖDESHÖG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49552-2024</t>
        </is>
      </c>
      <c r="B10432" s="1" t="n">
        <v>45596</v>
      </c>
      <c r="C10432" s="1" t="n">
        <v>45710</v>
      </c>
      <c r="D10432" t="inlineStr">
        <is>
          <t>ÖSTERGÖTLANDS LÄN</t>
        </is>
      </c>
      <c r="E10432" t="inlineStr">
        <is>
          <t>LINKÖPING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49604-2024</t>
        </is>
      </c>
      <c r="B10433" s="1" t="n">
        <v>45596</v>
      </c>
      <c r="C10433" s="1" t="n">
        <v>45710</v>
      </c>
      <c r="D10433" t="inlineStr">
        <is>
          <t>ÖSTERGÖTLANDS LÄN</t>
        </is>
      </c>
      <c r="E10433" t="inlineStr">
        <is>
          <t>VALDEMARSVIK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49727-2024</t>
        </is>
      </c>
      <c r="B10434" s="1" t="n">
        <v>45596</v>
      </c>
      <c r="C10434" s="1" t="n">
        <v>45710</v>
      </c>
      <c r="D10434" t="inlineStr">
        <is>
          <t>ÖSTERGÖTLANDS LÄN</t>
        </is>
      </c>
      <c r="E10434" t="inlineStr">
        <is>
          <t>SÖDERKÖPING</t>
        </is>
      </c>
      <c r="G10434" t="n">
        <v>10.9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49748-2024</t>
        </is>
      </c>
      <c r="B10435" s="1" t="n">
        <v>45596</v>
      </c>
      <c r="C10435" s="1" t="n">
        <v>45710</v>
      </c>
      <c r="D10435" t="inlineStr">
        <is>
          <t>ÖSTERGÖTLANDS LÄN</t>
        </is>
      </c>
      <c r="E10435" t="inlineStr">
        <is>
          <t>LINKÖPING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49531-2024</t>
        </is>
      </c>
      <c r="B10436" s="1" t="n">
        <v>45596</v>
      </c>
      <c r="C10436" s="1" t="n">
        <v>45710</v>
      </c>
      <c r="D10436" t="inlineStr">
        <is>
          <t>ÖSTERGÖTLANDS LÄN</t>
        </is>
      </c>
      <c r="E10436" t="inlineStr">
        <is>
          <t>ÖDESHÖG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49747-2024</t>
        </is>
      </c>
      <c r="B10437" s="1" t="n">
        <v>45596</v>
      </c>
      <c r="C10437" s="1" t="n">
        <v>45710</v>
      </c>
      <c r="D10437" t="inlineStr">
        <is>
          <t>ÖSTERGÖTLANDS LÄN</t>
        </is>
      </c>
      <c r="E10437" t="inlineStr">
        <is>
          <t>LINKÖPING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49908-2024</t>
        </is>
      </c>
      <c r="B10438" s="1" t="n">
        <v>45597</v>
      </c>
      <c r="C10438" s="1" t="n">
        <v>45710</v>
      </c>
      <c r="D10438" t="inlineStr">
        <is>
          <t>ÖSTERGÖTLANDS LÄN</t>
        </is>
      </c>
      <c r="E10438" t="inlineStr">
        <is>
          <t>MJÖLBY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49928-2024</t>
        </is>
      </c>
      <c r="B10439" s="1" t="n">
        <v>45597</v>
      </c>
      <c r="C10439" s="1" t="n">
        <v>45710</v>
      </c>
      <c r="D10439" t="inlineStr">
        <is>
          <t>ÖSTERGÖTLANDS LÄN</t>
        </is>
      </c>
      <c r="E10439" t="inlineStr">
        <is>
          <t>LINKÖPING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49820-2024</t>
        </is>
      </c>
      <c r="B10440" s="1" t="n">
        <v>45597</v>
      </c>
      <c r="C10440" s="1" t="n">
        <v>45710</v>
      </c>
      <c r="D10440" t="inlineStr">
        <is>
          <t>ÖSTERGÖTLANDS LÄN</t>
        </is>
      </c>
      <c r="E10440" t="inlineStr">
        <is>
          <t>LINKÖPING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49798-2024</t>
        </is>
      </c>
      <c r="B10441" s="1" t="n">
        <v>45597</v>
      </c>
      <c r="C10441" s="1" t="n">
        <v>45710</v>
      </c>
      <c r="D10441" t="inlineStr">
        <is>
          <t>ÖSTERGÖTLANDS LÄN</t>
        </is>
      </c>
      <c r="E10441" t="inlineStr">
        <is>
          <t>KINDA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49835-2024</t>
        </is>
      </c>
      <c r="B10442" s="1" t="n">
        <v>45597</v>
      </c>
      <c r="C10442" s="1" t="n">
        <v>45710</v>
      </c>
      <c r="D10442" t="inlineStr">
        <is>
          <t>ÖSTERGÖTLANDS LÄN</t>
        </is>
      </c>
      <c r="E10442" t="inlineStr">
        <is>
          <t>NORRKÖPING</t>
        </is>
      </c>
      <c r="F10442" t="inlineStr">
        <is>
          <t>Holmen skog AB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49814-2024</t>
        </is>
      </c>
      <c r="B10443" s="1" t="n">
        <v>45597</v>
      </c>
      <c r="C10443" s="1" t="n">
        <v>45710</v>
      </c>
      <c r="D10443" t="inlineStr">
        <is>
          <t>ÖSTERGÖTLANDS LÄN</t>
        </is>
      </c>
      <c r="E10443" t="inlineStr">
        <is>
          <t>MJÖLBY</t>
        </is>
      </c>
      <c r="G10443" t="n">
        <v>5.6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49818-2024</t>
        </is>
      </c>
      <c r="B10444" s="1" t="n">
        <v>45597</v>
      </c>
      <c r="C10444" s="1" t="n">
        <v>45710</v>
      </c>
      <c r="D10444" t="inlineStr">
        <is>
          <t>ÖSTERGÖTLANDS LÄN</t>
        </is>
      </c>
      <c r="E10444" t="inlineStr">
        <is>
          <t>NORRKÖPING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49822-2024</t>
        </is>
      </c>
      <c r="B10445" s="1" t="n">
        <v>45597</v>
      </c>
      <c r="C10445" s="1" t="n">
        <v>45710</v>
      </c>
      <c r="D10445" t="inlineStr">
        <is>
          <t>ÖSTERGÖTLANDS LÄN</t>
        </is>
      </c>
      <c r="E10445" t="inlineStr">
        <is>
          <t>LINKÖPING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49861-2024</t>
        </is>
      </c>
      <c r="B10446" s="1" t="n">
        <v>45597</v>
      </c>
      <c r="C10446" s="1" t="n">
        <v>45710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6.1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49870-2024</t>
        </is>
      </c>
      <c r="B10447" s="1" t="n">
        <v>45597</v>
      </c>
      <c r="C10447" s="1" t="n">
        <v>45710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49926-2024</t>
        </is>
      </c>
      <c r="B10448" s="1" t="n">
        <v>45597</v>
      </c>
      <c r="C10448" s="1" t="n">
        <v>45710</v>
      </c>
      <c r="D10448" t="inlineStr">
        <is>
          <t>ÖSTERGÖTLANDS LÄN</t>
        </is>
      </c>
      <c r="E10448" t="inlineStr">
        <is>
          <t>LINKÖPING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49934-2024</t>
        </is>
      </c>
      <c r="B10449" s="1" t="n">
        <v>45597</v>
      </c>
      <c r="C10449" s="1" t="n">
        <v>45710</v>
      </c>
      <c r="D10449" t="inlineStr">
        <is>
          <t>ÖSTERGÖTLANDS LÄN</t>
        </is>
      </c>
      <c r="E10449" t="inlineStr">
        <is>
          <t>VALDEMARSVIK</t>
        </is>
      </c>
      <c r="F10449" t="inlineStr">
        <is>
          <t>Holmen skog AB</t>
        </is>
      </c>
      <c r="G10449" t="n">
        <v>1.5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49869-2024</t>
        </is>
      </c>
      <c r="B10450" s="1" t="n">
        <v>45597</v>
      </c>
      <c r="C10450" s="1" t="n">
        <v>45710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49905-2024</t>
        </is>
      </c>
      <c r="B10451" s="1" t="n">
        <v>45597</v>
      </c>
      <c r="C10451" s="1" t="n">
        <v>45710</v>
      </c>
      <c r="D10451" t="inlineStr">
        <is>
          <t>ÖSTERGÖTLANDS LÄN</t>
        </is>
      </c>
      <c r="E10451" t="inlineStr">
        <is>
          <t>MJÖLBY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49867-2024</t>
        </is>
      </c>
      <c r="B10452" s="1" t="n">
        <v>45597</v>
      </c>
      <c r="C10452" s="1" t="n">
        <v>45710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49982-2024</t>
        </is>
      </c>
      <c r="B10453" s="1" t="n">
        <v>45597</v>
      </c>
      <c r="C10453" s="1" t="n">
        <v>45710</v>
      </c>
      <c r="D10453" t="inlineStr">
        <is>
          <t>ÖSTERGÖTLANDS LÄN</t>
        </is>
      </c>
      <c r="E10453" t="inlineStr">
        <is>
          <t>ÅTVIDABERG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49915-2024</t>
        </is>
      </c>
      <c r="B10454" s="1" t="n">
        <v>45597</v>
      </c>
      <c r="C10454" s="1" t="n">
        <v>45710</v>
      </c>
      <c r="D10454" t="inlineStr">
        <is>
          <t>ÖSTERGÖTLANDS LÄN</t>
        </is>
      </c>
      <c r="E10454" t="inlineStr">
        <is>
          <t>MJÖLBY</t>
        </is>
      </c>
      <c r="G10454" t="n">
        <v>0.4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49931-2024</t>
        </is>
      </c>
      <c r="B10455" s="1" t="n">
        <v>45597</v>
      </c>
      <c r="C10455" s="1" t="n">
        <v>45710</v>
      </c>
      <c r="D10455" t="inlineStr">
        <is>
          <t>ÖSTERGÖTLANDS LÄN</t>
        </is>
      </c>
      <c r="E10455" t="inlineStr">
        <is>
          <t>VALDEMARSVIK</t>
        </is>
      </c>
      <c r="F10455" t="inlineStr">
        <is>
          <t>Holmen skog AB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49819-2024</t>
        </is>
      </c>
      <c r="B10456" s="1" t="n">
        <v>45597</v>
      </c>
      <c r="C10456" s="1" t="n">
        <v>45710</v>
      </c>
      <c r="D10456" t="inlineStr">
        <is>
          <t>ÖSTERGÖTLANDS LÄN</t>
        </is>
      </c>
      <c r="E10456" t="inlineStr">
        <is>
          <t>LINKÖPING</t>
        </is>
      </c>
      <c r="G10456" t="n">
        <v>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49967-2024</t>
        </is>
      </c>
      <c r="B10457" s="1" t="n">
        <v>45597</v>
      </c>
      <c r="C10457" s="1" t="n">
        <v>45710</v>
      </c>
      <c r="D10457" t="inlineStr">
        <is>
          <t>ÖSTERGÖTLANDS LÄN</t>
        </is>
      </c>
      <c r="E10457" t="inlineStr">
        <is>
          <t>YDRE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49971-2024</t>
        </is>
      </c>
      <c r="B10458" s="1" t="n">
        <v>45597</v>
      </c>
      <c r="C10458" s="1" t="n">
        <v>45710</v>
      </c>
      <c r="D10458" t="inlineStr">
        <is>
          <t>ÖSTERGÖTLANDS LÄN</t>
        </is>
      </c>
      <c r="E10458" t="inlineStr">
        <is>
          <t>YDRE</t>
        </is>
      </c>
      <c r="G10458" t="n">
        <v>12.2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49983-2024</t>
        </is>
      </c>
      <c r="B10459" s="1" t="n">
        <v>45597</v>
      </c>
      <c r="C10459" s="1" t="n">
        <v>45710</v>
      </c>
      <c r="D10459" t="inlineStr">
        <is>
          <t>ÖSTERGÖTLANDS LÄN</t>
        </is>
      </c>
      <c r="E10459" t="inlineStr">
        <is>
          <t>ÅTVIDABERG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50168-2024</t>
        </is>
      </c>
      <c r="B10460" s="1" t="n">
        <v>45600</v>
      </c>
      <c r="C10460" s="1" t="n">
        <v>45710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3.6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50359-2024</t>
        </is>
      </c>
      <c r="B10461" s="1" t="n">
        <v>45600</v>
      </c>
      <c r="C10461" s="1" t="n">
        <v>45710</v>
      </c>
      <c r="D10461" t="inlineStr">
        <is>
          <t>ÖSTERGÖTLANDS LÄN</t>
        </is>
      </c>
      <c r="E10461" t="inlineStr">
        <is>
          <t>FINSPÅNG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50180-2024</t>
        </is>
      </c>
      <c r="B10462" s="1" t="n">
        <v>45600</v>
      </c>
      <c r="C10462" s="1" t="n">
        <v>45710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50357-2024</t>
        </is>
      </c>
      <c r="B10463" s="1" t="n">
        <v>45600</v>
      </c>
      <c r="C10463" s="1" t="n">
        <v>45710</v>
      </c>
      <c r="D10463" t="inlineStr">
        <is>
          <t>ÖSTERGÖTLANDS LÄN</t>
        </is>
      </c>
      <c r="E10463" t="inlineStr">
        <is>
          <t>FINSPÅNG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50277-2024</t>
        </is>
      </c>
      <c r="B10464" s="1" t="n">
        <v>45600</v>
      </c>
      <c r="C10464" s="1" t="n">
        <v>45710</v>
      </c>
      <c r="D10464" t="inlineStr">
        <is>
          <t>ÖSTERGÖTLANDS LÄN</t>
        </is>
      </c>
      <c r="E10464" t="inlineStr">
        <is>
          <t>VADSTENA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50176-2024</t>
        </is>
      </c>
      <c r="B10465" s="1" t="n">
        <v>45600</v>
      </c>
      <c r="C10465" s="1" t="n">
        <v>45710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3.2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50239-2024</t>
        </is>
      </c>
      <c r="B10466" s="1" t="n">
        <v>45600</v>
      </c>
      <c r="C10466" s="1" t="n">
        <v>45710</v>
      </c>
      <c r="D10466" t="inlineStr">
        <is>
          <t>ÖSTERGÖTLANDS LÄN</t>
        </is>
      </c>
      <c r="E10466" t="inlineStr">
        <is>
          <t>BOXHOLM</t>
        </is>
      </c>
      <c r="F10466" t="inlineStr">
        <is>
          <t>Övriga Aktiebolag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50251-2024</t>
        </is>
      </c>
      <c r="B10467" s="1" t="n">
        <v>45600</v>
      </c>
      <c r="C10467" s="1" t="n">
        <v>45710</v>
      </c>
      <c r="D10467" t="inlineStr">
        <is>
          <t>ÖSTERGÖTLANDS LÄN</t>
        </is>
      </c>
      <c r="E10467" t="inlineStr">
        <is>
          <t>BOXHOLM</t>
        </is>
      </c>
      <c r="F10467" t="inlineStr">
        <is>
          <t>Övriga Aktiebolag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50280-2024</t>
        </is>
      </c>
      <c r="B10468" s="1" t="n">
        <v>45600</v>
      </c>
      <c r="C10468" s="1" t="n">
        <v>45710</v>
      </c>
      <c r="D10468" t="inlineStr">
        <is>
          <t>ÖSTERGÖTLANDS LÄN</t>
        </is>
      </c>
      <c r="E10468" t="inlineStr">
        <is>
          <t>VADSTENA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50356-2024</t>
        </is>
      </c>
      <c r="B10469" s="1" t="n">
        <v>45600</v>
      </c>
      <c r="C10469" s="1" t="n">
        <v>45710</v>
      </c>
      <c r="D10469" t="inlineStr">
        <is>
          <t>ÖSTERGÖTLANDS LÄN</t>
        </is>
      </c>
      <c r="E10469" t="inlineStr">
        <is>
          <t>FINSPÅNG</t>
        </is>
      </c>
      <c r="G10469" t="n">
        <v>6.9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50188-2024</t>
        </is>
      </c>
      <c r="B10470" s="1" t="n">
        <v>45600</v>
      </c>
      <c r="C10470" s="1" t="n">
        <v>45710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2.9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50290-2024</t>
        </is>
      </c>
      <c r="B10471" s="1" t="n">
        <v>45600</v>
      </c>
      <c r="C10471" s="1" t="n">
        <v>45710</v>
      </c>
      <c r="D10471" t="inlineStr">
        <is>
          <t>ÖSTERGÖTLANDS LÄN</t>
        </is>
      </c>
      <c r="E10471" t="inlineStr">
        <is>
          <t>VADSTENA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50358-2024</t>
        </is>
      </c>
      <c r="B10472" s="1" t="n">
        <v>45600</v>
      </c>
      <c r="C10472" s="1" t="n">
        <v>45710</v>
      </c>
      <c r="D10472" t="inlineStr">
        <is>
          <t>ÖSTERGÖTLANDS LÄN</t>
        </is>
      </c>
      <c r="E10472" t="inlineStr">
        <is>
          <t>FINSPÅNG</t>
        </is>
      </c>
      <c r="G10472" t="n">
        <v>11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50387-2024</t>
        </is>
      </c>
      <c r="B10473" s="1" t="n">
        <v>45600</v>
      </c>
      <c r="C10473" s="1" t="n">
        <v>45710</v>
      </c>
      <c r="D10473" t="inlineStr">
        <is>
          <t>ÖSTERGÖTLANDS LÄN</t>
        </is>
      </c>
      <c r="E10473" t="inlineStr">
        <is>
          <t>ÖDESHÖG</t>
        </is>
      </c>
      <c r="G10473" t="n">
        <v>8.5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50406-2024</t>
        </is>
      </c>
      <c r="B10474" s="1" t="n">
        <v>45601</v>
      </c>
      <c r="C10474" s="1" t="n">
        <v>45710</v>
      </c>
      <c r="D10474" t="inlineStr">
        <is>
          <t>ÖSTERGÖTLANDS LÄN</t>
        </is>
      </c>
      <c r="E10474" t="inlineStr">
        <is>
          <t>KINDA</t>
        </is>
      </c>
      <c r="F10474" t="inlineStr">
        <is>
          <t>Sveaskog</t>
        </is>
      </c>
      <c r="G10474" t="n">
        <v>2.7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50609-2024</t>
        </is>
      </c>
      <c r="B10475" s="1" t="n">
        <v>45601</v>
      </c>
      <c r="C10475" s="1" t="n">
        <v>45710</v>
      </c>
      <c r="D10475" t="inlineStr">
        <is>
          <t>ÖSTERGÖTLANDS LÄN</t>
        </is>
      </c>
      <c r="E10475" t="inlineStr">
        <is>
          <t>VALDEMARSVIK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50404-2024</t>
        </is>
      </c>
      <c r="B10476" s="1" t="n">
        <v>45601</v>
      </c>
      <c r="C10476" s="1" t="n">
        <v>45710</v>
      </c>
      <c r="D10476" t="inlineStr">
        <is>
          <t>ÖSTERGÖTLANDS LÄN</t>
        </is>
      </c>
      <c r="E10476" t="inlineStr">
        <is>
          <t>KINDA</t>
        </is>
      </c>
      <c r="F10476" t="inlineStr">
        <is>
          <t>Sveaskog</t>
        </is>
      </c>
      <c r="G10476" t="n">
        <v>2.1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50471-2024</t>
        </is>
      </c>
      <c r="B10477" s="1" t="n">
        <v>45601</v>
      </c>
      <c r="C10477" s="1" t="n">
        <v>45710</v>
      </c>
      <c r="D10477" t="inlineStr">
        <is>
          <t>ÖSTERGÖTLANDS LÄN</t>
        </is>
      </c>
      <c r="E10477" t="inlineStr">
        <is>
          <t>LINKÖPING</t>
        </is>
      </c>
      <c r="F10477" t="inlineStr">
        <is>
          <t>Övriga Aktiebolag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50479-2024</t>
        </is>
      </c>
      <c r="B10478" s="1" t="n">
        <v>45601</v>
      </c>
      <c r="C10478" s="1" t="n">
        <v>45710</v>
      </c>
      <c r="D10478" t="inlineStr">
        <is>
          <t>ÖSTERGÖTLANDS LÄN</t>
        </is>
      </c>
      <c r="E10478" t="inlineStr">
        <is>
          <t>MOTALA</t>
        </is>
      </c>
      <c r="G10478" t="n">
        <v>2.3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50508-2024</t>
        </is>
      </c>
      <c r="B10479" s="1" t="n">
        <v>45601</v>
      </c>
      <c r="C10479" s="1" t="n">
        <v>45710</v>
      </c>
      <c r="D10479" t="inlineStr">
        <is>
          <t>ÖSTERGÖTLANDS LÄN</t>
        </is>
      </c>
      <c r="E10479" t="inlineStr">
        <is>
          <t>LINKÖPING</t>
        </is>
      </c>
      <c r="F10479" t="inlineStr">
        <is>
          <t>Övriga Aktiebolag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50588-2024</t>
        </is>
      </c>
      <c r="B10480" s="1" t="n">
        <v>45601</v>
      </c>
      <c r="C10480" s="1" t="n">
        <v>45710</v>
      </c>
      <c r="D10480" t="inlineStr">
        <is>
          <t>ÖSTERGÖTLANDS LÄN</t>
        </is>
      </c>
      <c r="E10480" t="inlineStr">
        <is>
          <t>SÖDERKÖPING</t>
        </is>
      </c>
      <c r="F10480" t="inlineStr">
        <is>
          <t>Allmännings- och besparingsskogar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50583-2024</t>
        </is>
      </c>
      <c r="B10481" s="1" t="n">
        <v>45601</v>
      </c>
      <c r="C10481" s="1" t="n">
        <v>45710</v>
      </c>
      <c r="D10481" t="inlineStr">
        <is>
          <t>ÖSTERGÖTLANDS LÄN</t>
        </is>
      </c>
      <c r="E10481" t="inlineStr">
        <is>
          <t>SÖDERKÖPING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50427-2024</t>
        </is>
      </c>
      <c r="B10482" s="1" t="n">
        <v>45601</v>
      </c>
      <c r="C10482" s="1" t="n">
        <v>45710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3.6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50422-2024</t>
        </is>
      </c>
      <c r="B10483" s="1" t="n">
        <v>45601</v>
      </c>
      <c r="C10483" s="1" t="n">
        <v>45710</v>
      </c>
      <c r="D10483" t="inlineStr">
        <is>
          <t>ÖSTERGÖTLANDS LÄN</t>
        </is>
      </c>
      <c r="E10483" t="inlineStr">
        <is>
          <t>ÅTVIDABERG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50401-2024</t>
        </is>
      </c>
      <c r="B10484" s="1" t="n">
        <v>45601</v>
      </c>
      <c r="C10484" s="1" t="n">
        <v>45710</v>
      </c>
      <c r="D10484" t="inlineStr">
        <is>
          <t>ÖSTERGÖTLANDS LÄN</t>
        </is>
      </c>
      <c r="E10484" t="inlineStr">
        <is>
          <t>KINDA</t>
        </is>
      </c>
      <c r="F10484" t="inlineStr">
        <is>
          <t>Sveaskog</t>
        </is>
      </c>
      <c r="G10484" t="n">
        <v>4.3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50538-2024</t>
        </is>
      </c>
      <c r="B10485" s="1" t="n">
        <v>45601</v>
      </c>
      <c r="C10485" s="1" t="n">
        <v>45710</v>
      </c>
      <c r="D10485" t="inlineStr">
        <is>
          <t>ÖSTERGÖTLANDS LÄN</t>
        </is>
      </c>
      <c r="E10485" t="inlineStr">
        <is>
          <t>VADSTENA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50574-2024</t>
        </is>
      </c>
      <c r="B10486" s="1" t="n">
        <v>45601</v>
      </c>
      <c r="C10486" s="1" t="n">
        <v>45710</v>
      </c>
      <c r="D10486" t="inlineStr">
        <is>
          <t>ÖSTERGÖTLANDS LÄN</t>
        </is>
      </c>
      <c r="E10486" t="inlineStr">
        <is>
          <t>SÖDERKÖPING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50590-2024</t>
        </is>
      </c>
      <c r="B10487" s="1" t="n">
        <v>45601</v>
      </c>
      <c r="C10487" s="1" t="n">
        <v>45710</v>
      </c>
      <c r="D10487" t="inlineStr">
        <is>
          <t>ÖSTERGÖTLANDS LÄN</t>
        </is>
      </c>
      <c r="E10487" t="inlineStr">
        <is>
          <t>SÖDERKÖPING</t>
        </is>
      </c>
      <c r="G10487" t="n">
        <v>2.6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50600-2024</t>
        </is>
      </c>
      <c r="B10488" s="1" t="n">
        <v>45601</v>
      </c>
      <c r="C10488" s="1" t="n">
        <v>45710</v>
      </c>
      <c r="D10488" t="inlineStr">
        <is>
          <t>ÖSTERGÖTLANDS LÄN</t>
        </is>
      </c>
      <c r="E10488" t="inlineStr">
        <is>
          <t>VALDEMARSVIK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50606-2024</t>
        </is>
      </c>
      <c r="B10489" s="1" t="n">
        <v>45601</v>
      </c>
      <c r="C10489" s="1" t="n">
        <v>45710</v>
      </c>
      <c r="D10489" t="inlineStr">
        <is>
          <t>ÖSTERGÖTLANDS LÄN</t>
        </is>
      </c>
      <c r="E10489" t="inlineStr">
        <is>
          <t>VALDEMARSVIK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50499-2024</t>
        </is>
      </c>
      <c r="B10490" s="1" t="n">
        <v>45601</v>
      </c>
      <c r="C10490" s="1" t="n">
        <v>45710</v>
      </c>
      <c r="D10490" t="inlineStr">
        <is>
          <t>ÖSTERGÖTLANDS LÄN</t>
        </is>
      </c>
      <c r="E10490" t="inlineStr">
        <is>
          <t>NORRKÖPING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50581-2024</t>
        </is>
      </c>
      <c r="B10491" s="1" t="n">
        <v>45601</v>
      </c>
      <c r="C10491" s="1" t="n">
        <v>45710</v>
      </c>
      <c r="D10491" t="inlineStr">
        <is>
          <t>ÖSTERGÖTLANDS LÄN</t>
        </is>
      </c>
      <c r="E10491" t="inlineStr">
        <is>
          <t>MJÖLBY</t>
        </is>
      </c>
      <c r="G10491" t="n">
        <v>3.1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50530-2024</t>
        </is>
      </c>
      <c r="B10492" s="1" t="n">
        <v>45601</v>
      </c>
      <c r="C10492" s="1" t="n">
        <v>45710</v>
      </c>
      <c r="D10492" t="inlineStr">
        <is>
          <t>ÖSTERGÖTLANDS LÄN</t>
        </is>
      </c>
      <c r="E10492" t="inlineStr">
        <is>
          <t>VADSTENA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50526-2024</t>
        </is>
      </c>
      <c r="B10493" s="1" t="n">
        <v>45601</v>
      </c>
      <c r="C10493" s="1" t="n">
        <v>45710</v>
      </c>
      <c r="D10493" t="inlineStr">
        <is>
          <t>ÖSTERGÖTLANDS LÄN</t>
        </is>
      </c>
      <c r="E10493" t="inlineStr">
        <is>
          <t>VADSTENA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50425-2024</t>
        </is>
      </c>
      <c r="B10494" s="1" t="n">
        <v>45601</v>
      </c>
      <c r="C10494" s="1" t="n">
        <v>45710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50421-2024</t>
        </is>
      </c>
      <c r="B10495" s="1" t="n">
        <v>45601</v>
      </c>
      <c r="C10495" s="1" t="n">
        <v>45710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2.5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50442-2024</t>
        </is>
      </c>
      <c r="B10496" s="1" t="n">
        <v>45601</v>
      </c>
      <c r="C10496" s="1" t="n">
        <v>45710</v>
      </c>
      <c r="D10496" t="inlineStr">
        <is>
          <t>ÖSTERGÖTLANDS LÄN</t>
        </is>
      </c>
      <c r="E10496" t="inlineStr">
        <is>
          <t>VALDEMARSVIK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50434-2024</t>
        </is>
      </c>
      <c r="B10497" s="1" t="n">
        <v>45601</v>
      </c>
      <c r="C10497" s="1" t="n">
        <v>45710</v>
      </c>
      <c r="D10497" t="inlineStr">
        <is>
          <t>ÖSTERGÖTLANDS LÄN</t>
        </is>
      </c>
      <c r="E10497" t="inlineStr">
        <is>
          <t>ÅTVIDABERG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50424-2024</t>
        </is>
      </c>
      <c r="B10498" s="1" t="n">
        <v>45601</v>
      </c>
      <c r="C10498" s="1" t="n">
        <v>45710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50407-2024</t>
        </is>
      </c>
      <c r="B10499" s="1" t="n">
        <v>45601</v>
      </c>
      <c r="C10499" s="1" t="n">
        <v>45710</v>
      </c>
      <c r="D10499" t="inlineStr">
        <is>
          <t>ÖSTERGÖTLANDS LÄN</t>
        </is>
      </c>
      <c r="E10499" t="inlineStr">
        <is>
          <t>KINDA</t>
        </is>
      </c>
      <c r="F10499" t="inlineStr">
        <is>
          <t>Sveaskog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50403-2024</t>
        </is>
      </c>
      <c r="B10500" s="1" t="n">
        <v>45601</v>
      </c>
      <c r="C10500" s="1" t="n">
        <v>45710</v>
      </c>
      <c r="D10500" t="inlineStr">
        <is>
          <t>ÖSTERGÖTLANDS LÄN</t>
        </is>
      </c>
      <c r="E10500" t="inlineStr">
        <is>
          <t>KINDA</t>
        </is>
      </c>
      <c r="F10500" t="inlineStr">
        <is>
          <t>Sveaskog</t>
        </is>
      </c>
      <c r="G10500" t="n">
        <v>4.4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50670-2024</t>
        </is>
      </c>
      <c r="B10501" s="1" t="n">
        <v>45601</v>
      </c>
      <c r="C10501" s="1" t="n">
        <v>45710</v>
      </c>
      <c r="D10501" t="inlineStr">
        <is>
          <t>ÖSTERGÖTLANDS LÄN</t>
        </is>
      </c>
      <c r="E10501" t="inlineStr">
        <is>
          <t>FINSPÅNG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50708-2024</t>
        </is>
      </c>
      <c r="B10502" s="1" t="n">
        <v>45601</v>
      </c>
      <c r="C10502" s="1" t="n">
        <v>45710</v>
      </c>
      <c r="D10502" t="inlineStr">
        <is>
          <t>ÖSTERGÖTLANDS LÄN</t>
        </is>
      </c>
      <c r="E10502" t="inlineStr">
        <is>
          <t>SÖDERKÖPING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50653-2024</t>
        </is>
      </c>
      <c r="B10503" s="1" t="n">
        <v>45601</v>
      </c>
      <c r="C10503" s="1" t="n">
        <v>45710</v>
      </c>
      <c r="D10503" t="inlineStr">
        <is>
          <t>ÖSTERGÖTLANDS LÄN</t>
        </is>
      </c>
      <c r="E10503" t="inlineStr">
        <is>
          <t>LINKÖPING</t>
        </is>
      </c>
      <c r="F10503" t="inlineStr">
        <is>
          <t>Övriga Aktiebolag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50605-2024</t>
        </is>
      </c>
      <c r="B10504" s="1" t="n">
        <v>45601</v>
      </c>
      <c r="C10504" s="1" t="n">
        <v>45710</v>
      </c>
      <c r="D10504" t="inlineStr">
        <is>
          <t>ÖSTERGÖTLANDS LÄN</t>
        </is>
      </c>
      <c r="E10504" t="inlineStr">
        <is>
          <t>MJÖLBY</t>
        </is>
      </c>
      <c r="G10504" t="n">
        <v>6.8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50423-2024</t>
        </is>
      </c>
      <c r="B10505" s="1" t="n">
        <v>45601</v>
      </c>
      <c r="C10505" s="1" t="n">
        <v>45710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50552-2024</t>
        </is>
      </c>
      <c r="B10506" s="1" t="n">
        <v>45601</v>
      </c>
      <c r="C10506" s="1" t="n">
        <v>45710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1.9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50510-2024</t>
        </is>
      </c>
      <c r="B10507" s="1" t="n">
        <v>45601</v>
      </c>
      <c r="C10507" s="1" t="n">
        <v>45710</v>
      </c>
      <c r="D10507" t="inlineStr">
        <is>
          <t>ÖSTERGÖTLANDS LÄN</t>
        </is>
      </c>
      <c r="E10507" t="inlineStr">
        <is>
          <t>FINSPÅNG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50749-2024</t>
        </is>
      </c>
      <c r="B10508" s="1" t="n">
        <v>45602</v>
      </c>
      <c r="C10508" s="1" t="n">
        <v>45710</v>
      </c>
      <c r="D10508" t="inlineStr">
        <is>
          <t>ÖSTERGÖTLANDS LÄN</t>
        </is>
      </c>
      <c r="E10508" t="inlineStr">
        <is>
          <t>MOTALA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50829-2024</t>
        </is>
      </c>
      <c r="B10509" s="1" t="n">
        <v>45602</v>
      </c>
      <c r="C10509" s="1" t="n">
        <v>45710</v>
      </c>
      <c r="D10509" t="inlineStr">
        <is>
          <t>ÖSTERGÖTLANDS LÄN</t>
        </is>
      </c>
      <c r="E10509" t="inlineStr">
        <is>
          <t>KINDA</t>
        </is>
      </c>
      <c r="G10509" t="n">
        <v>4.5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50828-2024</t>
        </is>
      </c>
      <c r="B10510" s="1" t="n">
        <v>45602</v>
      </c>
      <c r="C10510" s="1" t="n">
        <v>45710</v>
      </c>
      <c r="D10510" t="inlineStr">
        <is>
          <t>ÖSTERGÖTLANDS LÄN</t>
        </is>
      </c>
      <c r="E10510" t="inlineStr">
        <is>
          <t>ÖDESHÖG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50883-2024</t>
        </is>
      </c>
      <c r="B10511" s="1" t="n">
        <v>45602</v>
      </c>
      <c r="C10511" s="1" t="n">
        <v>45710</v>
      </c>
      <c r="D10511" t="inlineStr">
        <is>
          <t>ÖSTERGÖTLANDS LÄN</t>
        </is>
      </c>
      <c r="E10511" t="inlineStr">
        <is>
          <t>MJÖLBY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50896-2024</t>
        </is>
      </c>
      <c r="B10512" s="1" t="n">
        <v>45602</v>
      </c>
      <c r="C10512" s="1" t="n">
        <v>45710</v>
      </c>
      <c r="D10512" t="inlineStr">
        <is>
          <t>ÖSTERGÖTLANDS LÄN</t>
        </is>
      </c>
      <c r="E10512" t="inlineStr">
        <is>
          <t>MJÖLBY</t>
        </is>
      </c>
      <c r="G10512" t="n">
        <v>3.9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50886-2024</t>
        </is>
      </c>
      <c r="B10513" s="1" t="n">
        <v>45602</v>
      </c>
      <c r="C10513" s="1" t="n">
        <v>45710</v>
      </c>
      <c r="D10513" t="inlineStr">
        <is>
          <t>ÖSTERGÖTLANDS LÄN</t>
        </is>
      </c>
      <c r="E10513" t="inlineStr">
        <is>
          <t>MJÖLBY</t>
        </is>
      </c>
      <c r="G10513" t="n">
        <v>5.1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50906-2024</t>
        </is>
      </c>
      <c r="B10514" s="1" t="n">
        <v>45602</v>
      </c>
      <c r="C10514" s="1" t="n">
        <v>45710</v>
      </c>
      <c r="D10514" t="inlineStr">
        <is>
          <t>ÖSTERGÖTLANDS LÄN</t>
        </is>
      </c>
      <c r="E10514" t="inlineStr">
        <is>
          <t>MJÖLBY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50926-2024</t>
        </is>
      </c>
      <c r="B10515" s="1" t="n">
        <v>45602</v>
      </c>
      <c r="C10515" s="1" t="n">
        <v>45710</v>
      </c>
      <c r="D10515" t="inlineStr">
        <is>
          <t>ÖSTERGÖTLANDS LÄN</t>
        </is>
      </c>
      <c r="E10515" t="inlineStr">
        <is>
          <t>KINDA</t>
        </is>
      </c>
      <c r="G10515" t="n">
        <v>13.7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50733-2024</t>
        </is>
      </c>
      <c r="B10516" s="1" t="n">
        <v>45602</v>
      </c>
      <c r="C10516" s="1" t="n">
        <v>45710</v>
      </c>
      <c r="D10516" t="inlineStr">
        <is>
          <t>ÖSTERGÖTLANDS LÄN</t>
        </is>
      </c>
      <c r="E10516" t="inlineStr">
        <is>
          <t>MOTALA</t>
        </is>
      </c>
      <c r="G10516" t="n">
        <v>4.3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50865-2024</t>
        </is>
      </c>
      <c r="B10517" s="1" t="n">
        <v>45602</v>
      </c>
      <c r="C10517" s="1" t="n">
        <v>45710</v>
      </c>
      <c r="D10517" t="inlineStr">
        <is>
          <t>ÖSTERGÖTLANDS LÄN</t>
        </is>
      </c>
      <c r="E10517" t="inlineStr">
        <is>
          <t>ÖDESHÖG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50901-2024</t>
        </is>
      </c>
      <c r="B10518" s="1" t="n">
        <v>45602</v>
      </c>
      <c r="C10518" s="1" t="n">
        <v>45710</v>
      </c>
      <c r="D10518" t="inlineStr">
        <is>
          <t>ÖSTERGÖTLANDS LÄN</t>
        </is>
      </c>
      <c r="E10518" t="inlineStr">
        <is>
          <t>MJÖLBY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50913-2024</t>
        </is>
      </c>
      <c r="B10519" s="1" t="n">
        <v>45602</v>
      </c>
      <c r="C10519" s="1" t="n">
        <v>45710</v>
      </c>
      <c r="D10519" t="inlineStr">
        <is>
          <t>ÖSTERGÖTLANDS LÄN</t>
        </is>
      </c>
      <c r="E10519" t="inlineStr">
        <is>
          <t>MOTALA</t>
        </is>
      </c>
      <c r="G10519" t="n">
        <v>11.7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51101-2024</t>
        </is>
      </c>
      <c r="B10520" s="1" t="n">
        <v>45603</v>
      </c>
      <c r="C10520" s="1" t="n">
        <v>45710</v>
      </c>
      <c r="D10520" t="inlineStr">
        <is>
          <t>ÖSTERGÖTLANDS LÄN</t>
        </is>
      </c>
      <c r="E10520" t="inlineStr">
        <is>
          <t>MOTALA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51110-2024</t>
        </is>
      </c>
      <c r="B10521" s="1" t="n">
        <v>45603</v>
      </c>
      <c r="C10521" s="1" t="n">
        <v>45710</v>
      </c>
      <c r="D10521" t="inlineStr">
        <is>
          <t>ÖSTERGÖTLANDS LÄN</t>
        </is>
      </c>
      <c r="E10521" t="inlineStr">
        <is>
          <t>KINDA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51149-2024</t>
        </is>
      </c>
      <c r="B10522" s="1" t="n">
        <v>45603</v>
      </c>
      <c r="C10522" s="1" t="n">
        <v>45710</v>
      </c>
      <c r="D10522" t="inlineStr">
        <is>
          <t>ÖSTERGÖTLANDS LÄN</t>
        </is>
      </c>
      <c r="E10522" t="inlineStr">
        <is>
          <t>LINKÖPING</t>
        </is>
      </c>
      <c r="G10522" t="n">
        <v>0.9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51077-2024</t>
        </is>
      </c>
      <c r="B10523" s="1" t="n">
        <v>45603</v>
      </c>
      <c r="C10523" s="1" t="n">
        <v>45710</v>
      </c>
      <c r="D10523" t="inlineStr">
        <is>
          <t>ÖSTERGÖTLANDS LÄN</t>
        </is>
      </c>
      <c r="E10523" t="inlineStr">
        <is>
          <t>MOTALA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51018-2024</t>
        </is>
      </c>
      <c r="B10524" s="1" t="n">
        <v>45603</v>
      </c>
      <c r="C10524" s="1" t="n">
        <v>45710</v>
      </c>
      <c r="D10524" t="inlineStr">
        <is>
          <t>ÖSTERGÖTLANDS LÄN</t>
        </is>
      </c>
      <c r="E10524" t="inlineStr">
        <is>
          <t>VALDEMARSVIK</t>
        </is>
      </c>
      <c r="F10524" t="inlineStr">
        <is>
          <t>Övriga Aktiebolag</t>
        </is>
      </c>
      <c r="G10524" t="n">
        <v>7.6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51187-2024</t>
        </is>
      </c>
      <c r="B10525" s="1" t="n">
        <v>45603</v>
      </c>
      <c r="C10525" s="1" t="n">
        <v>45710</v>
      </c>
      <c r="D10525" t="inlineStr">
        <is>
          <t>ÖSTERGÖTLANDS LÄN</t>
        </is>
      </c>
      <c r="E10525" t="inlineStr">
        <is>
          <t>VALDEMARSVIK</t>
        </is>
      </c>
      <c r="F10525" t="inlineStr">
        <is>
          <t>Övriga Aktiebolag</t>
        </is>
      </c>
      <c r="G10525" t="n">
        <v>8.9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51094-2024</t>
        </is>
      </c>
      <c r="B10526" s="1" t="n">
        <v>45603</v>
      </c>
      <c r="C10526" s="1" t="n">
        <v>45710</v>
      </c>
      <c r="D10526" t="inlineStr">
        <is>
          <t>ÖSTERGÖTLANDS LÄN</t>
        </is>
      </c>
      <c r="E10526" t="inlineStr">
        <is>
          <t>MOTALA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51180-2024</t>
        </is>
      </c>
      <c r="B10527" s="1" t="n">
        <v>45603</v>
      </c>
      <c r="C10527" s="1" t="n">
        <v>45710</v>
      </c>
      <c r="D10527" t="inlineStr">
        <is>
          <t>ÖSTERGÖTLANDS LÄN</t>
        </is>
      </c>
      <c r="E10527" t="inlineStr">
        <is>
          <t>ÖDESHÖG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51090-2024</t>
        </is>
      </c>
      <c r="B10528" s="1" t="n">
        <v>45603</v>
      </c>
      <c r="C10528" s="1" t="n">
        <v>45710</v>
      </c>
      <c r="D10528" t="inlineStr">
        <is>
          <t>ÖSTERGÖTLANDS LÄN</t>
        </is>
      </c>
      <c r="E10528" t="inlineStr">
        <is>
          <t>MOTALA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51092-2024</t>
        </is>
      </c>
      <c r="B10529" s="1" t="n">
        <v>45603</v>
      </c>
      <c r="C10529" s="1" t="n">
        <v>45710</v>
      </c>
      <c r="D10529" t="inlineStr">
        <is>
          <t>ÖSTERGÖTLANDS LÄN</t>
        </is>
      </c>
      <c r="E10529" t="inlineStr">
        <is>
          <t>MOTALA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51032-2024</t>
        </is>
      </c>
      <c r="B10530" s="1" t="n">
        <v>45603</v>
      </c>
      <c r="C10530" s="1" t="n">
        <v>45710</v>
      </c>
      <c r="D10530" t="inlineStr">
        <is>
          <t>ÖSTERGÖTLANDS LÄN</t>
        </is>
      </c>
      <c r="E10530" t="inlineStr">
        <is>
          <t>KINDA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51112-2024</t>
        </is>
      </c>
      <c r="B10531" s="1" t="n">
        <v>45603</v>
      </c>
      <c r="C10531" s="1" t="n">
        <v>45710</v>
      </c>
      <c r="D10531" t="inlineStr">
        <is>
          <t>ÖSTERGÖTLANDS LÄN</t>
        </is>
      </c>
      <c r="E10531" t="inlineStr">
        <is>
          <t>NORRKÖPING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51041-2024</t>
        </is>
      </c>
      <c r="B10532" s="1" t="n">
        <v>45603</v>
      </c>
      <c r="C10532" s="1" t="n">
        <v>45710</v>
      </c>
      <c r="D10532" t="inlineStr">
        <is>
          <t>ÖSTERGÖTLANDS LÄN</t>
        </is>
      </c>
      <c r="E10532" t="inlineStr">
        <is>
          <t>ÖDESHÖG</t>
        </is>
      </c>
      <c r="G10532" t="n">
        <v>0.4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51178-2024</t>
        </is>
      </c>
      <c r="B10533" s="1" t="n">
        <v>45603</v>
      </c>
      <c r="C10533" s="1" t="n">
        <v>45710</v>
      </c>
      <c r="D10533" t="inlineStr">
        <is>
          <t>ÖSTERGÖTLANDS LÄN</t>
        </is>
      </c>
      <c r="E10533" t="inlineStr">
        <is>
          <t>ÖDESHÖG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51145-2024</t>
        </is>
      </c>
      <c r="B10534" s="1" t="n">
        <v>45603</v>
      </c>
      <c r="C10534" s="1" t="n">
        <v>45710</v>
      </c>
      <c r="D10534" t="inlineStr">
        <is>
          <t>ÖSTERGÖTLANDS LÄN</t>
        </is>
      </c>
      <c r="E10534" t="inlineStr">
        <is>
          <t>LINKÖPING</t>
        </is>
      </c>
      <c r="G10534" t="n">
        <v>1.5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51365-2024</t>
        </is>
      </c>
      <c r="B10535" s="1" t="n">
        <v>45604</v>
      </c>
      <c r="C10535" s="1" t="n">
        <v>45710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51359-2024</t>
        </is>
      </c>
      <c r="B10536" s="1" t="n">
        <v>45604</v>
      </c>
      <c r="C10536" s="1" t="n">
        <v>45710</v>
      </c>
      <c r="D10536" t="inlineStr">
        <is>
          <t>ÖSTERGÖTLANDS LÄN</t>
        </is>
      </c>
      <c r="E10536" t="inlineStr">
        <is>
          <t>BOXHOLM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51366-2024</t>
        </is>
      </c>
      <c r="B10537" s="1" t="n">
        <v>45604</v>
      </c>
      <c r="C10537" s="1" t="n">
        <v>45710</v>
      </c>
      <c r="D10537" t="inlineStr">
        <is>
          <t>ÖSTERGÖTLANDS LÄN</t>
        </is>
      </c>
      <c r="E10537" t="inlineStr">
        <is>
          <t>BOXHOLM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51484-2024</t>
        </is>
      </c>
      <c r="B10538" s="1" t="n">
        <v>45604</v>
      </c>
      <c r="C10538" s="1" t="n">
        <v>45710</v>
      </c>
      <c r="D10538" t="inlineStr">
        <is>
          <t>ÖSTERGÖTLANDS LÄN</t>
        </is>
      </c>
      <c r="E10538" t="inlineStr">
        <is>
          <t>YDRE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51460-2024</t>
        </is>
      </c>
      <c r="B10539" s="1" t="n">
        <v>45604</v>
      </c>
      <c r="C10539" s="1" t="n">
        <v>45710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51486-2024</t>
        </is>
      </c>
      <c r="B10540" s="1" t="n">
        <v>45604</v>
      </c>
      <c r="C10540" s="1" t="n">
        <v>45710</v>
      </c>
      <c r="D10540" t="inlineStr">
        <is>
          <t>ÖSTERGÖTLANDS LÄN</t>
        </is>
      </c>
      <c r="E10540" t="inlineStr">
        <is>
          <t>YDRE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51391-2024</t>
        </is>
      </c>
      <c r="B10541" s="1" t="n">
        <v>45604</v>
      </c>
      <c r="C10541" s="1" t="n">
        <v>45710</v>
      </c>
      <c r="D10541" t="inlineStr">
        <is>
          <t>ÖSTERGÖTLANDS LÄN</t>
        </is>
      </c>
      <c r="E10541" t="inlineStr">
        <is>
          <t>BOXHOLM</t>
        </is>
      </c>
      <c r="G10541" t="n">
        <v>4.1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51559-2024</t>
        </is>
      </c>
      <c r="B10542" s="1" t="n">
        <v>45604</v>
      </c>
      <c r="C10542" s="1" t="n">
        <v>45710</v>
      </c>
      <c r="D10542" t="inlineStr">
        <is>
          <t>ÖSTERGÖTLANDS LÄN</t>
        </is>
      </c>
      <c r="E10542" t="inlineStr">
        <is>
          <t>LINKÖPING</t>
        </is>
      </c>
      <c r="F10542" t="inlineStr">
        <is>
          <t>Övriga Aktiebolag</t>
        </is>
      </c>
      <c r="G10542" t="n">
        <v>2.4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51571-2024</t>
        </is>
      </c>
      <c r="B10543" s="1" t="n">
        <v>45604</v>
      </c>
      <c r="C10543" s="1" t="n">
        <v>45710</v>
      </c>
      <c r="D10543" t="inlineStr">
        <is>
          <t>ÖSTERGÖTLANDS LÄN</t>
        </is>
      </c>
      <c r="E10543" t="inlineStr">
        <is>
          <t>LINKÖPING</t>
        </is>
      </c>
      <c r="F10543" t="inlineStr">
        <is>
          <t>Övriga Aktiebolag</t>
        </is>
      </c>
      <c r="G10543" t="n">
        <v>1.4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51435-2024</t>
        </is>
      </c>
      <c r="B10544" s="1" t="n">
        <v>45604</v>
      </c>
      <c r="C10544" s="1" t="n">
        <v>45710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2.6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51583-2024</t>
        </is>
      </c>
      <c r="B10545" s="1" t="n">
        <v>45604</v>
      </c>
      <c r="C10545" s="1" t="n">
        <v>45710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8.699999999999999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51413-2024</t>
        </is>
      </c>
      <c r="B10546" s="1" t="n">
        <v>45604</v>
      </c>
      <c r="C10546" s="1" t="n">
        <v>45710</v>
      </c>
      <c r="D10546" t="inlineStr">
        <is>
          <t>ÖSTERGÖTLANDS LÄN</t>
        </is>
      </c>
      <c r="E10546" t="inlineStr">
        <is>
          <t>MOTALA</t>
        </is>
      </c>
      <c r="F10546" t="inlineStr">
        <is>
          <t>Sveaskog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51712-2024</t>
        </is>
      </c>
      <c r="B10547" s="1" t="n">
        <v>45604</v>
      </c>
      <c r="C10547" s="1" t="n">
        <v>45710</v>
      </c>
      <c r="D10547" t="inlineStr">
        <is>
          <t>ÖSTERGÖTLANDS LÄN</t>
        </is>
      </c>
      <c r="E10547" t="inlineStr">
        <is>
          <t>MOTALA</t>
        </is>
      </c>
      <c r="G10547" t="n">
        <v>10.9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51445-2024</t>
        </is>
      </c>
      <c r="B10548" s="1" t="n">
        <v>45604</v>
      </c>
      <c r="C10548" s="1" t="n">
        <v>45710</v>
      </c>
      <c r="D10548" t="inlineStr">
        <is>
          <t>ÖSTERGÖTLANDS LÄN</t>
        </is>
      </c>
      <c r="E10548" t="inlineStr">
        <is>
          <t>FINSPÅNG</t>
        </is>
      </c>
      <c r="F10548" t="inlineStr">
        <is>
          <t>Holmen skog AB</t>
        </is>
      </c>
      <c r="G10548" t="n">
        <v>3.5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51471-2024</t>
        </is>
      </c>
      <c r="B10549" s="1" t="n">
        <v>45604</v>
      </c>
      <c r="C10549" s="1" t="n">
        <v>45710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3.5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51728-2024</t>
        </is>
      </c>
      <c r="B10550" s="1" t="n">
        <v>45604</v>
      </c>
      <c r="C10550" s="1" t="n">
        <v>45710</v>
      </c>
      <c r="D10550" t="inlineStr">
        <is>
          <t>ÖSTERGÖTLANDS LÄN</t>
        </is>
      </c>
      <c r="E10550" t="inlineStr">
        <is>
          <t>MOTALA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52004-2024</t>
        </is>
      </c>
      <c r="B10551" s="1" t="n">
        <v>45607</v>
      </c>
      <c r="C10551" s="1" t="n">
        <v>45710</v>
      </c>
      <c r="D10551" t="inlineStr">
        <is>
          <t>ÖSTERGÖTLANDS LÄN</t>
        </is>
      </c>
      <c r="E10551" t="inlineStr">
        <is>
          <t>FINSPÅNG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52008-2024</t>
        </is>
      </c>
      <c r="B10552" s="1" t="n">
        <v>45607</v>
      </c>
      <c r="C10552" s="1" t="n">
        <v>45710</v>
      </c>
      <c r="D10552" t="inlineStr">
        <is>
          <t>ÖSTERGÖTLANDS LÄN</t>
        </is>
      </c>
      <c r="E10552" t="inlineStr">
        <is>
          <t>FINSPÅNG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51707-2024</t>
        </is>
      </c>
      <c r="B10553" s="1" t="n">
        <v>45607</v>
      </c>
      <c r="C10553" s="1" t="n">
        <v>45710</v>
      </c>
      <c r="D10553" t="inlineStr">
        <is>
          <t>ÖSTERGÖTLANDS LÄN</t>
        </is>
      </c>
      <c r="E10553" t="inlineStr">
        <is>
          <t>ÅTVIDABERG</t>
        </is>
      </c>
      <c r="F10553" t="inlineStr">
        <is>
          <t>Sveaskog</t>
        </is>
      </c>
      <c r="G10553" t="n">
        <v>2.6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51713-2024</t>
        </is>
      </c>
      <c r="B10554" s="1" t="n">
        <v>45607</v>
      </c>
      <c r="C10554" s="1" t="n">
        <v>45710</v>
      </c>
      <c r="D10554" t="inlineStr">
        <is>
          <t>ÖSTERGÖTLANDS LÄN</t>
        </is>
      </c>
      <c r="E10554" t="inlineStr">
        <is>
          <t>ÅTVIDABERG</t>
        </is>
      </c>
      <c r="F10554" t="inlineStr">
        <is>
          <t>Sveaskog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51726-2024</t>
        </is>
      </c>
      <c r="B10555" s="1" t="n">
        <v>45607</v>
      </c>
      <c r="C10555" s="1" t="n">
        <v>45710</v>
      </c>
      <c r="D10555" t="inlineStr">
        <is>
          <t>ÖSTERGÖTLANDS LÄN</t>
        </is>
      </c>
      <c r="E10555" t="inlineStr">
        <is>
          <t>VALDEMARSVIK</t>
        </is>
      </c>
      <c r="G10555" t="n">
        <v>5.4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52007-2024</t>
        </is>
      </c>
      <c r="B10556" s="1" t="n">
        <v>45607</v>
      </c>
      <c r="C10556" s="1" t="n">
        <v>45710</v>
      </c>
      <c r="D10556" t="inlineStr">
        <is>
          <t>ÖSTERGÖTLANDS LÄN</t>
        </is>
      </c>
      <c r="E10556" t="inlineStr">
        <is>
          <t>FINSPÅNG</t>
        </is>
      </c>
      <c r="G10556" t="n">
        <v>0.4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52023-2024</t>
        </is>
      </c>
      <c r="B10557" s="1" t="n">
        <v>45607</v>
      </c>
      <c r="C10557" s="1" t="n">
        <v>45710</v>
      </c>
      <c r="D10557" t="inlineStr">
        <is>
          <t>ÖSTERGÖTLANDS LÄN</t>
        </is>
      </c>
      <c r="E10557" t="inlineStr">
        <is>
          <t>FINSPÅNG</t>
        </is>
      </c>
      <c r="G10557" t="n">
        <v>2.2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51701-2024</t>
        </is>
      </c>
      <c r="B10558" s="1" t="n">
        <v>45607</v>
      </c>
      <c r="C10558" s="1" t="n">
        <v>45710</v>
      </c>
      <c r="D10558" t="inlineStr">
        <is>
          <t>ÖSTERGÖTLANDS LÄN</t>
        </is>
      </c>
      <c r="E10558" t="inlineStr">
        <is>
          <t>MOTALA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51762-2024</t>
        </is>
      </c>
      <c r="B10559" s="1" t="n">
        <v>45607</v>
      </c>
      <c r="C10559" s="1" t="n">
        <v>45710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0.6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51989-2024</t>
        </is>
      </c>
      <c r="B10560" s="1" t="n">
        <v>45607</v>
      </c>
      <c r="C10560" s="1" t="n">
        <v>45710</v>
      </c>
      <c r="D10560" t="inlineStr">
        <is>
          <t>ÖSTERGÖTLANDS LÄN</t>
        </is>
      </c>
      <c r="E10560" t="inlineStr">
        <is>
          <t>KINDA</t>
        </is>
      </c>
      <c r="G10560" t="n">
        <v>5.9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51919-2024</t>
        </is>
      </c>
      <c r="B10561" s="1" t="n">
        <v>45607</v>
      </c>
      <c r="C10561" s="1" t="n">
        <v>45710</v>
      </c>
      <c r="D10561" t="inlineStr">
        <is>
          <t>ÖSTERGÖTLANDS LÄN</t>
        </is>
      </c>
      <c r="E10561" t="inlineStr">
        <is>
          <t>LINKÖPING</t>
        </is>
      </c>
      <c r="G10561" t="n">
        <v>2.5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51830-2024</t>
        </is>
      </c>
      <c r="B10562" s="1" t="n">
        <v>45607</v>
      </c>
      <c r="C10562" s="1" t="n">
        <v>45710</v>
      </c>
      <c r="D10562" t="inlineStr">
        <is>
          <t>ÖSTERGÖTLANDS LÄN</t>
        </is>
      </c>
      <c r="E10562" t="inlineStr">
        <is>
          <t>KINDA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51822-2024</t>
        </is>
      </c>
      <c r="B10563" s="1" t="n">
        <v>45607</v>
      </c>
      <c r="C10563" s="1" t="n">
        <v>45710</v>
      </c>
      <c r="D10563" t="inlineStr">
        <is>
          <t>ÖSTERGÖTLANDS LÄN</t>
        </is>
      </c>
      <c r="E10563" t="inlineStr">
        <is>
          <t>KINDA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51761-2024</t>
        </is>
      </c>
      <c r="B10564" s="1" t="n">
        <v>45607</v>
      </c>
      <c r="C10564" s="1" t="n">
        <v>45710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51748-2024</t>
        </is>
      </c>
      <c r="B10565" s="1" t="n">
        <v>45607</v>
      </c>
      <c r="C10565" s="1" t="n">
        <v>45710</v>
      </c>
      <c r="D10565" t="inlineStr">
        <is>
          <t>ÖSTERGÖTLANDS LÄN</t>
        </is>
      </c>
      <c r="E10565" t="inlineStr">
        <is>
          <t>VALDEMARSVIK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51734-2024</t>
        </is>
      </c>
      <c r="B10566" s="1" t="n">
        <v>45607</v>
      </c>
      <c r="C10566" s="1" t="n">
        <v>45710</v>
      </c>
      <c r="D10566" t="inlineStr">
        <is>
          <t>ÖSTERGÖTLANDS LÄN</t>
        </is>
      </c>
      <c r="E10566" t="inlineStr">
        <is>
          <t>ÖDESHÖG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51727-2024</t>
        </is>
      </c>
      <c r="B10567" s="1" t="n">
        <v>45607</v>
      </c>
      <c r="C10567" s="1" t="n">
        <v>45710</v>
      </c>
      <c r="D10567" t="inlineStr">
        <is>
          <t>ÖSTERGÖTLANDS LÄN</t>
        </is>
      </c>
      <c r="E10567" t="inlineStr">
        <is>
          <t>ÖDESHÖG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51709-2024</t>
        </is>
      </c>
      <c r="B10568" s="1" t="n">
        <v>45607</v>
      </c>
      <c r="C10568" s="1" t="n">
        <v>45710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Sveaskog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52161-2024</t>
        </is>
      </c>
      <c r="B10569" s="1" t="n">
        <v>45608</v>
      </c>
      <c r="C10569" s="1" t="n">
        <v>45710</v>
      </c>
      <c r="D10569" t="inlineStr">
        <is>
          <t>ÖSTERGÖTLANDS LÄN</t>
        </is>
      </c>
      <c r="E10569" t="inlineStr">
        <is>
          <t>MOTALA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52095-2024</t>
        </is>
      </c>
      <c r="B10570" s="1" t="n">
        <v>45608</v>
      </c>
      <c r="C10570" s="1" t="n">
        <v>45710</v>
      </c>
      <c r="D10570" t="inlineStr">
        <is>
          <t>ÖSTERGÖTLANDS LÄN</t>
        </is>
      </c>
      <c r="E10570" t="inlineStr">
        <is>
          <t>ÖDESHÖG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52031-2024</t>
        </is>
      </c>
      <c r="B10571" s="1" t="n">
        <v>45608</v>
      </c>
      <c r="C10571" s="1" t="n">
        <v>45710</v>
      </c>
      <c r="D10571" t="inlineStr">
        <is>
          <t>ÖSTERGÖTLANDS LÄN</t>
        </is>
      </c>
      <c r="E10571" t="inlineStr">
        <is>
          <t>MJÖLBY</t>
        </is>
      </c>
      <c r="F10571" t="inlineStr">
        <is>
          <t>Övriga Aktiebolag</t>
        </is>
      </c>
      <c r="G10571" t="n">
        <v>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52047-2024</t>
        </is>
      </c>
      <c r="B10572" s="1" t="n">
        <v>45608</v>
      </c>
      <c r="C10572" s="1" t="n">
        <v>45710</v>
      </c>
      <c r="D10572" t="inlineStr">
        <is>
          <t>ÖSTERGÖTLANDS LÄN</t>
        </is>
      </c>
      <c r="E10572" t="inlineStr">
        <is>
          <t>KINDA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52201-2024</t>
        </is>
      </c>
      <c r="B10573" s="1" t="n">
        <v>45608</v>
      </c>
      <c r="C10573" s="1" t="n">
        <v>45710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Övriga Aktiebolag</t>
        </is>
      </c>
      <c r="G10573" t="n">
        <v>10.8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52105-2024</t>
        </is>
      </c>
      <c r="B10574" s="1" t="n">
        <v>45608</v>
      </c>
      <c r="C10574" s="1" t="n">
        <v>45710</v>
      </c>
      <c r="D10574" t="inlineStr">
        <is>
          <t>ÖSTERGÖTLANDS LÄN</t>
        </is>
      </c>
      <c r="E10574" t="inlineStr">
        <is>
          <t>BOXHOLM</t>
        </is>
      </c>
      <c r="F10574" t="inlineStr">
        <is>
          <t>Övriga Aktiebolag</t>
        </is>
      </c>
      <c r="G10574" t="n">
        <v>7.7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52076-2024</t>
        </is>
      </c>
      <c r="B10575" s="1" t="n">
        <v>45608</v>
      </c>
      <c r="C10575" s="1" t="n">
        <v>45710</v>
      </c>
      <c r="D10575" t="inlineStr">
        <is>
          <t>ÖSTERGÖTLANDS LÄN</t>
        </is>
      </c>
      <c r="E10575" t="inlineStr">
        <is>
          <t>KINDA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52176-2024</t>
        </is>
      </c>
      <c r="B10576" s="1" t="n">
        <v>45608</v>
      </c>
      <c r="C10576" s="1" t="n">
        <v>45710</v>
      </c>
      <c r="D10576" t="inlineStr">
        <is>
          <t>ÖSTERGÖTLANDS LÄN</t>
        </is>
      </c>
      <c r="E10576" t="inlineStr">
        <is>
          <t>YDRE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52216-2024</t>
        </is>
      </c>
      <c r="B10577" s="1" t="n">
        <v>45608</v>
      </c>
      <c r="C10577" s="1" t="n">
        <v>45710</v>
      </c>
      <c r="D10577" t="inlineStr">
        <is>
          <t>ÖSTERGÖTLANDS LÄN</t>
        </is>
      </c>
      <c r="E10577" t="inlineStr">
        <is>
          <t>ÅTVIDABERG</t>
        </is>
      </c>
      <c r="F10577" t="inlineStr">
        <is>
          <t>Övriga Aktiebolag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52414-2024</t>
        </is>
      </c>
      <c r="B10578" s="1" t="n">
        <v>45609</v>
      </c>
      <c r="C10578" s="1" t="n">
        <v>45710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Övriga Aktiebolag</t>
        </is>
      </c>
      <c r="G10578" t="n">
        <v>17.2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52557-2024</t>
        </is>
      </c>
      <c r="B10579" s="1" t="n">
        <v>45609</v>
      </c>
      <c r="C10579" s="1" t="n">
        <v>45710</v>
      </c>
      <c r="D10579" t="inlineStr">
        <is>
          <t>ÖSTERGÖTLANDS LÄN</t>
        </is>
      </c>
      <c r="E10579" t="inlineStr">
        <is>
          <t>FINSPÅNG</t>
        </is>
      </c>
      <c r="F10579" t="inlineStr">
        <is>
          <t>Holmen skog AB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52561-2024</t>
        </is>
      </c>
      <c r="B10580" s="1" t="n">
        <v>45609</v>
      </c>
      <c r="C10580" s="1" t="n">
        <v>45710</v>
      </c>
      <c r="D10580" t="inlineStr">
        <is>
          <t>ÖSTERGÖTLANDS LÄN</t>
        </is>
      </c>
      <c r="E10580" t="inlineStr">
        <is>
          <t>FINSPÅNG</t>
        </is>
      </c>
      <c r="F10580" t="inlineStr">
        <is>
          <t>Holmen skog AB</t>
        </is>
      </c>
      <c r="G10580" t="n">
        <v>0.5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52361-2024</t>
        </is>
      </c>
      <c r="B10581" s="1" t="n">
        <v>45609</v>
      </c>
      <c r="C10581" s="1" t="n">
        <v>45710</v>
      </c>
      <c r="D10581" t="inlineStr">
        <is>
          <t>ÖSTERGÖTLANDS LÄN</t>
        </is>
      </c>
      <c r="E10581" t="inlineStr">
        <is>
          <t>ÅTVIDABERG</t>
        </is>
      </c>
      <c r="F10581" t="inlineStr">
        <is>
          <t>Övriga Aktiebolag</t>
        </is>
      </c>
      <c r="G10581" t="n">
        <v>8.1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52427-2024</t>
        </is>
      </c>
      <c r="B10582" s="1" t="n">
        <v>45609</v>
      </c>
      <c r="C10582" s="1" t="n">
        <v>45710</v>
      </c>
      <c r="D10582" t="inlineStr">
        <is>
          <t>ÖSTERGÖTLANDS LÄN</t>
        </is>
      </c>
      <c r="E10582" t="inlineStr">
        <is>
          <t>FINSPÅNG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52567-2024</t>
        </is>
      </c>
      <c r="B10583" s="1" t="n">
        <v>45609</v>
      </c>
      <c r="C10583" s="1" t="n">
        <v>45710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1.5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52604-2024</t>
        </is>
      </c>
      <c r="B10584" s="1" t="n">
        <v>45609</v>
      </c>
      <c r="C10584" s="1" t="n">
        <v>45710</v>
      </c>
      <c r="D10584" t="inlineStr">
        <is>
          <t>ÖSTERGÖTLANDS LÄN</t>
        </is>
      </c>
      <c r="E10584" t="inlineStr">
        <is>
          <t>ÅTVIDABERG</t>
        </is>
      </c>
      <c r="G10584" t="n">
        <v>2.7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52605-2024</t>
        </is>
      </c>
      <c r="B10585" s="1" t="n">
        <v>45609</v>
      </c>
      <c r="C10585" s="1" t="n">
        <v>45710</v>
      </c>
      <c r="D10585" t="inlineStr">
        <is>
          <t>ÖSTERGÖTLANDS LÄN</t>
        </is>
      </c>
      <c r="E10585" t="inlineStr">
        <is>
          <t>ÅTVIDABERG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52929-2024</t>
        </is>
      </c>
      <c r="B10586" s="1" t="n">
        <v>45610</v>
      </c>
      <c r="C10586" s="1" t="n">
        <v>45710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9.5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52892-2024</t>
        </is>
      </c>
      <c r="B10587" s="1" t="n">
        <v>45610</v>
      </c>
      <c r="C10587" s="1" t="n">
        <v>45710</v>
      </c>
      <c r="D10587" t="inlineStr">
        <is>
          <t>ÖSTERGÖTLANDS LÄN</t>
        </is>
      </c>
      <c r="E10587" t="inlineStr">
        <is>
          <t>LINKÖPING</t>
        </is>
      </c>
      <c r="G10587" t="n">
        <v>4.2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52912-2024</t>
        </is>
      </c>
      <c r="B10588" s="1" t="n">
        <v>45610</v>
      </c>
      <c r="C10588" s="1" t="n">
        <v>45710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52936-2024</t>
        </is>
      </c>
      <c r="B10589" s="1" t="n">
        <v>45610</v>
      </c>
      <c r="C10589" s="1" t="n">
        <v>45710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52952-2024</t>
        </is>
      </c>
      <c r="B10590" s="1" t="n">
        <v>45610</v>
      </c>
      <c r="C10590" s="1" t="n">
        <v>45710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2.8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52806-2024</t>
        </is>
      </c>
      <c r="B10591" s="1" t="n">
        <v>45610</v>
      </c>
      <c r="C10591" s="1" t="n">
        <v>45710</v>
      </c>
      <c r="D10591" t="inlineStr">
        <is>
          <t>ÖSTERGÖTLANDS LÄN</t>
        </is>
      </c>
      <c r="E10591" t="inlineStr">
        <is>
          <t>LINKÖPING</t>
        </is>
      </c>
      <c r="G10591" t="n">
        <v>1.9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52934-2024</t>
        </is>
      </c>
      <c r="B10592" s="1" t="n">
        <v>45610</v>
      </c>
      <c r="C10592" s="1" t="n">
        <v>45710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Övriga Aktiebolag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52938-2024</t>
        </is>
      </c>
      <c r="B10593" s="1" t="n">
        <v>45610</v>
      </c>
      <c r="C10593" s="1" t="n">
        <v>45710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Övriga Aktiebolag</t>
        </is>
      </c>
      <c r="G10593" t="n">
        <v>12.3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52954-2024</t>
        </is>
      </c>
      <c r="B10594" s="1" t="n">
        <v>45610</v>
      </c>
      <c r="C10594" s="1" t="n">
        <v>45710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53093-2024</t>
        </is>
      </c>
      <c r="B10595" s="1" t="n">
        <v>45611</v>
      </c>
      <c r="C10595" s="1" t="n">
        <v>45710</v>
      </c>
      <c r="D10595" t="inlineStr">
        <is>
          <t>ÖSTERGÖTLANDS LÄN</t>
        </is>
      </c>
      <c r="E10595" t="inlineStr">
        <is>
          <t>ÅTVIDABERG</t>
        </is>
      </c>
      <c r="G10595" t="n">
        <v>11.6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53180-2024</t>
        </is>
      </c>
      <c r="B10596" s="1" t="n">
        <v>45611</v>
      </c>
      <c r="C10596" s="1" t="n">
        <v>45710</v>
      </c>
      <c r="D10596" t="inlineStr">
        <is>
          <t>ÖSTERGÖTLANDS LÄN</t>
        </is>
      </c>
      <c r="E10596" t="inlineStr">
        <is>
          <t>YDRE</t>
        </is>
      </c>
      <c r="G10596" t="n">
        <v>8.6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53091-2024</t>
        </is>
      </c>
      <c r="B10597" s="1" t="n">
        <v>45611</v>
      </c>
      <c r="C10597" s="1" t="n">
        <v>45710</v>
      </c>
      <c r="D10597" t="inlineStr">
        <is>
          <t>ÖSTERGÖTLANDS LÄN</t>
        </is>
      </c>
      <c r="E10597" t="inlineStr">
        <is>
          <t>YDRE</t>
        </is>
      </c>
      <c r="F10597" t="inlineStr">
        <is>
          <t>Övriga Aktiebolag</t>
        </is>
      </c>
      <c r="G10597" t="n">
        <v>5.5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53186-2024</t>
        </is>
      </c>
      <c r="B10598" s="1" t="n">
        <v>45611</v>
      </c>
      <c r="C10598" s="1" t="n">
        <v>45710</v>
      </c>
      <c r="D10598" t="inlineStr">
        <is>
          <t>ÖSTERGÖTLANDS LÄN</t>
        </is>
      </c>
      <c r="E10598" t="inlineStr">
        <is>
          <t>YDRE</t>
        </is>
      </c>
      <c r="G10598" t="n">
        <v>7.7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53236-2024</t>
        </is>
      </c>
      <c r="B10599" s="1" t="n">
        <v>45613</v>
      </c>
      <c r="C10599" s="1" t="n">
        <v>45710</v>
      </c>
      <c r="D10599" t="inlineStr">
        <is>
          <t>ÖSTERGÖTLANDS LÄN</t>
        </is>
      </c>
      <c r="E10599" t="inlineStr">
        <is>
          <t>YDRE</t>
        </is>
      </c>
      <c r="G10599" t="n">
        <v>7.5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53239-2024</t>
        </is>
      </c>
      <c r="B10600" s="1" t="n">
        <v>45613</v>
      </c>
      <c r="C10600" s="1" t="n">
        <v>45710</v>
      </c>
      <c r="D10600" t="inlineStr">
        <is>
          <t>ÖSTERGÖTLANDS LÄN</t>
        </is>
      </c>
      <c r="E10600" t="inlineStr">
        <is>
          <t>KINDA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53237-2024</t>
        </is>
      </c>
      <c r="B10601" s="1" t="n">
        <v>45613</v>
      </c>
      <c r="C10601" s="1" t="n">
        <v>45710</v>
      </c>
      <c r="D10601" t="inlineStr">
        <is>
          <t>ÖSTERGÖTLANDS LÄN</t>
        </is>
      </c>
      <c r="E10601" t="inlineStr">
        <is>
          <t>YDRE</t>
        </is>
      </c>
      <c r="G10601" t="n">
        <v>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53529-2024</t>
        </is>
      </c>
      <c r="B10602" s="1" t="n">
        <v>45614</v>
      </c>
      <c r="C10602" s="1" t="n">
        <v>45710</v>
      </c>
      <c r="D10602" t="inlineStr">
        <is>
          <t>ÖSTERGÖTLANDS LÄN</t>
        </is>
      </c>
      <c r="E10602" t="inlineStr">
        <is>
          <t>LINKÖPING</t>
        </is>
      </c>
      <c r="G10602" t="n">
        <v>6.7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53315-2024</t>
        </is>
      </c>
      <c r="B10603" s="1" t="n">
        <v>45614</v>
      </c>
      <c r="C10603" s="1" t="n">
        <v>45710</v>
      </c>
      <c r="D10603" t="inlineStr">
        <is>
          <t>ÖSTERGÖTLANDS LÄN</t>
        </is>
      </c>
      <c r="E10603" t="inlineStr">
        <is>
          <t>SÖDERKÖPING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53431-2024</t>
        </is>
      </c>
      <c r="B10604" s="1" t="n">
        <v>45614</v>
      </c>
      <c r="C10604" s="1" t="n">
        <v>45710</v>
      </c>
      <c r="D10604" t="inlineStr">
        <is>
          <t>ÖSTERGÖTLANDS LÄN</t>
        </is>
      </c>
      <c r="E10604" t="inlineStr">
        <is>
          <t>MOTALA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53482-2024</t>
        </is>
      </c>
      <c r="B10605" s="1" t="n">
        <v>45614</v>
      </c>
      <c r="C10605" s="1" t="n">
        <v>45710</v>
      </c>
      <c r="D10605" t="inlineStr">
        <is>
          <t>ÖSTERGÖTLANDS LÄN</t>
        </is>
      </c>
      <c r="E10605" t="inlineStr">
        <is>
          <t>YDRE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53356-2024</t>
        </is>
      </c>
      <c r="B10606" s="1" t="n">
        <v>45614</v>
      </c>
      <c r="C10606" s="1" t="n">
        <v>45710</v>
      </c>
      <c r="D10606" t="inlineStr">
        <is>
          <t>ÖSTERGÖTLANDS LÄN</t>
        </is>
      </c>
      <c r="E10606" t="inlineStr">
        <is>
          <t>BOXHOLM</t>
        </is>
      </c>
      <c r="F10606" t="inlineStr">
        <is>
          <t>Övriga Aktiebolag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53316-2024</t>
        </is>
      </c>
      <c r="B10607" s="1" t="n">
        <v>45614</v>
      </c>
      <c r="C10607" s="1" t="n">
        <v>45710</v>
      </c>
      <c r="D10607" t="inlineStr">
        <is>
          <t>ÖSTERGÖTLANDS LÄN</t>
        </is>
      </c>
      <c r="E10607" t="inlineStr">
        <is>
          <t>BOXHOLM</t>
        </is>
      </c>
      <c r="F10607" t="inlineStr">
        <is>
          <t>Övriga Aktiebolag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53616-2024</t>
        </is>
      </c>
      <c r="B10608" s="1" t="n">
        <v>45614</v>
      </c>
      <c r="C10608" s="1" t="n">
        <v>45710</v>
      </c>
      <c r="D10608" t="inlineStr">
        <is>
          <t>ÖSTERGÖTLANDS LÄN</t>
        </is>
      </c>
      <c r="E10608" t="inlineStr">
        <is>
          <t>BOXHOLM</t>
        </is>
      </c>
      <c r="G10608" t="n">
        <v>2.3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53491-2024</t>
        </is>
      </c>
      <c r="B10609" s="1" t="n">
        <v>45614</v>
      </c>
      <c r="C10609" s="1" t="n">
        <v>45710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53438-2024</t>
        </is>
      </c>
      <c r="B10610" s="1" t="n">
        <v>45614</v>
      </c>
      <c r="C10610" s="1" t="n">
        <v>45710</v>
      </c>
      <c r="D10610" t="inlineStr">
        <is>
          <t>ÖSTERGÖTLANDS LÄN</t>
        </is>
      </c>
      <c r="E10610" t="inlineStr">
        <is>
          <t>MOTALA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53434-2024</t>
        </is>
      </c>
      <c r="B10611" s="1" t="n">
        <v>45614</v>
      </c>
      <c r="C10611" s="1" t="n">
        <v>45710</v>
      </c>
      <c r="D10611" t="inlineStr">
        <is>
          <t>ÖSTERGÖTLANDS LÄN</t>
        </is>
      </c>
      <c r="E10611" t="inlineStr">
        <is>
          <t>NORRKÖPING</t>
        </is>
      </c>
      <c r="F10611" t="inlineStr">
        <is>
          <t>Naturvårdsverket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53454-2024</t>
        </is>
      </c>
      <c r="B10612" s="1" t="n">
        <v>45614</v>
      </c>
      <c r="C10612" s="1" t="n">
        <v>45710</v>
      </c>
      <c r="D10612" t="inlineStr">
        <is>
          <t>ÖSTERGÖTLANDS LÄN</t>
        </is>
      </c>
      <c r="E10612" t="inlineStr">
        <is>
          <t>MOTALA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53363-2024</t>
        </is>
      </c>
      <c r="B10613" s="1" t="n">
        <v>45614</v>
      </c>
      <c r="C10613" s="1" t="n">
        <v>45710</v>
      </c>
      <c r="D10613" t="inlineStr">
        <is>
          <t>ÖSTERGÖTLANDS LÄN</t>
        </is>
      </c>
      <c r="E10613" t="inlineStr">
        <is>
          <t>NORRKÖPING</t>
        </is>
      </c>
      <c r="F10613" t="inlineStr">
        <is>
          <t>Naturvårdsverket</t>
        </is>
      </c>
      <c r="G10613" t="n">
        <v>1.3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53342-2024</t>
        </is>
      </c>
      <c r="B10614" s="1" t="n">
        <v>45614</v>
      </c>
      <c r="C10614" s="1" t="n">
        <v>45710</v>
      </c>
      <c r="D10614" t="inlineStr">
        <is>
          <t>ÖSTERGÖTLANDS LÄN</t>
        </is>
      </c>
      <c r="E10614" t="inlineStr">
        <is>
          <t>BOXHOLM</t>
        </is>
      </c>
      <c r="F10614" t="inlineStr">
        <is>
          <t>Övriga Aktiebolag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53306-2024</t>
        </is>
      </c>
      <c r="B10615" s="1" t="n">
        <v>45614</v>
      </c>
      <c r="C10615" s="1" t="n">
        <v>45710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53820-2024</t>
        </is>
      </c>
      <c r="B10616" s="1" t="n">
        <v>45615</v>
      </c>
      <c r="C10616" s="1" t="n">
        <v>45710</v>
      </c>
      <c r="D10616" t="inlineStr">
        <is>
          <t>ÖSTERGÖTLANDS LÄN</t>
        </is>
      </c>
      <c r="E10616" t="inlineStr">
        <is>
          <t>MOTALA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53818-2024</t>
        </is>
      </c>
      <c r="B10617" s="1" t="n">
        <v>45615</v>
      </c>
      <c r="C10617" s="1" t="n">
        <v>45710</v>
      </c>
      <c r="D10617" t="inlineStr">
        <is>
          <t>ÖSTERGÖTLANDS LÄN</t>
        </is>
      </c>
      <c r="E10617" t="inlineStr">
        <is>
          <t>MOTALA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53823-2024</t>
        </is>
      </c>
      <c r="B10618" s="1" t="n">
        <v>45615</v>
      </c>
      <c r="C10618" s="1" t="n">
        <v>45710</v>
      </c>
      <c r="D10618" t="inlineStr">
        <is>
          <t>ÖSTERGÖTLANDS LÄN</t>
        </is>
      </c>
      <c r="E10618" t="inlineStr">
        <is>
          <t>MOTALA</t>
        </is>
      </c>
      <c r="G10618" t="n">
        <v>1.5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53670-2024</t>
        </is>
      </c>
      <c r="B10619" s="1" t="n">
        <v>45615</v>
      </c>
      <c r="C10619" s="1" t="n">
        <v>45710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53676-2024</t>
        </is>
      </c>
      <c r="B10620" s="1" t="n">
        <v>45615</v>
      </c>
      <c r="C10620" s="1" t="n">
        <v>45710</v>
      </c>
      <c r="D10620" t="inlineStr">
        <is>
          <t>ÖSTERGÖTLANDS LÄN</t>
        </is>
      </c>
      <c r="E10620" t="inlineStr">
        <is>
          <t>ÖDESHÖG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53715-2024</t>
        </is>
      </c>
      <c r="B10621" s="1" t="n">
        <v>45615</v>
      </c>
      <c r="C10621" s="1" t="n">
        <v>45710</v>
      </c>
      <c r="D10621" t="inlineStr">
        <is>
          <t>ÖSTERGÖTLANDS LÄN</t>
        </is>
      </c>
      <c r="E10621" t="inlineStr">
        <is>
          <t>KINDA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53675-2024</t>
        </is>
      </c>
      <c r="B10622" s="1" t="n">
        <v>45615</v>
      </c>
      <c r="C10622" s="1" t="n">
        <v>45710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53781-2024</t>
        </is>
      </c>
      <c r="B10623" s="1" t="n">
        <v>45615</v>
      </c>
      <c r="C10623" s="1" t="n">
        <v>45710</v>
      </c>
      <c r="D10623" t="inlineStr">
        <is>
          <t>ÖSTERGÖTLANDS LÄN</t>
        </is>
      </c>
      <c r="E10623" t="inlineStr">
        <is>
          <t>MOTALA</t>
        </is>
      </c>
      <c r="G10623" t="n">
        <v>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53701-2024</t>
        </is>
      </c>
      <c r="B10624" s="1" t="n">
        <v>45615</v>
      </c>
      <c r="C10624" s="1" t="n">
        <v>45710</v>
      </c>
      <c r="D10624" t="inlineStr">
        <is>
          <t>ÖSTERGÖTLANDS LÄN</t>
        </is>
      </c>
      <c r="E10624" t="inlineStr">
        <is>
          <t>KINDA</t>
        </is>
      </c>
      <c r="G10624" t="n">
        <v>5.4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53928-2024</t>
        </is>
      </c>
      <c r="B10625" s="1" t="n">
        <v>45615</v>
      </c>
      <c r="C10625" s="1" t="n">
        <v>45710</v>
      </c>
      <c r="D10625" t="inlineStr">
        <is>
          <t>ÖSTERGÖTLANDS LÄN</t>
        </is>
      </c>
      <c r="E10625" t="inlineStr">
        <is>
          <t>KINDA</t>
        </is>
      </c>
      <c r="G10625" t="n">
        <v>0.6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53939-2024</t>
        </is>
      </c>
      <c r="B10626" s="1" t="n">
        <v>45615</v>
      </c>
      <c r="C10626" s="1" t="n">
        <v>45710</v>
      </c>
      <c r="D10626" t="inlineStr">
        <is>
          <t>ÖSTERGÖTLANDS LÄN</t>
        </is>
      </c>
      <c r="E10626" t="inlineStr">
        <is>
          <t>MJÖLBY</t>
        </is>
      </c>
      <c r="G10626" t="n">
        <v>3.6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53671-2024</t>
        </is>
      </c>
      <c r="B10627" s="1" t="n">
        <v>45615</v>
      </c>
      <c r="C10627" s="1" t="n">
        <v>45710</v>
      </c>
      <c r="D10627" t="inlineStr">
        <is>
          <t>ÖSTERGÖTLANDS LÄN</t>
        </is>
      </c>
      <c r="E10627" t="inlineStr">
        <is>
          <t>ÖDESHÖG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54028-2024</t>
        </is>
      </c>
      <c r="B10628" s="1" t="n">
        <v>45616</v>
      </c>
      <c r="C10628" s="1" t="n">
        <v>45710</v>
      </c>
      <c r="D10628" t="inlineStr">
        <is>
          <t>ÖSTERGÖTLANDS LÄN</t>
        </is>
      </c>
      <c r="E10628" t="inlineStr">
        <is>
          <t>ÖDESHÖG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54048-2024</t>
        </is>
      </c>
      <c r="B10629" s="1" t="n">
        <v>45616</v>
      </c>
      <c r="C10629" s="1" t="n">
        <v>45710</v>
      </c>
      <c r="D10629" t="inlineStr">
        <is>
          <t>ÖSTERGÖTLANDS LÄN</t>
        </is>
      </c>
      <c r="E10629" t="inlineStr">
        <is>
          <t>YDRE</t>
        </is>
      </c>
      <c r="G10629" t="n">
        <v>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53945-2024</t>
        </is>
      </c>
      <c r="B10630" s="1" t="n">
        <v>45616</v>
      </c>
      <c r="C10630" s="1" t="n">
        <v>45710</v>
      </c>
      <c r="D10630" t="inlineStr">
        <is>
          <t>ÖSTERGÖTLANDS LÄN</t>
        </is>
      </c>
      <c r="E10630" t="inlineStr">
        <is>
          <t>FINSPÅNG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54038-2024</t>
        </is>
      </c>
      <c r="B10631" s="1" t="n">
        <v>45616</v>
      </c>
      <c r="C10631" s="1" t="n">
        <v>45710</v>
      </c>
      <c r="D10631" t="inlineStr">
        <is>
          <t>ÖSTERGÖTLANDS LÄN</t>
        </is>
      </c>
      <c r="E10631" t="inlineStr">
        <is>
          <t>KINDA</t>
        </is>
      </c>
      <c r="G10631" t="n">
        <v>2.1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53944-2024</t>
        </is>
      </c>
      <c r="B10632" s="1" t="n">
        <v>45616</v>
      </c>
      <c r="C10632" s="1" t="n">
        <v>45710</v>
      </c>
      <c r="D10632" t="inlineStr">
        <is>
          <t>ÖSTERGÖTLANDS LÄN</t>
        </is>
      </c>
      <c r="E10632" t="inlineStr">
        <is>
          <t>FINSPÅNG</t>
        </is>
      </c>
      <c r="G10632" t="n">
        <v>0.8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54035-2024</t>
        </is>
      </c>
      <c r="B10633" s="1" t="n">
        <v>45616</v>
      </c>
      <c r="C10633" s="1" t="n">
        <v>45710</v>
      </c>
      <c r="D10633" t="inlineStr">
        <is>
          <t>ÖSTERGÖTLANDS LÄN</t>
        </is>
      </c>
      <c r="E10633" t="inlineStr">
        <is>
          <t>SÖDERKÖPING</t>
        </is>
      </c>
      <c r="G10633" t="n">
        <v>3.1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54047-2024</t>
        </is>
      </c>
      <c r="B10634" s="1" t="n">
        <v>45616</v>
      </c>
      <c r="C10634" s="1" t="n">
        <v>45710</v>
      </c>
      <c r="D10634" t="inlineStr">
        <is>
          <t>ÖSTERGÖTLANDS LÄN</t>
        </is>
      </c>
      <c r="E10634" t="inlineStr">
        <is>
          <t>YDRE</t>
        </is>
      </c>
      <c r="G10634" t="n">
        <v>4.8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53975-2024</t>
        </is>
      </c>
      <c r="B10635" s="1" t="n">
        <v>45616</v>
      </c>
      <c r="C10635" s="1" t="n">
        <v>45710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54087-2024</t>
        </is>
      </c>
      <c r="B10636" s="1" t="n">
        <v>45616</v>
      </c>
      <c r="C10636" s="1" t="n">
        <v>45710</v>
      </c>
      <c r="D10636" t="inlineStr">
        <is>
          <t>ÖSTERGÖTLANDS LÄN</t>
        </is>
      </c>
      <c r="E10636" t="inlineStr">
        <is>
          <t>KINDA</t>
        </is>
      </c>
      <c r="G10636" t="n">
        <v>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54107-2024</t>
        </is>
      </c>
      <c r="B10637" s="1" t="n">
        <v>45616</v>
      </c>
      <c r="C10637" s="1" t="n">
        <v>45710</v>
      </c>
      <c r="D10637" t="inlineStr">
        <is>
          <t>ÖSTERGÖTLANDS LÄN</t>
        </is>
      </c>
      <c r="E10637" t="inlineStr">
        <is>
          <t>KINDA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54203-2024</t>
        </is>
      </c>
      <c r="B10638" s="1" t="n">
        <v>45616</v>
      </c>
      <c r="C10638" s="1" t="n">
        <v>45710</v>
      </c>
      <c r="D10638" t="inlineStr">
        <is>
          <t>ÖSTERGÖTLANDS LÄN</t>
        </is>
      </c>
      <c r="E10638" t="inlineStr">
        <is>
          <t>LINKÖPING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54195-2024</t>
        </is>
      </c>
      <c r="B10639" s="1" t="n">
        <v>45616</v>
      </c>
      <c r="C10639" s="1" t="n">
        <v>45710</v>
      </c>
      <c r="D10639" t="inlineStr">
        <is>
          <t>ÖSTERGÖTLANDS LÄN</t>
        </is>
      </c>
      <c r="E10639" t="inlineStr">
        <is>
          <t>LINKÖPING</t>
        </is>
      </c>
      <c r="G10639" t="n">
        <v>2.7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54291-2024</t>
        </is>
      </c>
      <c r="B10640" s="1" t="n">
        <v>45617</v>
      </c>
      <c r="C10640" s="1" t="n">
        <v>45710</v>
      </c>
      <c r="D10640" t="inlineStr">
        <is>
          <t>ÖSTERGÖTLANDS LÄN</t>
        </is>
      </c>
      <c r="E10640" t="inlineStr">
        <is>
          <t>FINSPÅNG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54518-2024</t>
        </is>
      </c>
      <c r="B10641" s="1" t="n">
        <v>45617</v>
      </c>
      <c r="C10641" s="1" t="n">
        <v>45710</v>
      </c>
      <c r="D10641" t="inlineStr">
        <is>
          <t>ÖSTERGÖTLANDS LÄN</t>
        </is>
      </c>
      <c r="E10641" t="inlineStr">
        <is>
          <t>ÅTVIDABERG</t>
        </is>
      </c>
      <c r="G10641" t="n">
        <v>4.2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54567-2024</t>
        </is>
      </c>
      <c r="B10642" s="1" t="n">
        <v>45617</v>
      </c>
      <c r="C10642" s="1" t="n">
        <v>45710</v>
      </c>
      <c r="D10642" t="inlineStr">
        <is>
          <t>ÖSTERGÖTLANDS LÄN</t>
        </is>
      </c>
      <c r="E10642" t="inlineStr">
        <is>
          <t>YDRE</t>
        </is>
      </c>
      <c r="F10642" t="inlineStr">
        <is>
          <t>Kyrkan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54590-2024</t>
        </is>
      </c>
      <c r="B10643" s="1" t="n">
        <v>45617</v>
      </c>
      <c r="C10643" s="1" t="n">
        <v>45710</v>
      </c>
      <c r="D10643" t="inlineStr">
        <is>
          <t>ÖSTERGÖTLANDS LÄN</t>
        </is>
      </c>
      <c r="E10643" t="inlineStr">
        <is>
          <t>ÖDESHÖG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54564-2024</t>
        </is>
      </c>
      <c r="B10644" s="1" t="n">
        <v>45617</v>
      </c>
      <c r="C10644" s="1" t="n">
        <v>45710</v>
      </c>
      <c r="D10644" t="inlineStr">
        <is>
          <t>ÖSTERGÖTLANDS LÄN</t>
        </is>
      </c>
      <c r="E10644" t="inlineStr">
        <is>
          <t>YDRE</t>
        </is>
      </c>
      <c r="F10644" t="inlineStr">
        <is>
          <t>Kyrkan</t>
        </is>
      </c>
      <c r="G10644" t="n">
        <v>4.3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54433-2024</t>
        </is>
      </c>
      <c r="B10645" s="1" t="n">
        <v>45617</v>
      </c>
      <c r="C10645" s="1" t="n">
        <v>45710</v>
      </c>
      <c r="D10645" t="inlineStr">
        <is>
          <t>ÖSTERGÖTLANDS LÄN</t>
        </is>
      </c>
      <c r="E10645" t="inlineStr">
        <is>
          <t>VALDEMARSVIK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54493-2024</t>
        </is>
      </c>
      <c r="B10646" s="1" t="n">
        <v>45617</v>
      </c>
      <c r="C10646" s="1" t="n">
        <v>45710</v>
      </c>
      <c r="D10646" t="inlineStr">
        <is>
          <t>ÖSTERGÖTLANDS LÄN</t>
        </is>
      </c>
      <c r="E10646" t="inlineStr">
        <is>
          <t>KINDA</t>
        </is>
      </c>
      <c r="G10646" t="n">
        <v>4.5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54505-2024</t>
        </is>
      </c>
      <c r="B10647" s="1" t="n">
        <v>45617</v>
      </c>
      <c r="C10647" s="1" t="n">
        <v>45710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54569-2024</t>
        </is>
      </c>
      <c r="B10648" s="1" t="n">
        <v>45617</v>
      </c>
      <c r="C10648" s="1" t="n">
        <v>45710</v>
      </c>
      <c r="D10648" t="inlineStr">
        <is>
          <t>ÖSTERGÖTLANDS LÄN</t>
        </is>
      </c>
      <c r="E10648" t="inlineStr">
        <is>
          <t>YDRE</t>
        </is>
      </c>
      <c r="F10648" t="inlineStr">
        <is>
          <t>Kyrkan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54573-2024</t>
        </is>
      </c>
      <c r="B10649" s="1" t="n">
        <v>45617</v>
      </c>
      <c r="C10649" s="1" t="n">
        <v>45710</v>
      </c>
      <c r="D10649" t="inlineStr">
        <is>
          <t>ÖSTERGÖTLANDS LÄN</t>
        </is>
      </c>
      <c r="E10649" t="inlineStr">
        <is>
          <t>ÖDESHÖG</t>
        </is>
      </c>
      <c r="G10649" t="n">
        <v>2.8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54581-2024</t>
        </is>
      </c>
      <c r="B10650" s="1" t="n">
        <v>45617</v>
      </c>
      <c r="C10650" s="1" t="n">
        <v>45710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54916-2024</t>
        </is>
      </c>
      <c r="B10651" s="1" t="n">
        <v>45618</v>
      </c>
      <c r="C10651" s="1" t="n">
        <v>45710</v>
      </c>
      <c r="D10651" t="inlineStr">
        <is>
          <t>ÖSTERGÖTLANDS LÄN</t>
        </is>
      </c>
      <c r="E10651" t="inlineStr">
        <is>
          <t>FINSPÅNG</t>
        </is>
      </c>
      <c r="G10651" t="n">
        <v>11.8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54898-2024</t>
        </is>
      </c>
      <c r="B10652" s="1" t="n">
        <v>45618</v>
      </c>
      <c r="C10652" s="1" t="n">
        <v>45710</v>
      </c>
      <c r="D10652" t="inlineStr">
        <is>
          <t>ÖSTERGÖTLANDS LÄN</t>
        </is>
      </c>
      <c r="E10652" t="inlineStr">
        <is>
          <t>VALDEMARSVIK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54658-2024</t>
        </is>
      </c>
      <c r="B10653" s="1" t="n">
        <v>45618</v>
      </c>
      <c r="C10653" s="1" t="n">
        <v>45710</v>
      </c>
      <c r="D10653" t="inlineStr">
        <is>
          <t>ÖSTERGÖTLANDS LÄN</t>
        </is>
      </c>
      <c r="E10653" t="inlineStr">
        <is>
          <t>KINDA</t>
        </is>
      </c>
      <c r="G10653" t="n">
        <v>1.7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55173-2024</t>
        </is>
      </c>
      <c r="B10654" s="1" t="n">
        <v>45618</v>
      </c>
      <c r="C10654" s="1" t="n">
        <v>45710</v>
      </c>
      <c r="D10654" t="inlineStr">
        <is>
          <t>ÖSTERGÖTLANDS LÄN</t>
        </is>
      </c>
      <c r="E10654" t="inlineStr">
        <is>
          <t>ÖDESHÖG</t>
        </is>
      </c>
      <c r="G10654" t="n">
        <v>16.5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54846-2024</t>
        </is>
      </c>
      <c r="B10655" s="1" t="n">
        <v>45618</v>
      </c>
      <c r="C10655" s="1" t="n">
        <v>45710</v>
      </c>
      <c r="D10655" t="inlineStr">
        <is>
          <t>ÖSTERGÖTLANDS LÄN</t>
        </is>
      </c>
      <c r="E10655" t="inlineStr">
        <is>
          <t>LINKÖPING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55215-2024</t>
        </is>
      </c>
      <c r="B10656" s="1" t="n">
        <v>45621</v>
      </c>
      <c r="C10656" s="1" t="n">
        <v>45710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2.2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55031-2024</t>
        </is>
      </c>
      <c r="B10657" s="1" t="n">
        <v>45621</v>
      </c>
      <c r="C10657" s="1" t="n">
        <v>45710</v>
      </c>
      <c r="D10657" t="inlineStr">
        <is>
          <t>ÖSTERGÖTLANDS LÄN</t>
        </is>
      </c>
      <c r="E10657" t="inlineStr">
        <is>
          <t>MOTALA</t>
        </is>
      </c>
      <c r="F10657" t="inlineStr">
        <is>
          <t>Sveaskog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55027-2024</t>
        </is>
      </c>
      <c r="B10658" s="1" t="n">
        <v>45621</v>
      </c>
      <c r="C10658" s="1" t="n">
        <v>45710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5.8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55014-2024</t>
        </is>
      </c>
      <c r="B10659" s="1" t="n">
        <v>45621</v>
      </c>
      <c r="C10659" s="1" t="n">
        <v>45710</v>
      </c>
      <c r="D10659" t="inlineStr">
        <is>
          <t>ÖSTERGÖTLANDS LÄN</t>
        </is>
      </c>
      <c r="E10659" t="inlineStr">
        <is>
          <t>MOTALA</t>
        </is>
      </c>
      <c r="F10659" t="inlineStr">
        <is>
          <t>Sveaskog</t>
        </is>
      </c>
      <c r="G10659" t="n">
        <v>9.6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55028-2024</t>
        </is>
      </c>
      <c r="B10660" s="1" t="n">
        <v>45621</v>
      </c>
      <c r="C10660" s="1" t="n">
        <v>45710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2.8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55160-2024</t>
        </is>
      </c>
      <c r="B10661" s="1" t="n">
        <v>45621</v>
      </c>
      <c r="C10661" s="1" t="n">
        <v>45710</v>
      </c>
      <c r="D10661" t="inlineStr">
        <is>
          <t>ÖSTERGÖTLANDS LÄN</t>
        </is>
      </c>
      <c r="E10661" t="inlineStr">
        <is>
          <t>MOTALA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55231-2024</t>
        </is>
      </c>
      <c r="B10662" s="1" t="n">
        <v>45621</v>
      </c>
      <c r="C10662" s="1" t="n">
        <v>45710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55025-2024</t>
        </is>
      </c>
      <c r="B10663" s="1" t="n">
        <v>45621</v>
      </c>
      <c r="C10663" s="1" t="n">
        <v>45710</v>
      </c>
      <c r="D10663" t="inlineStr">
        <is>
          <t>ÖSTERGÖTLANDS LÄN</t>
        </is>
      </c>
      <c r="E10663" t="inlineStr">
        <is>
          <t>MOTALA</t>
        </is>
      </c>
      <c r="F10663" t="inlineStr">
        <is>
          <t>Sveaskog</t>
        </is>
      </c>
      <c r="G10663" t="n">
        <v>7.3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55199-2024</t>
        </is>
      </c>
      <c r="B10664" s="1" t="n">
        <v>45621</v>
      </c>
      <c r="C10664" s="1" t="n">
        <v>45710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55463-2024</t>
        </is>
      </c>
      <c r="B10665" s="1" t="n">
        <v>45622</v>
      </c>
      <c r="C10665" s="1" t="n">
        <v>45710</v>
      </c>
      <c r="D10665" t="inlineStr">
        <is>
          <t>ÖSTERGÖTLANDS LÄN</t>
        </is>
      </c>
      <c r="E10665" t="inlineStr">
        <is>
          <t>FINSPÅNG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55457-2024</t>
        </is>
      </c>
      <c r="B10666" s="1" t="n">
        <v>45622</v>
      </c>
      <c r="C10666" s="1" t="n">
        <v>45710</v>
      </c>
      <c r="D10666" t="inlineStr">
        <is>
          <t>ÖSTERGÖTLANDS LÄN</t>
        </is>
      </c>
      <c r="E10666" t="inlineStr">
        <is>
          <t>FINSPÅNG</t>
        </is>
      </c>
      <c r="G10666" t="n">
        <v>4.1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55581-2024</t>
        </is>
      </c>
      <c r="B10667" s="1" t="n">
        <v>45622</v>
      </c>
      <c r="C10667" s="1" t="n">
        <v>45710</v>
      </c>
      <c r="D10667" t="inlineStr">
        <is>
          <t>ÖSTERGÖTLANDS LÄN</t>
        </is>
      </c>
      <c r="E10667" t="inlineStr">
        <is>
          <t>FINSPÅNG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55596-2024</t>
        </is>
      </c>
      <c r="B10668" s="1" t="n">
        <v>45622</v>
      </c>
      <c r="C10668" s="1" t="n">
        <v>45710</v>
      </c>
      <c r="D10668" t="inlineStr">
        <is>
          <t>ÖSTERGÖTLANDS LÄN</t>
        </is>
      </c>
      <c r="E10668" t="inlineStr">
        <is>
          <t>FINSPÅNG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55624-2024</t>
        </is>
      </c>
      <c r="B10669" s="1" t="n">
        <v>45622</v>
      </c>
      <c r="C10669" s="1" t="n">
        <v>45710</v>
      </c>
      <c r="D10669" t="inlineStr">
        <is>
          <t>ÖSTERGÖTLANDS LÄN</t>
        </is>
      </c>
      <c r="E10669" t="inlineStr">
        <is>
          <t>FINSPÅNG</t>
        </is>
      </c>
      <c r="G10669" t="n">
        <v>1.5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55637-2024</t>
        </is>
      </c>
      <c r="B10670" s="1" t="n">
        <v>45622</v>
      </c>
      <c r="C10670" s="1" t="n">
        <v>45710</v>
      </c>
      <c r="D10670" t="inlineStr">
        <is>
          <t>ÖSTERGÖTLANDS LÄN</t>
        </is>
      </c>
      <c r="E10670" t="inlineStr">
        <is>
          <t>ÅTVIDABERG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55731-2024</t>
        </is>
      </c>
      <c r="B10671" s="1" t="n">
        <v>45622</v>
      </c>
      <c r="C10671" s="1" t="n">
        <v>45710</v>
      </c>
      <c r="D10671" t="inlineStr">
        <is>
          <t>ÖSTERGÖTLANDS LÄN</t>
        </is>
      </c>
      <c r="E10671" t="inlineStr">
        <is>
          <t>VALDEMARSVIK</t>
        </is>
      </c>
      <c r="G10671" t="n">
        <v>3.6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55541-2024</t>
        </is>
      </c>
      <c r="B10672" s="1" t="n">
        <v>45622</v>
      </c>
      <c r="C10672" s="1" t="n">
        <v>45710</v>
      </c>
      <c r="D10672" t="inlineStr">
        <is>
          <t>ÖSTERGÖTLANDS LÄN</t>
        </is>
      </c>
      <c r="E10672" t="inlineStr">
        <is>
          <t>VALDEMARSVIK</t>
        </is>
      </c>
      <c r="G10672" t="n">
        <v>5.8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55757-2024</t>
        </is>
      </c>
      <c r="B10673" s="1" t="n">
        <v>45623</v>
      </c>
      <c r="C10673" s="1" t="n">
        <v>45710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3.9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55767-2024</t>
        </is>
      </c>
      <c r="B10674" s="1" t="n">
        <v>45623</v>
      </c>
      <c r="C10674" s="1" t="n">
        <v>45710</v>
      </c>
      <c r="D10674" t="inlineStr">
        <is>
          <t>ÖSTERGÖTLANDS LÄN</t>
        </is>
      </c>
      <c r="E10674" t="inlineStr">
        <is>
          <t>LINKÖPING</t>
        </is>
      </c>
      <c r="G10674" t="n">
        <v>2.8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55882-2024</t>
        </is>
      </c>
      <c r="B10675" s="1" t="n">
        <v>45623</v>
      </c>
      <c r="C10675" s="1" t="n">
        <v>45710</v>
      </c>
      <c r="D10675" t="inlineStr">
        <is>
          <t>ÖSTERGÖTLANDS LÄN</t>
        </is>
      </c>
      <c r="E10675" t="inlineStr">
        <is>
          <t>SÖDERKÖPING</t>
        </is>
      </c>
      <c r="F10675" t="inlineStr">
        <is>
          <t>Holmen skog AB</t>
        </is>
      </c>
      <c r="G10675" t="n">
        <v>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55947-2024</t>
        </is>
      </c>
      <c r="B10676" s="1" t="n">
        <v>45623</v>
      </c>
      <c r="C10676" s="1" t="n">
        <v>45710</v>
      </c>
      <c r="D10676" t="inlineStr">
        <is>
          <t>ÖSTERGÖTLANDS LÄN</t>
        </is>
      </c>
      <c r="E10676" t="inlineStr">
        <is>
          <t>LINKÖPING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55945-2024</t>
        </is>
      </c>
      <c r="B10677" s="1" t="n">
        <v>45623</v>
      </c>
      <c r="C10677" s="1" t="n">
        <v>45710</v>
      </c>
      <c r="D10677" t="inlineStr">
        <is>
          <t>ÖSTERGÖTLANDS LÄN</t>
        </is>
      </c>
      <c r="E10677" t="inlineStr">
        <is>
          <t>LINKÖPING</t>
        </is>
      </c>
      <c r="G10677" t="n">
        <v>0.6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55965-2024</t>
        </is>
      </c>
      <c r="B10678" s="1" t="n">
        <v>45623</v>
      </c>
      <c r="C10678" s="1" t="n">
        <v>45710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5.7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55937-2024</t>
        </is>
      </c>
      <c r="B10679" s="1" t="n">
        <v>45623</v>
      </c>
      <c r="C10679" s="1" t="n">
        <v>45710</v>
      </c>
      <c r="D10679" t="inlineStr">
        <is>
          <t>ÖSTERGÖTLANDS LÄN</t>
        </is>
      </c>
      <c r="E10679" t="inlineStr">
        <is>
          <t>LINKÖPING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55944-2024</t>
        </is>
      </c>
      <c r="B10680" s="1" t="n">
        <v>45623</v>
      </c>
      <c r="C10680" s="1" t="n">
        <v>45710</v>
      </c>
      <c r="D10680" t="inlineStr">
        <is>
          <t>ÖSTERGÖTLANDS LÄN</t>
        </is>
      </c>
      <c r="E10680" t="inlineStr">
        <is>
          <t>LINKÖPING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55956-2024</t>
        </is>
      </c>
      <c r="B10681" s="1" t="n">
        <v>45623</v>
      </c>
      <c r="C10681" s="1" t="n">
        <v>45710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0.5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55980-2024</t>
        </is>
      </c>
      <c r="B10682" s="1" t="n">
        <v>45623</v>
      </c>
      <c r="C10682" s="1" t="n">
        <v>45710</v>
      </c>
      <c r="D10682" t="inlineStr">
        <is>
          <t>ÖSTERGÖTLANDS LÄN</t>
        </is>
      </c>
      <c r="E10682" t="inlineStr">
        <is>
          <t>FINSPÅNG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56011-2024</t>
        </is>
      </c>
      <c r="B10683" s="1" t="n">
        <v>45623</v>
      </c>
      <c r="C10683" s="1" t="n">
        <v>45710</v>
      </c>
      <c r="D10683" t="inlineStr">
        <is>
          <t>ÖSTERGÖTLANDS LÄN</t>
        </is>
      </c>
      <c r="E10683" t="inlineStr">
        <is>
          <t>YDRE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55996-2024</t>
        </is>
      </c>
      <c r="B10684" s="1" t="n">
        <v>45623</v>
      </c>
      <c r="C10684" s="1" t="n">
        <v>45710</v>
      </c>
      <c r="D10684" t="inlineStr">
        <is>
          <t>ÖSTERGÖTLANDS LÄN</t>
        </is>
      </c>
      <c r="E10684" t="inlineStr">
        <is>
          <t>LINKÖPING</t>
        </is>
      </c>
      <c r="G10684" t="n">
        <v>6.9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56041-2024</t>
        </is>
      </c>
      <c r="B10685" s="1" t="n">
        <v>45624</v>
      </c>
      <c r="C10685" s="1" t="n">
        <v>45710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Sveaskog</t>
        </is>
      </c>
      <c r="G10685" t="n">
        <v>4.5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56038-2024</t>
        </is>
      </c>
      <c r="B10686" s="1" t="n">
        <v>45624</v>
      </c>
      <c r="C10686" s="1" t="n">
        <v>45710</v>
      </c>
      <c r="D10686" t="inlineStr">
        <is>
          <t>ÖSTERGÖTLANDS LÄN</t>
        </is>
      </c>
      <c r="E10686" t="inlineStr">
        <is>
          <t>KINDA</t>
        </is>
      </c>
      <c r="F10686" t="inlineStr">
        <is>
          <t>Sveaskog</t>
        </is>
      </c>
      <c r="G10686" t="n">
        <v>2.7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56129-2024</t>
        </is>
      </c>
      <c r="B10687" s="1" t="n">
        <v>45624</v>
      </c>
      <c r="C10687" s="1" t="n">
        <v>45710</v>
      </c>
      <c r="D10687" t="inlineStr">
        <is>
          <t>ÖSTERGÖTLANDS LÄN</t>
        </is>
      </c>
      <c r="E10687" t="inlineStr">
        <is>
          <t>KINDA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56244-2024</t>
        </is>
      </c>
      <c r="B10688" s="1" t="n">
        <v>45624</v>
      </c>
      <c r="C10688" s="1" t="n">
        <v>45710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Allmännings- och besparingsskogar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56325-2024</t>
        </is>
      </c>
      <c r="B10689" s="1" t="n">
        <v>45624</v>
      </c>
      <c r="C10689" s="1" t="n">
        <v>45710</v>
      </c>
      <c r="D10689" t="inlineStr">
        <is>
          <t>ÖSTERGÖTLANDS LÄN</t>
        </is>
      </c>
      <c r="E10689" t="inlineStr">
        <is>
          <t>MOTALA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56140-2024</t>
        </is>
      </c>
      <c r="B10690" s="1" t="n">
        <v>45624</v>
      </c>
      <c r="C10690" s="1" t="n">
        <v>45710</v>
      </c>
      <c r="D10690" t="inlineStr">
        <is>
          <t>ÖSTERGÖTLANDS LÄN</t>
        </is>
      </c>
      <c r="E10690" t="inlineStr">
        <is>
          <t>KINDA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56180-2024</t>
        </is>
      </c>
      <c r="B10691" s="1" t="n">
        <v>45624</v>
      </c>
      <c r="C10691" s="1" t="n">
        <v>45710</v>
      </c>
      <c r="D10691" t="inlineStr">
        <is>
          <t>ÖSTERGÖTLANDS LÄN</t>
        </is>
      </c>
      <c r="E10691" t="inlineStr">
        <is>
          <t>LINKÖPING</t>
        </is>
      </c>
      <c r="G10691" t="n">
        <v>0.8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56274-2024</t>
        </is>
      </c>
      <c r="B10692" s="1" t="n">
        <v>45624</v>
      </c>
      <c r="C10692" s="1" t="n">
        <v>45710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56303-2024</t>
        </is>
      </c>
      <c r="B10693" s="1" t="n">
        <v>45624</v>
      </c>
      <c r="C10693" s="1" t="n">
        <v>45710</v>
      </c>
      <c r="D10693" t="inlineStr">
        <is>
          <t>ÖSTERGÖTLANDS LÄN</t>
        </is>
      </c>
      <c r="E10693" t="inlineStr">
        <is>
          <t>VALDEMARSVIK</t>
        </is>
      </c>
      <c r="G10693" t="n">
        <v>1.3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56192-2024</t>
        </is>
      </c>
      <c r="B10694" s="1" t="n">
        <v>45624</v>
      </c>
      <c r="C10694" s="1" t="n">
        <v>45710</v>
      </c>
      <c r="D10694" t="inlineStr">
        <is>
          <t>ÖSTERGÖTLANDS LÄN</t>
        </is>
      </c>
      <c r="E10694" t="inlineStr">
        <is>
          <t>FINSPÅNG</t>
        </is>
      </c>
      <c r="G10694" t="n">
        <v>0.7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56324-2024</t>
        </is>
      </c>
      <c r="B10695" s="1" t="n">
        <v>45624</v>
      </c>
      <c r="C10695" s="1" t="n">
        <v>45710</v>
      </c>
      <c r="D10695" t="inlineStr">
        <is>
          <t>ÖSTERGÖTLANDS LÄN</t>
        </is>
      </c>
      <c r="E10695" t="inlineStr">
        <is>
          <t>MOTALA</t>
        </is>
      </c>
      <c r="G10695" t="n">
        <v>0.6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56338-2024</t>
        </is>
      </c>
      <c r="B10696" s="1" t="n">
        <v>45624</v>
      </c>
      <c r="C10696" s="1" t="n">
        <v>45710</v>
      </c>
      <c r="D10696" t="inlineStr">
        <is>
          <t>ÖSTERGÖTLANDS LÄN</t>
        </is>
      </c>
      <c r="E10696" t="inlineStr">
        <is>
          <t>FINSPÅNG</t>
        </is>
      </c>
      <c r="G10696" t="n">
        <v>0.9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56497-2024</t>
        </is>
      </c>
      <c r="B10697" s="1" t="n">
        <v>45625</v>
      </c>
      <c r="C10697" s="1" t="n">
        <v>45710</v>
      </c>
      <c r="D10697" t="inlineStr">
        <is>
          <t>ÖSTERGÖTLANDS LÄN</t>
        </is>
      </c>
      <c r="E10697" t="inlineStr">
        <is>
          <t>KINDA</t>
        </is>
      </c>
      <c r="G10697" t="n">
        <v>0.7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56619-2024</t>
        </is>
      </c>
      <c r="B10698" s="1" t="n">
        <v>45625</v>
      </c>
      <c r="C10698" s="1" t="n">
        <v>45710</v>
      </c>
      <c r="D10698" t="inlineStr">
        <is>
          <t>ÖSTERGÖTLANDS LÄN</t>
        </is>
      </c>
      <c r="E10698" t="inlineStr">
        <is>
          <t>LINKÖPING</t>
        </is>
      </c>
      <c r="G10698" t="n">
        <v>1.9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56623-2024</t>
        </is>
      </c>
      <c r="B10699" s="1" t="n">
        <v>45625</v>
      </c>
      <c r="C10699" s="1" t="n">
        <v>45710</v>
      </c>
      <c r="D10699" t="inlineStr">
        <is>
          <t>ÖSTERGÖTLANDS LÄN</t>
        </is>
      </c>
      <c r="E10699" t="inlineStr">
        <is>
          <t>LINKÖPING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56643-2024</t>
        </is>
      </c>
      <c r="B10700" s="1" t="n">
        <v>45625</v>
      </c>
      <c r="C10700" s="1" t="n">
        <v>45710</v>
      </c>
      <c r="D10700" t="inlineStr">
        <is>
          <t>ÖSTERGÖTLANDS LÄN</t>
        </is>
      </c>
      <c r="E10700" t="inlineStr">
        <is>
          <t>FINSPÅNG</t>
        </is>
      </c>
      <c r="G10700" t="n">
        <v>1.6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56399-2024</t>
        </is>
      </c>
      <c r="B10701" s="1" t="n">
        <v>45625</v>
      </c>
      <c r="C10701" s="1" t="n">
        <v>45710</v>
      </c>
      <c r="D10701" t="inlineStr">
        <is>
          <t>ÖSTERGÖTLANDS LÄN</t>
        </is>
      </c>
      <c r="E10701" t="inlineStr">
        <is>
          <t>FINSPÅNG</t>
        </is>
      </c>
      <c r="G10701" t="n">
        <v>3.1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56483-2024</t>
        </is>
      </c>
      <c r="B10702" s="1" t="n">
        <v>45625</v>
      </c>
      <c r="C10702" s="1" t="n">
        <v>45710</v>
      </c>
      <c r="D10702" t="inlineStr">
        <is>
          <t>ÖSTERGÖTLANDS LÄN</t>
        </is>
      </c>
      <c r="E10702" t="inlineStr">
        <is>
          <t>KINDA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56556-2024</t>
        </is>
      </c>
      <c r="B10703" s="1" t="n">
        <v>45625</v>
      </c>
      <c r="C10703" s="1" t="n">
        <v>45710</v>
      </c>
      <c r="D10703" t="inlineStr">
        <is>
          <t>ÖSTERGÖTLANDS LÄN</t>
        </is>
      </c>
      <c r="E10703" t="inlineStr">
        <is>
          <t>FINSPÅNG</t>
        </is>
      </c>
      <c r="G10703" t="n">
        <v>1.7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56613-2024</t>
        </is>
      </c>
      <c r="B10704" s="1" t="n">
        <v>45625</v>
      </c>
      <c r="C10704" s="1" t="n">
        <v>45710</v>
      </c>
      <c r="D10704" t="inlineStr">
        <is>
          <t>ÖSTERGÖTLANDS LÄN</t>
        </is>
      </c>
      <c r="E10704" t="inlineStr">
        <is>
          <t>LINKÖPING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56830-2024</t>
        </is>
      </c>
      <c r="B10705" s="1" t="n">
        <v>45628</v>
      </c>
      <c r="C10705" s="1" t="n">
        <v>45710</v>
      </c>
      <c r="D10705" t="inlineStr">
        <is>
          <t>ÖSTERGÖTLANDS LÄN</t>
        </is>
      </c>
      <c r="E10705" t="inlineStr">
        <is>
          <t>VALDEMARSVIK</t>
        </is>
      </c>
      <c r="G10705" t="n">
        <v>8.199999999999999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56716-2024</t>
        </is>
      </c>
      <c r="B10706" s="1" t="n">
        <v>45628</v>
      </c>
      <c r="C10706" s="1" t="n">
        <v>45710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56865-2024</t>
        </is>
      </c>
      <c r="B10707" s="1" t="n">
        <v>45628</v>
      </c>
      <c r="C10707" s="1" t="n">
        <v>45710</v>
      </c>
      <c r="D10707" t="inlineStr">
        <is>
          <t>ÖSTERGÖTLANDS LÄN</t>
        </is>
      </c>
      <c r="E10707" t="inlineStr">
        <is>
          <t>ÅTVIDABERG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57025-2024</t>
        </is>
      </c>
      <c r="B10708" s="1" t="n">
        <v>45628</v>
      </c>
      <c r="C10708" s="1" t="n">
        <v>45710</v>
      </c>
      <c r="D10708" t="inlineStr">
        <is>
          <t>ÖSTERGÖTLANDS LÄN</t>
        </is>
      </c>
      <c r="E10708" t="inlineStr">
        <is>
          <t>SÖDERKÖPING</t>
        </is>
      </c>
      <c r="G10708" t="n">
        <v>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56873-2024</t>
        </is>
      </c>
      <c r="B10709" s="1" t="n">
        <v>45628</v>
      </c>
      <c r="C10709" s="1" t="n">
        <v>45710</v>
      </c>
      <c r="D10709" t="inlineStr">
        <is>
          <t>ÖSTERGÖTLANDS LÄN</t>
        </is>
      </c>
      <c r="E10709" t="inlineStr">
        <is>
          <t>ÅTVIDABERG</t>
        </is>
      </c>
      <c r="G10709" t="n">
        <v>0.7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56855-2024</t>
        </is>
      </c>
      <c r="B10710" s="1" t="n">
        <v>45628</v>
      </c>
      <c r="C10710" s="1" t="n">
        <v>45710</v>
      </c>
      <c r="D10710" t="inlineStr">
        <is>
          <t>ÖSTERGÖTLANDS LÄN</t>
        </is>
      </c>
      <c r="E10710" t="inlineStr">
        <is>
          <t>VALDEMARSVIK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56859-2024</t>
        </is>
      </c>
      <c r="B10711" s="1" t="n">
        <v>45628</v>
      </c>
      <c r="C10711" s="1" t="n">
        <v>45710</v>
      </c>
      <c r="D10711" t="inlineStr">
        <is>
          <t>ÖSTERGÖTLANDS LÄN</t>
        </is>
      </c>
      <c r="E10711" t="inlineStr">
        <is>
          <t>VALDEMARSVIK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56876-2024</t>
        </is>
      </c>
      <c r="B10712" s="1" t="n">
        <v>45628</v>
      </c>
      <c r="C10712" s="1" t="n">
        <v>45710</v>
      </c>
      <c r="D10712" t="inlineStr">
        <is>
          <t>ÖSTERGÖTLANDS LÄN</t>
        </is>
      </c>
      <c r="E10712" t="inlineStr">
        <is>
          <t>NORRKÖPING</t>
        </is>
      </c>
      <c r="F10712" t="inlineStr">
        <is>
          <t>Holmen skog AB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57027-2024</t>
        </is>
      </c>
      <c r="B10713" s="1" t="n">
        <v>45628</v>
      </c>
      <c r="C10713" s="1" t="n">
        <v>45710</v>
      </c>
      <c r="D10713" t="inlineStr">
        <is>
          <t>ÖSTERGÖTLANDS LÄN</t>
        </is>
      </c>
      <c r="E10713" t="inlineStr">
        <is>
          <t>SÖDERKÖPING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57104-2024</t>
        </is>
      </c>
      <c r="B10714" s="1" t="n">
        <v>45629</v>
      </c>
      <c r="C10714" s="1" t="n">
        <v>45710</v>
      </c>
      <c r="D10714" t="inlineStr">
        <is>
          <t>ÖSTERGÖTLANDS LÄN</t>
        </is>
      </c>
      <c r="E10714" t="inlineStr">
        <is>
          <t>FINSPÅNG</t>
        </is>
      </c>
      <c r="F10714" t="inlineStr">
        <is>
          <t>Holmen skog AB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57169-2024</t>
        </is>
      </c>
      <c r="B10715" s="1" t="n">
        <v>45629</v>
      </c>
      <c r="C10715" s="1" t="n">
        <v>45710</v>
      </c>
      <c r="D10715" t="inlineStr">
        <is>
          <t>ÖSTERGÖTLANDS LÄN</t>
        </is>
      </c>
      <c r="E10715" t="inlineStr">
        <is>
          <t>ÅTVIDABERG</t>
        </is>
      </c>
      <c r="G10715" t="n">
        <v>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57051-2024</t>
        </is>
      </c>
      <c r="B10716" s="1" t="n">
        <v>45629</v>
      </c>
      <c r="C10716" s="1" t="n">
        <v>45710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2.6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57225-2024</t>
        </is>
      </c>
      <c r="B10717" s="1" t="n">
        <v>45629</v>
      </c>
      <c r="C10717" s="1" t="n">
        <v>45710</v>
      </c>
      <c r="D10717" t="inlineStr">
        <is>
          <t>ÖSTERGÖTLANDS LÄN</t>
        </is>
      </c>
      <c r="E10717" t="inlineStr">
        <is>
          <t>SÖDERKÖPING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57284-2024</t>
        </is>
      </c>
      <c r="B10718" s="1" t="n">
        <v>45629</v>
      </c>
      <c r="C10718" s="1" t="n">
        <v>45710</v>
      </c>
      <c r="D10718" t="inlineStr">
        <is>
          <t>ÖSTERGÖTLANDS LÄN</t>
        </is>
      </c>
      <c r="E10718" t="inlineStr">
        <is>
          <t>MJÖLBY</t>
        </is>
      </c>
      <c r="G10718" t="n">
        <v>2.2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57365-2024</t>
        </is>
      </c>
      <c r="B10719" s="1" t="n">
        <v>45629</v>
      </c>
      <c r="C10719" s="1" t="n">
        <v>45710</v>
      </c>
      <c r="D10719" t="inlineStr">
        <is>
          <t>ÖSTERGÖTLANDS LÄN</t>
        </is>
      </c>
      <c r="E10719" t="inlineStr">
        <is>
          <t>NORRKÖPING</t>
        </is>
      </c>
      <c r="G10719" t="n">
        <v>1.5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57393-2024</t>
        </is>
      </c>
      <c r="B10720" s="1" t="n">
        <v>45629</v>
      </c>
      <c r="C10720" s="1" t="n">
        <v>45710</v>
      </c>
      <c r="D10720" t="inlineStr">
        <is>
          <t>ÖSTERGÖTLANDS LÄN</t>
        </is>
      </c>
      <c r="E10720" t="inlineStr">
        <is>
          <t>NORRKÖPING</t>
        </is>
      </c>
      <c r="G10720" t="n">
        <v>4.1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57405-2024</t>
        </is>
      </c>
      <c r="B10721" s="1" t="n">
        <v>45629</v>
      </c>
      <c r="C10721" s="1" t="n">
        <v>45710</v>
      </c>
      <c r="D10721" t="inlineStr">
        <is>
          <t>ÖSTERGÖTLANDS LÄN</t>
        </is>
      </c>
      <c r="E10721" t="inlineStr">
        <is>
          <t>NORRKÖPING</t>
        </is>
      </c>
      <c r="G10721" t="n">
        <v>3.8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57156-2024</t>
        </is>
      </c>
      <c r="B10722" s="1" t="n">
        <v>45629</v>
      </c>
      <c r="C10722" s="1" t="n">
        <v>45710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57255-2024</t>
        </is>
      </c>
      <c r="B10723" s="1" t="n">
        <v>45629</v>
      </c>
      <c r="C10723" s="1" t="n">
        <v>45710</v>
      </c>
      <c r="D10723" t="inlineStr">
        <is>
          <t>ÖSTERGÖTLANDS LÄN</t>
        </is>
      </c>
      <c r="E10723" t="inlineStr">
        <is>
          <t>SÖDERKÖPING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57240-2024</t>
        </is>
      </c>
      <c r="B10724" s="1" t="n">
        <v>45629</v>
      </c>
      <c r="C10724" s="1" t="n">
        <v>45710</v>
      </c>
      <c r="D10724" t="inlineStr">
        <is>
          <t>ÖSTERGÖTLANDS LÄN</t>
        </is>
      </c>
      <c r="E10724" t="inlineStr">
        <is>
          <t>VALDEMARSVIK</t>
        </is>
      </c>
      <c r="G10724" t="n">
        <v>5.1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57267-2024</t>
        </is>
      </c>
      <c r="B10725" s="1" t="n">
        <v>45629</v>
      </c>
      <c r="C10725" s="1" t="n">
        <v>45710</v>
      </c>
      <c r="D10725" t="inlineStr">
        <is>
          <t>ÖSTERGÖTLANDS LÄN</t>
        </is>
      </c>
      <c r="E10725" t="inlineStr">
        <is>
          <t>SÖDERKÖPING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57276-2024</t>
        </is>
      </c>
      <c r="B10726" s="1" t="n">
        <v>45629</v>
      </c>
      <c r="C10726" s="1" t="n">
        <v>45710</v>
      </c>
      <c r="D10726" t="inlineStr">
        <is>
          <t>ÖSTERGÖTLANDS LÄN</t>
        </is>
      </c>
      <c r="E10726" t="inlineStr">
        <is>
          <t>MOTALA</t>
        </is>
      </c>
      <c r="G10726" t="n">
        <v>4.5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57301-2024</t>
        </is>
      </c>
      <c r="B10727" s="1" t="n">
        <v>45629</v>
      </c>
      <c r="C10727" s="1" t="n">
        <v>45710</v>
      </c>
      <c r="D10727" t="inlineStr">
        <is>
          <t>ÖSTERGÖTLANDS LÄN</t>
        </is>
      </c>
      <c r="E10727" t="inlineStr">
        <is>
          <t>NORRKÖPING</t>
        </is>
      </c>
      <c r="G10727" t="n">
        <v>4.8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57347-2024</t>
        </is>
      </c>
      <c r="B10728" s="1" t="n">
        <v>45629</v>
      </c>
      <c r="C10728" s="1" t="n">
        <v>45710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3.3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57407-2024</t>
        </is>
      </c>
      <c r="B10729" s="1" t="n">
        <v>45629</v>
      </c>
      <c r="C10729" s="1" t="n">
        <v>45710</v>
      </c>
      <c r="D10729" t="inlineStr">
        <is>
          <t>ÖSTERGÖTLANDS LÄN</t>
        </is>
      </c>
      <c r="E10729" t="inlineStr">
        <is>
          <t>SÖDERKÖPING</t>
        </is>
      </c>
      <c r="G10729" t="n">
        <v>1.9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57119-2024</t>
        </is>
      </c>
      <c r="B10730" s="1" t="n">
        <v>45629</v>
      </c>
      <c r="C10730" s="1" t="n">
        <v>45710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57144-2024</t>
        </is>
      </c>
      <c r="B10731" s="1" t="n">
        <v>45629</v>
      </c>
      <c r="C10731" s="1" t="n">
        <v>45710</v>
      </c>
      <c r="D10731" t="inlineStr">
        <is>
          <t>ÖSTERGÖTLANDS LÄN</t>
        </is>
      </c>
      <c r="E10731" t="inlineStr">
        <is>
          <t>VALDEMARSVIK</t>
        </is>
      </c>
      <c r="G10731" t="n">
        <v>1.8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57202-2024</t>
        </is>
      </c>
      <c r="B10732" s="1" t="n">
        <v>45629</v>
      </c>
      <c r="C10732" s="1" t="n">
        <v>45710</v>
      </c>
      <c r="D10732" t="inlineStr">
        <is>
          <t>ÖSTERGÖTLANDS LÄN</t>
        </is>
      </c>
      <c r="E10732" t="inlineStr">
        <is>
          <t>FINSPÅNG</t>
        </is>
      </c>
      <c r="G10732" t="n">
        <v>3.8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57312-2024</t>
        </is>
      </c>
      <c r="B10733" s="1" t="n">
        <v>45629</v>
      </c>
      <c r="C10733" s="1" t="n">
        <v>45710</v>
      </c>
      <c r="D10733" t="inlineStr">
        <is>
          <t>ÖSTERGÖTLANDS LÄN</t>
        </is>
      </c>
      <c r="E10733" t="inlineStr">
        <is>
          <t>MJÖLBY</t>
        </is>
      </c>
      <c r="G10733" t="n">
        <v>4.2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57352-2024</t>
        </is>
      </c>
      <c r="B10734" s="1" t="n">
        <v>45629</v>
      </c>
      <c r="C10734" s="1" t="n">
        <v>45710</v>
      </c>
      <c r="D10734" t="inlineStr">
        <is>
          <t>ÖSTERGÖTLANDS LÄN</t>
        </is>
      </c>
      <c r="E10734" t="inlineStr">
        <is>
          <t>NORRKÖPING</t>
        </is>
      </c>
      <c r="G10734" t="n">
        <v>4.5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57376-2024</t>
        </is>
      </c>
      <c r="B10735" s="1" t="n">
        <v>45629</v>
      </c>
      <c r="C10735" s="1" t="n">
        <v>45710</v>
      </c>
      <c r="D10735" t="inlineStr">
        <is>
          <t>ÖSTERGÖTLANDS LÄN</t>
        </is>
      </c>
      <c r="E10735" t="inlineStr">
        <is>
          <t>NORRKÖPING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57380-2024</t>
        </is>
      </c>
      <c r="B10736" s="1" t="n">
        <v>45629</v>
      </c>
      <c r="C10736" s="1" t="n">
        <v>45710</v>
      </c>
      <c r="D10736" t="inlineStr">
        <is>
          <t>ÖSTERGÖTLANDS LÄN</t>
        </is>
      </c>
      <c r="E10736" t="inlineStr">
        <is>
          <t>NORRKÖPING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57506-2024</t>
        </is>
      </c>
      <c r="B10737" s="1" t="n">
        <v>45629</v>
      </c>
      <c r="C10737" s="1" t="n">
        <v>45710</v>
      </c>
      <c r="D10737" t="inlineStr">
        <is>
          <t>ÖSTERGÖTLANDS LÄN</t>
        </is>
      </c>
      <c r="E10737" t="inlineStr">
        <is>
          <t>MOTALA</t>
        </is>
      </c>
      <c r="G10737" t="n">
        <v>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57681-2024</t>
        </is>
      </c>
      <c r="B10738" s="1" t="n">
        <v>45630</v>
      </c>
      <c r="C10738" s="1" t="n">
        <v>45710</v>
      </c>
      <c r="D10738" t="inlineStr">
        <is>
          <t>ÖSTERGÖTLANDS LÄN</t>
        </is>
      </c>
      <c r="E10738" t="inlineStr">
        <is>
          <t>MOTALA</t>
        </is>
      </c>
      <c r="G10738" t="n">
        <v>3.9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57816-2024</t>
        </is>
      </c>
      <c r="B10739" s="1" t="n">
        <v>45630</v>
      </c>
      <c r="C10739" s="1" t="n">
        <v>45710</v>
      </c>
      <c r="D10739" t="inlineStr">
        <is>
          <t>ÖSTERGÖTLANDS LÄN</t>
        </is>
      </c>
      <c r="E10739" t="inlineStr">
        <is>
          <t>MJÖLBY</t>
        </is>
      </c>
      <c r="G10739" t="n">
        <v>1.4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57987-2024</t>
        </is>
      </c>
      <c r="B10740" s="1" t="n">
        <v>45631</v>
      </c>
      <c r="C10740" s="1" t="n">
        <v>45710</v>
      </c>
      <c r="D10740" t="inlineStr">
        <is>
          <t>ÖSTERGÖTLANDS LÄN</t>
        </is>
      </c>
      <c r="E10740" t="inlineStr">
        <is>
          <t>KINDA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58018-2024</t>
        </is>
      </c>
      <c r="B10741" s="1" t="n">
        <v>45631</v>
      </c>
      <c r="C10741" s="1" t="n">
        <v>45710</v>
      </c>
      <c r="D10741" t="inlineStr">
        <is>
          <t>ÖSTERGÖTLANDS LÄN</t>
        </is>
      </c>
      <c r="E10741" t="inlineStr">
        <is>
          <t>ÖDESHÖG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58022-2024</t>
        </is>
      </c>
      <c r="B10742" s="1" t="n">
        <v>45631</v>
      </c>
      <c r="C10742" s="1" t="n">
        <v>45710</v>
      </c>
      <c r="D10742" t="inlineStr">
        <is>
          <t>ÖSTERGÖTLANDS LÄN</t>
        </is>
      </c>
      <c r="E10742" t="inlineStr">
        <is>
          <t>FINSPÅNG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58026-2024</t>
        </is>
      </c>
      <c r="B10743" s="1" t="n">
        <v>45631</v>
      </c>
      <c r="C10743" s="1" t="n">
        <v>45710</v>
      </c>
      <c r="D10743" t="inlineStr">
        <is>
          <t>ÖSTERGÖTLANDS LÄN</t>
        </is>
      </c>
      <c r="E10743" t="inlineStr">
        <is>
          <t>FINSPÅNG</t>
        </is>
      </c>
      <c r="G10743" t="n">
        <v>1.1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58039-2024</t>
        </is>
      </c>
      <c r="B10744" s="1" t="n">
        <v>45631</v>
      </c>
      <c r="C10744" s="1" t="n">
        <v>45710</v>
      </c>
      <c r="D10744" t="inlineStr">
        <is>
          <t>ÖSTERGÖTLANDS LÄN</t>
        </is>
      </c>
      <c r="E10744" t="inlineStr">
        <is>
          <t>FINSPÅNG</t>
        </is>
      </c>
      <c r="G10744" t="n">
        <v>2.2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58170-2024</t>
        </is>
      </c>
      <c r="B10745" s="1" t="n">
        <v>45632</v>
      </c>
      <c r="C10745" s="1" t="n">
        <v>45710</v>
      </c>
      <c r="D10745" t="inlineStr">
        <is>
          <t>ÖSTERGÖTLANDS LÄN</t>
        </is>
      </c>
      <c r="E10745" t="inlineStr">
        <is>
          <t>YDRE</t>
        </is>
      </c>
      <c r="G10745" t="n">
        <v>4.6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58198-2024</t>
        </is>
      </c>
      <c r="B10746" s="1" t="n">
        <v>45632</v>
      </c>
      <c r="C10746" s="1" t="n">
        <v>45710</v>
      </c>
      <c r="D10746" t="inlineStr">
        <is>
          <t>ÖSTERGÖTLANDS LÄN</t>
        </is>
      </c>
      <c r="E10746" t="inlineStr">
        <is>
          <t>ÖDESHÖG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58247-2024</t>
        </is>
      </c>
      <c r="B10747" s="1" t="n">
        <v>45632</v>
      </c>
      <c r="C10747" s="1" t="n">
        <v>45710</v>
      </c>
      <c r="D10747" t="inlineStr">
        <is>
          <t>ÖSTERGÖTLANDS LÄN</t>
        </is>
      </c>
      <c r="E10747" t="inlineStr">
        <is>
          <t>VALDEMARSVIK</t>
        </is>
      </c>
      <c r="G10747" t="n">
        <v>8.4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58289-2024</t>
        </is>
      </c>
      <c r="B10748" s="1" t="n">
        <v>45632</v>
      </c>
      <c r="C10748" s="1" t="n">
        <v>45710</v>
      </c>
      <c r="D10748" t="inlineStr">
        <is>
          <t>ÖSTERGÖTLANDS LÄN</t>
        </is>
      </c>
      <c r="E10748" t="inlineStr">
        <is>
          <t>KINDA</t>
        </is>
      </c>
      <c r="G10748" t="n">
        <v>4.4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58098-2024</t>
        </is>
      </c>
      <c r="B10749" s="1" t="n">
        <v>45632</v>
      </c>
      <c r="C10749" s="1" t="n">
        <v>45710</v>
      </c>
      <c r="D10749" t="inlineStr">
        <is>
          <t>ÖSTERGÖTLANDS LÄN</t>
        </is>
      </c>
      <c r="E10749" t="inlineStr">
        <is>
          <t>KINDA</t>
        </is>
      </c>
      <c r="F10749" t="inlineStr">
        <is>
          <t>Sveaskog</t>
        </is>
      </c>
      <c r="G10749" t="n">
        <v>2.6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58231-2024</t>
        </is>
      </c>
      <c r="B10750" s="1" t="n">
        <v>45632</v>
      </c>
      <c r="C10750" s="1" t="n">
        <v>45710</v>
      </c>
      <c r="D10750" t="inlineStr">
        <is>
          <t>ÖSTERGÖTLANDS LÄN</t>
        </is>
      </c>
      <c r="E10750" t="inlineStr">
        <is>
          <t>KINDA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58225-2024</t>
        </is>
      </c>
      <c r="B10751" s="1" t="n">
        <v>45632</v>
      </c>
      <c r="C10751" s="1" t="n">
        <v>45710</v>
      </c>
      <c r="D10751" t="inlineStr">
        <is>
          <t>ÖSTERGÖTLANDS LÄN</t>
        </is>
      </c>
      <c r="E10751" t="inlineStr">
        <is>
          <t>BOXHOLM</t>
        </is>
      </c>
      <c r="G10751" t="n">
        <v>2.3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58184-2024</t>
        </is>
      </c>
      <c r="B10752" s="1" t="n">
        <v>45632</v>
      </c>
      <c r="C10752" s="1" t="n">
        <v>45710</v>
      </c>
      <c r="D10752" t="inlineStr">
        <is>
          <t>ÖSTERGÖTLANDS LÄN</t>
        </is>
      </c>
      <c r="E10752" t="inlineStr">
        <is>
          <t>YDRE</t>
        </is>
      </c>
      <c r="G10752" t="n">
        <v>1.9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58228-2024</t>
        </is>
      </c>
      <c r="B10753" s="1" t="n">
        <v>45632</v>
      </c>
      <c r="C10753" s="1" t="n">
        <v>45710</v>
      </c>
      <c r="D10753" t="inlineStr">
        <is>
          <t>ÖSTERGÖTLANDS LÄN</t>
        </is>
      </c>
      <c r="E10753" t="inlineStr">
        <is>
          <t>KINDA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58254-2024</t>
        </is>
      </c>
      <c r="B10754" s="1" t="n">
        <v>45632</v>
      </c>
      <c r="C10754" s="1" t="n">
        <v>45710</v>
      </c>
      <c r="D10754" t="inlineStr">
        <is>
          <t>ÖSTERGÖTLANDS LÄN</t>
        </is>
      </c>
      <c r="E10754" t="inlineStr">
        <is>
          <t>VALDEMARSVIK</t>
        </is>
      </c>
      <c r="G10754" t="n">
        <v>2.3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58678-2024</t>
        </is>
      </c>
      <c r="B10755" s="1" t="n">
        <v>45632</v>
      </c>
      <c r="C10755" s="1" t="n">
        <v>45710</v>
      </c>
      <c r="D10755" t="inlineStr">
        <is>
          <t>ÖSTERGÖTLANDS LÄN</t>
        </is>
      </c>
      <c r="E10755" t="inlineStr">
        <is>
          <t>MOTALA</t>
        </is>
      </c>
      <c r="G10755" t="n">
        <v>3.7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58384-2024</t>
        </is>
      </c>
      <c r="B10756" s="1" t="n">
        <v>45633</v>
      </c>
      <c r="C10756" s="1" t="n">
        <v>45710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58414-2024</t>
        </is>
      </c>
      <c r="B10757" s="1" t="n">
        <v>45634</v>
      </c>
      <c r="C10757" s="1" t="n">
        <v>45710</v>
      </c>
      <c r="D10757" t="inlineStr">
        <is>
          <t>ÖSTERGÖTLANDS LÄN</t>
        </is>
      </c>
      <c r="E10757" t="inlineStr">
        <is>
          <t>YDRE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58413-2024</t>
        </is>
      </c>
      <c r="B10758" s="1" t="n">
        <v>45634</v>
      </c>
      <c r="C10758" s="1" t="n">
        <v>45710</v>
      </c>
      <c r="D10758" t="inlineStr">
        <is>
          <t>ÖSTERGÖTLANDS LÄN</t>
        </is>
      </c>
      <c r="E10758" t="inlineStr">
        <is>
          <t>YDRE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58434-2024</t>
        </is>
      </c>
      <c r="B10759" s="1" t="n">
        <v>45634</v>
      </c>
      <c r="C10759" s="1" t="n">
        <v>45710</v>
      </c>
      <c r="D10759" t="inlineStr">
        <is>
          <t>ÖSTERGÖTLANDS LÄN</t>
        </is>
      </c>
      <c r="E10759" t="inlineStr">
        <is>
          <t>FINSPÅNG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58474-2024</t>
        </is>
      </c>
      <c r="B10760" s="1" t="n">
        <v>45635</v>
      </c>
      <c r="C10760" s="1" t="n">
        <v>45710</v>
      </c>
      <c r="D10760" t="inlineStr">
        <is>
          <t>ÖSTERGÖTLANDS LÄN</t>
        </is>
      </c>
      <c r="E10760" t="inlineStr">
        <is>
          <t>ÖDESHÖG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58693-2024</t>
        </is>
      </c>
      <c r="B10761" s="1" t="n">
        <v>45635</v>
      </c>
      <c r="C10761" s="1" t="n">
        <v>45710</v>
      </c>
      <c r="D10761" t="inlineStr">
        <is>
          <t>ÖSTERGÖTLANDS LÄN</t>
        </is>
      </c>
      <c r="E10761" t="inlineStr">
        <is>
          <t>BOXHOLM</t>
        </is>
      </c>
      <c r="G10761" t="n">
        <v>5.9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58704-2024</t>
        </is>
      </c>
      <c r="B10762" s="1" t="n">
        <v>45635</v>
      </c>
      <c r="C10762" s="1" t="n">
        <v>45710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3.1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58658-2024</t>
        </is>
      </c>
      <c r="B10763" s="1" t="n">
        <v>45635</v>
      </c>
      <c r="C10763" s="1" t="n">
        <v>45710</v>
      </c>
      <c r="D10763" t="inlineStr">
        <is>
          <t>ÖSTERGÖTLANDS LÄN</t>
        </is>
      </c>
      <c r="E10763" t="inlineStr">
        <is>
          <t>MJÖLBY</t>
        </is>
      </c>
      <c r="F10763" t="inlineStr">
        <is>
          <t>Sveaskog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58737-2024</t>
        </is>
      </c>
      <c r="B10764" s="1" t="n">
        <v>45635</v>
      </c>
      <c r="C10764" s="1" t="n">
        <v>45710</v>
      </c>
      <c r="D10764" t="inlineStr">
        <is>
          <t>ÖSTERGÖTLANDS LÄN</t>
        </is>
      </c>
      <c r="E10764" t="inlineStr">
        <is>
          <t>KINDA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58730-2024</t>
        </is>
      </c>
      <c r="B10765" s="1" t="n">
        <v>45635</v>
      </c>
      <c r="C10765" s="1" t="n">
        <v>45710</v>
      </c>
      <c r="D10765" t="inlineStr">
        <is>
          <t>ÖSTERGÖTLANDS LÄN</t>
        </is>
      </c>
      <c r="E10765" t="inlineStr">
        <is>
          <t>SÖDERKÖPING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58738-2024</t>
        </is>
      </c>
      <c r="B10766" s="1" t="n">
        <v>45635</v>
      </c>
      <c r="C10766" s="1" t="n">
        <v>45710</v>
      </c>
      <c r="D10766" t="inlineStr">
        <is>
          <t>ÖSTERGÖTLANDS LÄN</t>
        </is>
      </c>
      <c r="E10766" t="inlineStr">
        <is>
          <t>KINDA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  <c r="U10766">
        <f>HYPERLINK("https://klasma.github.io/Logging_0513/knärot/A 58738-2024 karta knärot.png", "A 58738-2024")</f>
        <v/>
      </c>
      <c r="V10766">
        <f>HYPERLINK("https://klasma.github.io/Logging_0513/klagomål/A 58738-2024 FSC-klagomål.docx", "A 58738-2024")</f>
        <v/>
      </c>
      <c r="W10766">
        <f>HYPERLINK("https://klasma.github.io/Logging_0513/klagomålsmail/A 58738-2024 FSC-klagomål mail.docx", "A 58738-2024")</f>
        <v/>
      </c>
      <c r="X10766">
        <f>HYPERLINK("https://klasma.github.io/Logging_0513/tillsyn/A 58738-2024 tillsynsbegäran.docx", "A 58738-2024")</f>
        <v/>
      </c>
      <c r="Y10766">
        <f>HYPERLINK("https://klasma.github.io/Logging_0513/tillsynsmail/A 58738-2024 tillsynsbegäran mail.docx", "A 58738-2024")</f>
        <v/>
      </c>
    </row>
    <row r="10767" ht="15" customHeight="1">
      <c r="A10767" t="inlineStr">
        <is>
          <t>A 58951-2024</t>
        </is>
      </c>
      <c r="B10767" s="1" t="n">
        <v>45636</v>
      </c>
      <c r="C10767" s="1" t="n">
        <v>45710</v>
      </c>
      <c r="D10767" t="inlineStr">
        <is>
          <t>ÖSTERGÖTLANDS LÄN</t>
        </is>
      </c>
      <c r="E10767" t="inlineStr">
        <is>
          <t>KINDA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59064-2024</t>
        </is>
      </c>
      <c r="B10768" s="1" t="n">
        <v>45636</v>
      </c>
      <c r="C10768" s="1" t="n">
        <v>45710</v>
      </c>
      <c r="D10768" t="inlineStr">
        <is>
          <t>ÖSTERGÖTLANDS LÄN</t>
        </is>
      </c>
      <c r="E10768" t="inlineStr">
        <is>
          <t>SÖDERKÖPING</t>
        </is>
      </c>
      <c r="G10768" t="n">
        <v>6.3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58898-2024</t>
        </is>
      </c>
      <c r="B10769" s="1" t="n">
        <v>45636</v>
      </c>
      <c r="C10769" s="1" t="n">
        <v>45710</v>
      </c>
      <c r="D10769" t="inlineStr">
        <is>
          <t>ÖSTERGÖTLANDS LÄN</t>
        </is>
      </c>
      <c r="E10769" t="inlineStr">
        <is>
          <t>NORRKÖPING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59062-2024</t>
        </is>
      </c>
      <c r="B10770" s="1" t="n">
        <v>45636</v>
      </c>
      <c r="C10770" s="1" t="n">
        <v>45710</v>
      </c>
      <c r="D10770" t="inlineStr">
        <is>
          <t>ÖSTERGÖTLANDS LÄN</t>
        </is>
      </c>
      <c r="E10770" t="inlineStr">
        <is>
          <t>FINSPÅNG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58910-2024</t>
        </is>
      </c>
      <c r="B10771" s="1" t="n">
        <v>45636</v>
      </c>
      <c r="C10771" s="1" t="n">
        <v>45710</v>
      </c>
      <c r="D10771" t="inlineStr">
        <is>
          <t>ÖSTERGÖTLANDS LÄN</t>
        </is>
      </c>
      <c r="E10771" t="inlineStr">
        <is>
          <t>NORRKÖPING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58901-2024</t>
        </is>
      </c>
      <c r="B10772" s="1" t="n">
        <v>45636</v>
      </c>
      <c r="C10772" s="1" t="n">
        <v>45710</v>
      </c>
      <c r="D10772" t="inlineStr">
        <is>
          <t>ÖSTERGÖTLANDS LÄN</t>
        </is>
      </c>
      <c r="E10772" t="inlineStr">
        <is>
          <t>NORRKÖPING</t>
        </is>
      </c>
      <c r="G10772" t="n">
        <v>0.3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58889-2024</t>
        </is>
      </c>
      <c r="B10773" s="1" t="n">
        <v>45636</v>
      </c>
      <c r="C10773" s="1" t="n">
        <v>45710</v>
      </c>
      <c r="D10773" t="inlineStr">
        <is>
          <t>ÖSTERGÖTLANDS LÄN</t>
        </is>
      </c>
      <c r="E10773" t="inlineStr">
        <is>
          <t>NORRKÖPING</t>
        </is>
      </c>
      <c r="G10773" t="n">
        <v>1.4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58836-2024</t>
        </is>
      </c>
      <c r="B10774" s="1" t="n">
        <v>45636</v>
      </c>
      <c r="C10774" s="1" t="n">
        <v>45710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58884-2024</t>
        </is>
      </c>
      <c r="B10775" s="1" t="n">
        <v>45636</v>
      </c>
      <c r="C10775" s="1" t="n">
        <v>45710</v>
      </c>
      <c r="D10775" t="inlineStr">
        <is>
          <t>ÖSTERGÖTLANDS LÄN</t>
        </is>
      </c>
      <c r="E10775" t="inlineStr">
        <is>
          <t>NORRKÖPING</t>
        </is>
      </c>
      <c r="G10775" t="n">
        <v>4.9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58988-2024</t>
        </is>
      </c>
      <c r="B10776" s="1" t="n">
        <v>45636</v>
      </c>
      <c r="C10776" s="1" t="n">
        <v>45710</v>
      </c>
      <c r="D10776" t="inlineStr">
        <is>
          <t>ÖSTERGÖTLANDS LÄN</t>
        </is>
      </c>
      <c r="E10776" t="inlineStr">
        <is>
          <t>BOXHOLM</t>
        </is>
      </c>
      <c r="G10776" t="n">
        <v>1.9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59004-2024</t>
        </is>
      </c>
      <c r="B10777" s="1" t="n">
        <v>45636</v>
      </c>
      <c r="C10777" s="1" t="n">
        <v>45710</v>
      </c>
      <c r="D10777" t="inlineStr">
        <is>
          <t>ÖSTERGÖTLANDS LÄN</t>
        </is>
      </c>
      <c r="E10777" t="inlineStr">
        <is>
          <t>KINDA</t>
        </is>
      </c>
      <c r="G10777" t="n">
        <v>9.6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59061-2024</t>
        </is>
      </c>
      <c r="B10778" s="1" t="n">
        <v>45636</v>
      </c>
      <c r="C10778" s="1" t="n">
        <v>45710</v>
      </c>
      <c r="D10778" t="inlineStr">
        <is>
          <t>ÖSTERGÖTLANDS LÄN</t>
        </is>
      </c>
      <c r="E10778" t="inlineStr">
        <is>
          <t>FINSPÅNG</t>
        </is>
      </c>
      <c r="G10778" t="n">
        <v>1.5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59221-2024</t>
        </is>
      </c>
      <c r="B10779" s="1" t="n">
        <v>45637</v>
      </c>
      <c r="C10779" s="1" t="n">
        <v>45710</v>
      </c>
      <c r="D10779" t="inlineStr">
        <is>
          <t>ÖSTERGÖTLANDS LÄN</t>
        </is>
      </c>
      <c r="E10779" t="inlineStr">
        <is>
          <t>NORRKÖPING</t>
        </is>
      </c>
      <c r="G10779" t="n">
        <v>24.7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59576-2024</t>
        </is>
      </c>
      <c r="B10780" s="1" t="n">
        <v>45638</v>
      </c>
      <c r="C10780" s="1" t="n">
        <v>45710</v>
      </c>
      <c r="D10780" t="inlineStr">
        <is>
          <t>ÖSTERGÖTLANDS LÄN</t>
        </is>
      </c>
      <c r="E10780" t="inlineStr">
        <is>
          <t>LINKÖPING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59589-2024</t>
        </is>
      </c>
      <c r="B10781" s="1" t="n">
        <v>45638</v>
      </c>
      <c r="C10781" s="1" t="n">
        <v>45710</v>
      </c>
      <c r="D10781" t="inlineStr">
        <is>
          <t>ÖSTERGÖTLANDS LÄN</t>
        </is>
      </c>
      <c r="E10781" t="inlineStr">
        <is>
          <t>YDRE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59504-2024</t>
        </is>
      </c>
      <c r="B10782" s="1" t="n">
        <v>45638</v>
      </c>
      <c r="C10782" s="1" t="n">
        <v>45710</v>
      </c>
      <c r="D10782" t="inlineStr">
        <is>
          <t>ÖSTERGÖTLANDS LÄN</t>
        </is>
      </c>
      <c r="E10782" t="inlineStr">
        <is>
          <t>MOTALA</t>
        </is>
      </c>
      <c r="F10782" t="inlineStr">
        <is>
          <t>Sveaskog</t>
        </is>
      </c>
      <c r="G10782" t="n">
        <v>1.5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59592-2024</t>
        </is>
      </c>
      <c r="B10783" s="1" t="n">
        <v>45638</v>
      </c>
      <c r="C10783" s="1" t="n">
        <v>45710</v>
      </c>
      <c r="D10783" t="inlineStr">
        <is>
          <t>ÖSTERGÖTLANDS LÄN</t>
        </is>
      </c>
      <c r="E10783" t="inlineStr">
        <is>
          <t>YDRE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59859-2024</t>
        </is>
      </c>
      <c r="B10784" s="1" t="n">
        <v>45638</v>
      </c>
      <c r="C10784" s="1" t="n">
        <v>45710</v>
      </c>
      <c r="D10784" t="inlineStr">
        <is>
          <t>ÖSTERGÖTLANDS LÄN</t>
        </is>
      </c>
      <c r="E10784" t="inlineStr">
        <is>
          <t>NORRKÖPING</t>
        </is>
      </c>
      <c r="F10784" t="inlineStr">
        <is>
          <t>Allmännings- och besparingsskogar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59352-2024</t>
        </is>
      </c>
      <c r="B10785" s="1" t="n">
        <v>45638</v>
      </c>
      <c r="C10785" s="1" t="n">
        <v>45710</v>
      </c>
      <c r="D10785" t="inlineStr">
        <is>
          <t>ÖSTERGÖTLANDS LÄN</t>
        </is>
      </c>
      <c r="E10785" t="inlineStr">
        <is>
          <t>ÖDESHÖG</t>
        </is>
      </c>
      <c r="G10785" t="n">
        <v>3.9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59753-2024</t>
        </is>
      </c>
      <c r="B10786" s="1" t="n">
        <v>45639</v>
      </c>
      <c r="C10786" s="1" t="n">
        <v>45710</v>
      </c>
      <c r="D10786" t="inlineStr">
        <is>
          <t>ÖSTERGÖTLANDS LÄN</t>
        </is>
      </c>
      <c r="E10786" t="inlineStr">
        <is>
          <t>MOTALA</t>
        </is>
      </c>
      <c r="F10786" t="inlineStr">
        <is>
          <t>Kyrkan</t>
        </is>
      </c>
      <c r="G10786" t="n">
        <v>6.4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59792-2024</t>
        </is>
      </c>
      <c r="B10787" s="1" t="n">
        <v>45639</v>
      </c>
      <c r="C10787" s="1" t="n">
        <v>45710</v>
      </c>
      <c r="D10787" t="inlineStr">
        <is>
          <t>ÖSTERGÖTLANDS LÄN</t>
        </is>
      </c>
      <c r="E10787" t="inlineStr">
        <is>
          <t>NORRKÖPING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59848-2024</t>
        </is>
      </c>
      <c r="B10788" s="1" t="n">
        <v>45639</v>
      </c>
      <c r="C10788" s="1" t="n">
        <v>45710</v>
      </c>
      <c r="D10788" t="inlineStr">
        <is>
          <t>ÖSTERGÖTLANDS LÄN</t>
        </is>
      </c>
      <c r="E10788" t="inlineStr">
        <is>
          <t>MOTALA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59702-2024</t>
        </is>
      </c>
      <c r="B10789" s="1" t="n">
        <v>45639</v>
      </c>
      <c r="C10789" s="1" t="n">
        <v>45710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59672-2024</t>
        </is>
      </c>
      <c r="B10790" s="1" t="n">
        <v>45639</v>
      </c>
      <c r="C10790" s="1" t="n">
        <v>45710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59809-2024</t>
        </is>
      </c>
      <c r="B10791" s="1" t="n">
        <v>45639</v>
      </c>
      <c r="C10791" s="1" t="n">
        <v>45710</v>
      </c>
      <c r="D10791" t="inlineStr">
        <is>
          <t>ÖSTERGÖTLANDS LÄN</t>
        </is>
      </c>
      <c r="E10791" t="inlineStr">
        <is>
          <t>MJÖLBY</t>
        </is>
      </c>
      <c r="F10791" t="inlineStr">
        <is>
          <t>Övriga Aktiebolag</t>
        </is>
      </c>
      <c r="G10791" t="n">
        <v>1.9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59813-2024</t>
        </is>
      </c>
      <c r="B10792" s="1" t="n">
        <v>45639</v>
      </c>
      <c r="C10792" s="1" t="n">
        <v>45710</v>
      </c>
      <c r="D10792" t="inlineStr">
        <is>
          <t>ÖSTERGÖTLANDS LÄN</t>
        </is>
      </c>
      <c r="E10792" t="inlineStr">
        <is>
          <t>MJÖLBY</t>
        </is>
      </c>
      <c r="F10792" t="inlineStr">
        <is>
          <t>Övriga Aktiebolag</t>
        </is>
      </c>
      <c r="G10792" t="n">
        <v>0.9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59648-2024</t>
        </is>
      </c>
      <c r="B10793" s="1" t="n">
        <v>45639</v>
      </c>
      <c r="C10793" s="1" t="n">
        <v>45710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59849-2024</t>
        </is>
      </c>
      <c r="B10794" s="1" t="n">
        <v>45639</v>
      </c>
      <c r="C10794" s="1" t="n">
        <v>45710</v>
      </c>
      <c r="D10794" t="inlineStr">
        <is>
          <t>ÖSTERGÖTLANDS LÄN</t>
        </is>
      </c>
      <c r="E10794" t="inlineStr">
        <is>
          <t>MOTALA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59635-2024</t>
        </is>
      </c>
      <c r="B10795" s="1" t="n">
        <v>45639</v>
      </c>
      <c r="C10795" s="1" t="n">
        <v>45710</v>
      </c>
      <c r="D10795" t="inlineStr">
        <is>
          <t>ÖSTERGÖTLANDS LÄN</t>
        </is>
      </c>
      <c r="E10795" t="inlineStr">
        <is>
          <t>LINKÖPING</t>
        </is>
      </c>
      <c r="G10795" t="n">
        <v>2.4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59647-2024</t>
        </is>
      </c>
      <c r="B10796" s="1" t="n">
        <v>45639</v>
      </c>
      <c r="C10796" s="1" t="n">
        <v>45710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59651-2024</t>
        </is>
      </c>
      <c r="B10797" s="1" t="n">
        <v>45639</v>
      </c>
      <c r="C10797" s="1" t="n">
        <v>45710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59701-2024</t>
        </is>
      </c>
      <c r="B10798" s="1" t="n">
        <v>45639</v>
      </c>
      <c r="C10798" s="1" t="n">
        <v>45710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60080-2024</t>
        </is>
      </c>
      <c r="B10799" s="1" t="n">
        <v>45639</v>
      </c>
      <c r="C10799" s="1" t="n">
        <v>45710</v>
      </c>
      <c r="D10799" t="inlineStr">
        <is>
          <t>ÖSTERGÖTLANDS LÄN</t>
        </is>
      </c>
      <c r="E10799" t="inlineStr">
        <is>
          <t>VALDEMARSVIK</t>
        </is>
      </c>
      <c r="G10799" t="n">
        <v>2.9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59674-2024</t>
        </is>
      </c>
      <c r="B10800" s="1" t="n">
        <v>45639</v>
      </c>
      <c r="C10800" s="1" t="n">
        <v>45710</v>
      </c>
      <c r="D10800" t="inlineStr">
        <is>
          <t>ÖSTERGÖTLANDS LÄN</t>
        </is>
      </c>
      <c r="E10800" t="inlineStr">
        <is>
          <t>LINKÖPING</t>
        </is>
      </c>
      <c r="G10800" t="n">
        <v>6.3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59642-2024</t>
        </is>
      </c>
      <c r="B10801" s="1" t="n">
        <v>45639</v>
      </c>
      <c r="C10801" s="1" t="n">
        <v>45710</v>
      </c>
      <c r="D10801" t="inlineStr">
        <is>
          <t>ÖSTERGÖTLANDS LÄN</t>
        </is>
      </c>
      <c r="E10801" t="inlineStr">
        <is>
          <t>LINKÖPING</t>
        </is>
      </c>
      <c r="G10801" t="n">
        <v>0.9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59728-2024</t>
        </is>
      </c>
      <c r="B10802" s="1" t="n">
        <v>45639</v>
      </c>
      <c r="C10802" s="1" t="n">
        <v>45710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59699-2024</t>
        </is>
      </c>
      <c r="B10803" s="1" t="n">
        <v>45639</v>
      </c>
      <c r="C10803" s="1" t="n">
        <v>45710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59669-2024</t>
        </is>
      </c>
      <c r="B10804" s="1" t="n">
        <v>45639</v>
      </c>
      <c r="C10804" s="1" t="n">
        <v>45710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5.3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59657-2024</t>
        </is>
      </c>
      <c r="B10805" s="1" t="n">
        <v>45639</v>
      </c>
      <c r="C10805" s="1" t="n">
        <v>45710</v>
      </c>
      <c r="D10805" t="inlineStr">
        <is>
          <t>ÖSTERGÖTLANDS LÄN</t>
        </is>
      </c>
      <c r="E10805" t="inlineStr">
        <is>
          <t>LINKÖPING</t>
        </is>
      </c>
      <c r="G10805" t="n">
        <v>2.3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59904-2024</t>
        </is>
      </c>
      <c r="B10806" s="1" t="n">
        <v>45641</v>
      </c>
      <c r="C10806" s="1" t="n">
        <v>45710</v>
      </c>
      <c r="D10806" t="inlineStr">
        <is>
          <t>ÖSTERGÖTLANDS LÄN</t>
        </is>
      </c>
      <c r="E10806" t="inlineStr">
        <is>
          <t>KINDA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59903-2024</t>
        </is>
      </c>
      <c r="B10807" s="1" t="n">
        <v>45641</v>
      </c>
      <c r="C10807" s="1" t="n">
        <v>45710</v>
      </c>
      <c r="D10807" t="inlineStr">
        <is>
          <t>ÖSTERGÖTLANDS LÄN</t>
        </is>
      </c>
      <c r="E10807" t="inlineStr">
        <is>
          <t>KINDA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59905-2024</t>
        </is>
      </c>
      <c r="B10808" s="1" t="n">
        <v>45641</v>
      </c>
      <c r="C10808" s="1" t="n">
        <v>45710</v>
      </c>
      <c r="D10808" t="inlineStr">
        <is>
          <t>ÖSTERGÖTLANDS LÄN</t>
        </is>
      </c>
      <c r="E10808" t="inlineStr">
        <is>
          <t>KINDA</t>
        </is>
      </c>
      <c r="G10808" t="n">
        <v>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60188-2024</t>
        </is>
      </c>
      <c r="B10809" s="1" t="n">
        <v>45642</v>
      </c>
      <c r="C10809" s="1" t="n">
        <v>45710</v>
      </c>
      <c r="D10809" t="inlineStr">
        <is>
          <t>ÖSTERGÖTLANDS LÄN</t>
        </is>
      </c>
      <c r="E10809" t="inlineStr">
        <is>
          <t>NORRKÖPING</t>
        </is>
      </c>
      <c r="G10809" t="n">
        <v>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60190-2024</t>
        </is>
      </c>
      <c r="B10810" s="1" t="n">
        <v>45642</v>
      </c>
      <c r="C10810" s="1" t="n">
        <v>45710</v>
      </c>
      <c r="D10810" t="inlineStr">
        <is>
          <t>ÖSTERGÖTLANDS LÄN</t>
        </is>
      </c>
      <c r="E10810" t="inlineStr">
        <is>
          <t>NORRKÖPING</t>
        </is>
      </c>
      <c r="G10810" t="n">
        <v>1.6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60639-2024</t>
        </is>
      </c>
      <c r="B10811" s="1" t="n">
        <v>45642</v>
      </c>
      <c r="C10811" s="1" t="n">
        <v>45710</v>
      </c>
      <c r="D10811" t="inlineStr">
        <is>
          <t>ÖSTERGÖTLANDS LÄN</t>
        </is>
      </c>
      <c r="E10811" t="inlineStr">
        <is>
          <t>NORRKÖPING</t>
        </is>
      </c>
      <c r="F10811" t="inlineStr">
        <is>
          <t>Allmännings- och besparingsskogar</t>
        </is>
      </c>
      <c r="G10811" t="n">
        <v>12.7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60165-2024</t>
        </is>
      </c>
      <c r="B10812" s="1" t="n">
        <v>45642</v>
      </c>
      <c r="C10812" s="1" t="n">
        <v>45710</v>
      </c>
      <c r="D10812" t="inlineStr">
        <is>
          <t>ÖSTERGÖTLANDS LÄN</t>
        </is>
      </c>
      <c r="E10812" t="inlineStr">
        <is>
          <t>NORRKÖPING</t>
        </is>
      </c>
      <c r="G10812" t="n">
        <v>5.1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60249-2024</t>
        </is>
      </c>
      <c r="B10813" s="1" t="n">
        <v>45642</v>
      </c>
      <c r="C10813" s="1" t="n">
        <v>45710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60252-2024</t>
        </is>
      </c>
      <c r="B10814" s="1" t="n">
        <v>45642</v>
      </c>
      <c r="C10814" s="1" t="n">
        <v>45710</v>
      </c>
      <c r="D10814" t="inlineStr">
        <is>
          <t>ÖSTERGÖTLANDS LÄN</t>
        </is>
      </c>
      <c r="E10814" t="inlineStr">
        <is>
          <t>FINSPÅNG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60027-2024</t>
        </is>
      </c>
      <c r="B10815" s="1" t="n">
        <v>45642</v>
      </c>
      <c r="C10815" s="1" t="n">
        <v>45710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1.9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59972-2024</t>
        </is>
      </c>
      <c r="B10816" s="1" t="n">
        <v>45642</v>
      </c>
      <c r="C10816" s="1" t="n">
        <v>45710</v>
      </c>
      <c r="D10816" t="inlineStr">
        <is>
          <t>ÖSTERGÖTLANDS LÄN</t>
        </is>
      </c>
      <c r="E10816" t="inlineStr">
        <is>
          <t>FINSPÅNG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60062-2024</t>
        </is>
      </c>
      <c r="B10817" s="1" t="n">
        <v>45642</v>
      </c>
      <c r="C10817" s="1" t="n">
        <v>45710</v>
      </c>
      <c r="D10817" t="inlineStr">
        <is>
          <t>ÖSTERGÖTLANDS LÄN</t>
        </is>
      </c>
      <c r="E10817" t="inlineStr">
        <is>
          <t>YDRE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59971-2024</t>
        </is>
      </c>
      <c r="B10818" s="1" t="n">
        <v>45642</v>
      </c>
      <c r="C10818" s="1" t="n">
        <v>45710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2.3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59979-2024</t>
        </is>
      </c>
      <c r="B10819" s="1" t="n">
        <v>45642</v>
      </c>
      <c r="C10819" s="1" t="n">
        <v>45710</v>
      </c>
      <c r="D10819" t="inlineStr">
        <is>
          <t>ÖSTERGÖTLANDS LÄN</t>
        </is>
      </c>
      <c r="E10819" t="inlineStr">
        <is>
          <t>FINSPÅNG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60373-2024</t>
        </is>
      </c>
      <c r="B10820" s="1" t="n">
        <v>45643</v>
      </c>
      <c r="C10820" s="1" t="n">
        <v>45710</v>
      </c>
      <c r="D10820" t="inlineStr">
        <is>
          <t>ÖSTERGÖTLANDS LÄN</t>
        </is>
      </c>
      <c r="E10820" t="inlineStr">
        <is>
          <t>FINSPÅNG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60508-2024</t>
        </is>
      </c>
      <c r="B10821" s="1" t="n">
        <v>45643</v>
      </c>
      <c r="C10821" s="1" t="n">
        <v>45710</v>
      </c>
      <c r="D10821" t="inlineStr">
        <is>
          <t>ÖSTERGÖTLANDS LÄN</t>
        </is>
      </c>
      <c r="E10821" t="inlineStr">
        <is>
          <t>BOXHOLM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60396-2024</t>
        </is>
      </c>
      <c r="B10822" s="1" t="n">
        <v>45643</v>
      </c>
      <c r="C10822" s="1" t="n">
        <v>45710</v>
      </c>
      <c r="D10822" t="inlineStr">
        <is>
          <t>ÖSTERGÖTLANDS LÄN</t>
        </is>
      </c>
      <c r="E10822" t="inlineStr">
        <is>
          <t>FINSPÅNG</t>
        </is>
      </c>
      <c r="G10822" t="n">
        <v>1.1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60485-2024</t>
        </is>
      </c>
      <c r="B10823" s="1" t="n">
        <v>45643</v>
      </c>
      <c r="C10823" s="1" t="n">
        <v>45710</v>
      </c>
      <c r="D10823" t="inlineStr">
        <is>
          <t>ÖSTERGÖTLANDS LÄN</t>
        </is>
      </c>
      <c r="E10823" t="inlineStr">
        <is>
          <t>FINSPÅNG</t>
        </is>
      </c>
      <c r="G10823" t="n">
        <v>3.9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60507-2024</t>
        </is>
      </c>
      <c r="B10824" s="1" t="n">
        <v>45643</v>
      </c>
      <c r="C10824" s="1" t="n">
        <v>45710</v>
      </c>
      <c r="D10824" t="inlineStr">
        <is>
          <t>ÖSTERGÖTLANDS LÄN</t>
        </is>
      </c>
      <c r="E10824" t="inlineStr">
        <is>
          <t>BOXHOLM</t>
        </is>
      </c>
      <c r="G10824" t="n">
        <v>0.8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60305-2024</t>
        </is>
      </c>
      <c r="B10825" s="1" t="n">
        <v>45643</v>
      </c>
      <c r="C10825" s="1" t="n">
        <v>45710</v>
      </c>
      <c r="D10825" t="inlineStr">
        <is>
          <t>ÖSTERGÖTLANDS LÄN</t>
        </is>
      </c>
      <c r="E10825" t="inlineStr">
        <is>
          <t>KINDA</t>
        </is>
      </c>
      <c r="G10825" t="n">
        <v>2.9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60609-2024</t>
        </is>
      </c>
      <c r="B10826" s="1" t="n">
        <v>45644</v>
      </c>
      <c r="C10826" s="1" t="n">
        <v>45710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Sveaskog</t>
        </is>
      </c>
      <c r="G10826" t="n">
        <v>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60676-2024</t>
        </is>
      </c>
      <c r="B10827" s="1" t="n">
        <v>45644</v>
      </c>
      <c r="C10827" s="1" t="n">
        <v>45710</v>
      </c>
      <c r="D10827" t="inlineStr">
        <is>
          <t>ÖSTERGÖTLANDS LÄN</t>
        </is>
      </c>
      <c r="E10827" t="inlineStr">
        <is>
          <t>MOTALA</t>
        </is>
      </c>
      <c r="G10827" t="n">
        <v>0.7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60615-2024</t>
        </is>
      </c>
      <c r="B10828" s="1" t="n">
        <v>45644</v>
      </c>
      <c r="C10828" s="1" t="n">
        <v>45710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2.5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60650-2024</t>
        </is>
      </c>
      <c r="B10829" s="1" t="n">
        <v>45644</v>
      </c>
      <c r="C10829" s="1" t="n">
        <v>45710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60637-2024</t>
        </is>
      </c>
      <c r="B10830" s="1" t="n">
        <v>45644</v>
      </c>
      <c r="C10830" s="1" t="n">
        <v>45710</v>
      </c>
      <c r="D10830" t="inlineStr">
        <is>
          <t>ÖSTERGÖTLANDS LÄN</t>
        </is>
      </c>
      <c r="E10830" t="inlineStr">
        <is>
          <t>MOTALA</t>
        </is>
      </c>
      <c r="F10830" t="inlineStr">
        <is>
          <t>Sveaskog</t>
        </is>
      </c>
      <c r="G10830" t="n">
        <v>8.1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60775-2024</t>
        </is>
      </c>
      <c r="B10831" s="1" t="n">
        <v>45644</v>
      </c>
      <c r="C10831" s="1" t="n">
        <v>45710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60644-2024</t>
        </is>
      </c>
      <c r="B10832" s="1" t="n">
        <v>45644</v>
      </c>
      <c r="C10832" s="1" t="n">
        <v>45710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3.7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60619-2024</t>
        </is>
      </c>
      <c r="B10833" s="1" t="n">
        <v>45644</v>
      </c>
      <c r="C10833" s="1" t="n">
        <v>45710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Sveaskog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60890-2024</t>
        </is>
      </c>
      <c r="B10834" s="1" t="n">
        <v>45644</v>
      </c>
      <c r="C10834" s="1" t="n">
        <v>45710</v>
      </c>
      <c r="D10834" t="inlineStr">
        <is>
          <t>ÖSTERGÖTLANDS LÄN</t>
        </is>
      </c>
      <c r="E10834" t="inlineStr">
        <is>
          <t>FINSPÅNG</t>
        </is>
      </c>
      <c r="G10834" t="n">
        <v>2.2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60886-2024</t>
        </is>
      </c>
      <c r="B10835" s="1" t="n">
        <v>45644</v>
      </c>
      <c r="C10835" s="1" t="n">
        <v>45710</v>
      </c>
      <c r="D10835" t="inlineStr">
        <is>
          <t>ÖSTERGÖTLANDS LÄN</t>
        </is>
      </c>
      <c r="E10835" t="inlineStr">
        <is>
          <t>FINSPÅNG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60863-2024</t>
        </is>
      </c>
      <c r="B10836" s="1" t="n">
        <v>45644</v>
      </c>
      <c r="C10836" s="1" t="n">
        <v>45710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8.1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60725-2024</t>
        </is>
      </c>
      <c r="B10837" s="1" t="n">
        <v>45644</v>
      </c>
      <c r="C10837" s="1" t="n">
        <v>45710</v>
      </c>
      <c r="D10837" t="inlineStr">
        <is>
          <t>ÖSTERGÖTLANDS LÄN</t>
        </is>
      </c>
      <c r="E10837" t="inlineStr">
        <is>
          <t>MOTALA</t>
        </is>
      </c>
      <c r="F10837" t="inlineStr">
        <is>
          <t>Sveaskog</t>
        </is>
      </c>
      <c r="G10837" t="n">
        <v>2.8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60682-2024</t>
        </is>
      </c>
      <c r="B10838" s="1" t="n">
        <v>45644</v>
      </c>
      <c r="C10838" s="1" t="n">
        <v>45710</v>
      </c>
      <c r="D10838" t="inlineStr">
        <is>
          <t>ÖSTERGÖTLANDS LÄN</t>
        </is>
      </c>
      <c r="E10838" t="inlineStr">
        <is>
          <t>MOTALA</t>
        </is>
      </c>
      <c r="G10838" t="n">
        <v>2.3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60889-2024</t>
        </is>
      </c>
      <c r="B10839" s="1" t="n">
        <v>45644</v>
      </c>
      <c r="C10839" s="1" t="n">
        <v>45710</v>
      </c>
      <c r="D10839" t="inlineStr">
        <is>
          <t>ÖSTERGÖTLANDS LÄN</t>
        </is>
      </c>
      <c r="E10839" t="inlineStr">
        <is>
          <t>FINSPÅNG</t>
        </is>
      </c>
      <c r="G10839" t="n">
        <v>3.4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61124-2024</t>
        </is>
      </c>
      <c r="B10840" s="1" t="n">
        <v>45644</v>
      </c>
      <c r="C10840" s="1" t="n">
        <v>45710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12.6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60620-2024</t>
        </is>
      </c>
      <c r="B10841" s="1" t="n">
        <v>45644</v>
      </c>
      <c r="C10841" s="1" t="n">
        <v>45710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Sveaskog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60641-2024</t>
        </is>
      </c>
      <c r="B10842" s="1" t="n">
        <v>45644</v>
      </c>
      <c r="C10842" s="1" t="n">
        <v>45710</v>
      </c>
      <c r="D10842" t="inlineStr">
        <is>
          <t>ÖSTERGÖTLANDS LÄN</t>
        </is>
      </c>
      <c r="E10842" t="inlineStr">
        <is>
          <t>MOTALA</t>
        </is>
      </c>
      <c r="F10842" t="inlineStr">
        <is>
          <t>Sveaskog</t>
        </is>
      </c>
      <c r="G10842" t="n">
        <v>2.6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60669-2024</t>
        </is>
      </c>
      <c r="B10843" s="1" t="n">
        <v>45644</v>
      </c>
      <c r="C10843" s="1" t="n">
        <v>45710</v>
      </c>
      <c r="D10843" t="inlineStr">
        <is>
          <t>ÖSTERGÖTLANDS LÄN</t>
        </is>
      </c>
      <c r="E10843" t="inlineStr">
        <is>
          <t>MOTALA</t>
        </is>
      </c>
      <c r="G10843" t="n">
        <v>5.5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60860-2024</t>
        </is>
      </c>
      <c r="B10844" s="1" t="n">
        <v>45644</v>
      </c>
      <c r="C10844" s="1" t="n">
        <v>45710</v>
      </c>
      <c r="D10844" t="inlineStr">
        <is>
          <t>ÖSTERGÖTLANDS LÄN</t>
        </is>
      </c>
      <c r="E10844" t="inlineStr">
        <is>
          <t>LINKÖPING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61043-2024</t>
        </is>
      </c>
      <c r="B10845" s="1" t="n">
        <v>45644</v>
      </c>
      <c r="C10845" s="1" t="n">
        <v>45710</v>
      </c>
      <c r="D10845" t="inlineStr">
        <is>
          <t>ÖSTERGÖTLANDS LÄN</t>
        </is>
      </c>
      <c r="E10845" t="inlineStr">
        <is>
          <t>NORRKÖPING</t>
        </is>
      </c>
      <c r="F10845" t="inlineStr">
        <is>
          <t>Allmännings- och besparingsskogar</t>
        </is>
      </c>
      <c r="G10845" t="n">
        <v>10.5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60899-2024</t>
        </is>
      </c>
      <c r="B10846" s="1" t="n">
        <v>45645</v>
      </c>
      <c r="C10846" s="1" t="n">
        <v>45710</v>
      </c>
      <c r="D10846" t="inlineStr">
        <is>
          <t>ÖSTERGÖTLANDS LÄN</t>
        </is>
      </c>
      <c r="E10846" t="inlineStr">
        <is>
          <t>NORRKÖPING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60955-2024</t>
        </is>
      </c>
      <c r="B10847" s="1" t="n">
        <v>45645</v>
      </c>
      <c r="C10847" s="1" t="n">
        <v>45710</v>
      </c>
      <c r="D10847" t="inlineStr">
        <is>
          <t>ÖSTERGÖTLANDS LÄN</t>
        </is>
      </c>
      <c r="E10847" t="inlineStr">
        <is>
          <t>NORRKÖPING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60994-2024</t>
        </is>
      </c>
      <c r="B10848" s="1" t="n">
        <v>45645</v>
      </c>
      <c r="C10848" s="1" t="n">
        <v>45710</v>
      </c>
      <c r="D10848" t="inlineStr">
        <is>
          <t>ÖSTERGÖTLANDS LÄN</t>
        </is>
      </c>
      <c r="E10848" t="inlineStr">
        <is>
          <t>ÖDESHÖG</t>
        </is>
      </c>
      <c r="G10848" t="n">
        <v>1.4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60952-2024</t>
        </is>
      </c>
      <c r="B10849" s="1" t="n">
        <v>45645</v>
      </c>
      <c r="C10849" s="1" t="n">
        <v>45710</v>
      </c>
      <c r="D10849" t="inlineStr">
        <is>
          <t>ÖSTERGÖTLANDS LÄN</t>
        </is>
      </c>
      <c r="E10849" t="inlineStr">
        <is>
          <t>ÖDESHÖG</t>
        </is>
      </c>
      <c r="G10849" t="n">
        <v>8.300000000000001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61011-2024</t>
        </is>
      </c>
      <c r="B10850" s="1" t="n">
        <v>45645</v>
      </c>
      <c r="C10850" s="1" t="n">
        <v>45710</v>
      </c>
      <c r="D10850" t="inlineStr">
        <is>
          <t>ÖSTERGÖTLANDS LÄN</t>
        </is>
      </c>
      <c r="E10850" t="inlineStr">
        <is>
          <t>ÖDESHÖG</t>
        </is>
      </c>
      <c r="G10850" t="n">
        <v>4.7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61227-2024</t>
        </is>
      </c>
      <c r="B10851" s="1" t="n">
        <v>45645</v>
      </c>
      <c r="C10851" s="1" t="n">
        <v>45710</v>
      </c>
      <c r="D10851" t="inlineStr">
        <is>
          <t>ÖSTERGÖTLANDS LÄN</t>
        </is>
      </c>
      <c r="E10851" t="inlineStr">
        <is>
          <t>LINKÖPING</t>
        </is>
      </c>
      <c r="G10851" t="n">
        <v>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61049-2024</t>
        </is>
      </c>
      <c r="B10852" s="1" t="n">
        <v>45645</v>
      </c>
      <c r="C10852" s="1" t="n">
        <v>45710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61061-2024</t>
        </is>
      </c>
      <c r="B10853" s="1" t="n">
        <v>45645</v>
      </c>
      <c r="C10853" s="1" t="n">
        <v>45710</v>
      </c>
      <c r="D10853" t="inlineStr">
        <is>
          <t>ÖSTERGÖTLANDS LÄN</t>
        </is>
      </c>
      <c r="E10853" t="inlineStr">
        <is>
          <t>KINDA</t>
        </is>
      </c>
      <c r="G10853" t="n">
        <v>2.4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  <c r="U10853">
        <f>HYPERLINK("https://klasma.github.io/Logging_0513/knärot/A 61061-2024 karta knärot.png", "A 61061-2024")</f>
        <v/>
      </c>
      <c r="V10853">
        <f>HYPERLINK("https://klasma.github.io/Logging_0513/klagomål/A 61061-2024 FSC-klagomål.docx", "A 61061-2024")</f>
        <v/>
      </c>
      <c r="W10853">
        <f>HYPERLINK("https://klasma.github.io/Logging_0513/klagomålsmail/A 61061-2024 FSC-klagomål mail.docx", "A 61061-2024")</f>
        <v/>
      </c>
      <c r="X10853">
        <f>HYPERLINK("https://klasma.github.io/Logging_0513/tillsyn/A 61061-2024 tillsynsbegäran.docx", "A 61061-2024")</f>
        <v/>
      </c>
      <c r="Y10853">
        <f>HYPERLINK("https://klasma.github.io/Logging_0513/tillsynsmail/A 61061-2024 tillsynsbegäran mail.docx", "A 61061-2024")</f>
        <v/>
      </c>
    </row>
    <row r="10854" ht="15" customHeight="1">
      <c r="A10854" t="inlineStr">
        <is>
          <t>A 61086-2024</t>
        </is>
      </c>
      <c r="B10854" s="1" t="n">
        <v>45645</v>
      </c>
      <c r="C10854" s="1" t="n">
        <v>45710</v>
      </c>
      <c r="D10854" t="inlineStr">
        <is>
          <t>ÖSTERGÖTLANDS LÄN</t>
        </is>
      </c>
      <c r="E10854" t="inlineStr">
        <is>
          <t>ÖDESHÖG</t>
        </is>
      </c>
      <c r="G10854" t="n">
        <v>3.3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61165-2024</t>
        </is>
      </c>
      <c r="B10855" s="1" t="n">
        <v>45645</v>
      </c>
      <c r="C10855" s="1" t="n">
        <v>45710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Holmen skog AB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61114-2024</t>
        </is>
      </c>
      <c r="B10856" s="1" t="n">
        <v>45645</v>
      </c>
      <c r="C10856" s="1" t="n">
        <v>45710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61218-2024</t>
        </is>
      </c>
      <c r="B10857" s="1" t="n">
        <v>45645</v>
      </c>
      <c r="C10857" s="1" t="n">
        <v>45710</v>
      </c>
      <c r="D10857" t="inlineStr">
        <is>
          <t>ÖSTERGÖTLANDS LÄN</t>
        </is>
      </c>
      <c r="E10857" t="inlineStr">
        <is>
          <t>LINKÖPING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61347-2024</t>
        </is>
      </c>
      <c r="B10858" s="1" t="n">
        <v>45646</v>
      </c>
      <c r="C10858" s="1" t="n">
        <v>45710</v>
      </c>
      <c r="D10858" t="inlineStr">
        <is>
          <t>ÖSTERGÖTLANDS LÄN</t>
        </is>
      </c>
      <c r="E10858" t="inlineStr">
        <is>
          <t>YDRE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61445-2024</t>
        </is>
      </c>
      <c r="B10859" s="1" t="n">
        <v>45646</v>
      </c>
      <c r="C10859" s="1" t="n">
        <v>45710</v>
      </c>
      <c r="D10859" t="inlineStr">
        <is>
          <t>ÖSTERGÖTLANDS LÄN</t>
        </is>
      </c>
      <c r="E10859" t="inlineStr">
        <is>
          <t>FINSPÅNG</t>
        </is>
      </c>
      <c r="G10859" t="n">
        <v>3.2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61447-2024</t>
        </is>
      </c>
      <c r="B10860" s="1" t="n">
        <v>45646</v>
      </c>
      <c r="C10860" s="1" t="n">
        <v>45710</v>
      </c>
      <c r="D10860" t="inlineStr">
        <is>
          <t>ÖSTERGÖTLANDS LÄN</t>
        </is>
      </c>
      <c r="E10860" t="inlineStr">
        <is>
          <t>FINSPÅNG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61486-2024</t>
        </is>
      </c>
      <c r="B10861" s="1" t="n">
        <v>45646</v>
      </c>
      <c r="C10861" s="1" t="n">
        <v>45710</v>
      </c>
      <c r="D10861" t="inlineStr">
        <is>
          <t>ÖSTERGÖTLANDS LÄN</t>
        </is>
      </c>
      <c r="E10861" t="inlineStr">
        <is>
          <t>BOXHOLM</t>
        </is>
      </c>
      <c r="G10861" t="n">
        <v>3.8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61494-2024</t>
        </is>
      </c>
      <c r="B10862" s="1" t="n">
        <v>45646</v>
      </c>
      <c r="C10862" s="1" t="n">
        <v>45710</v>
      </c>
      <c r="D10862" t="inlineStr">
        <is>
          <t>ÖSTERGÖTLANDS LÄN</t>
        </is>
      </c>
      <c r="E10862" t="inlineStr">
        <is>
          <t>BOXHOLM</t>
        </is>
      </c>
      <c r="G10862" t="n">
        <v>7.4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61550-2024</t>
        </is>
      </c>
      <c r="B10863" s="1" t="n">
        <v>45646</v>
      </c>
      <c r="C10863" s="1" t="n">
        <v>45710</v>
      </c>
      <c r="D10863" t="inlineStr">
        <is>
          <t>ÖSTERGÖTLANDS LÄN</t>
        </is>
      </c>
      <c r="E10863" t="inlineStr">
        <is>
          <t>ÅTVIDABERG</t>
        </is>
      </c>
      <c r="F10863" t="inlineStr">
        <is>
          <t>Övriga Aktiebolag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61543-2024</t>
        </is>
      </c>
      <c r="B10864" s="1" t="n">
        <v>45646</v>
      </c>
      <c r="C10864" s="1" t="n">
        <v>45710</v>
      </c>
      <c r="D10864" t="inlineStr">
        <is>
          <t>ÖSTERGÖTLANDS LÄN</t>
        </is>
      </c>
      <c r="E10864" t="inlineStr">
        <is>
          <t>KINDA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61356-2024</t>
        </is>
      </c>
      <c r="B10865" s="1" t="n">
        <v>45646</v>
      </c>
      <c r="C10865" s="1" t="n">
        <v>45710</v>
      </c>
      <c r="D10865" t="inlineStr">
        <is>
          <t>ÖSTERGÖTLANDS LÄN</t>
        </is>
      </c>
      <c r="E10865" t="inlineStr">
        <is>
          <t>YDRE</t>
        </is>
      </c>
      <c r="G10865" t="n">
        <v>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61403-2024</t>
        </is>
      </c>
      <c r="B10866" s="1" t="n">
        <v>45646</v>
      </c>
      <c r="C10866" s="1" t="n">
        <v>45710</v>
      </c>
      <c r="D10866" t="inlineStr">
        <is>
          <t>ÖSTERGÖTLANDS LÄN</t>
        </is>
      </c>
      <c r="E10866" t="inlineStr">
        <is>
          <t>BOXHOLM</t>
        </is>
      </c>
      <c r="G10866" t="n">
        <v>1.4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61415-2024</t>
        </is>
      </c>
      <c r="B10867" s="1" t="n">
        <v>45646</v>
      </c>
      <c r="C10867" s="1" t="n">
        <v>45710</v>
      </c>
      <c r="D10867" t="inlineStr">
        <is>
          <t>ÖSTERGÖTLANDS LÄN</t>
        </is>
      </c>
      <c r="E10867" t="inlineStr">
        <is>
          <t>BOXHOLM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61428-2024</t>
        </is>
      </c>
      <c r="B10868" s="1" t="n">
        <v>45646</v>
      </c>
      <c r="C10868" s="1" t="n">
        <v>45710</v>
      </c>
      <c r="D10868" t="inlineStr">
        <is>
          <t>ÖSTERGÖTLANDS LÄN</t>
        </is>
      </c>
      <c r="E10868" t="inlineStr">
        <is>
          <t>BOXHOLM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61544-2024</t>
        </is>
      </c>
      <c r="B10869" s="1" t="n">
        <v>45646</v>
      </c>
      <c r="C10869" s="1" t="n">
        <v>45710</v>
      </c>
      <c r="D10869" t="inlineStr">
        <is>
          <t>ÖSTERGÖTLANDS LÄN</t>
        </is>
      </c>
      <c r="E10869" t="inlineStr">
        <is>
          <t>KINDA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61354-2024</t>
        </is>
      </c>
      <c r="B10870" s="1" t="n">
        <v>45646</v>
      </c>
      <c r="C10870" s="1" t="n">
        <v>45710</v>
      </c>
      <c r="D10870" t="inlineStr">
        <is>
          <t>ÖSTERGÖTLANDS LÄN</t>
        </is>
      </c>
      <c r="E10870" t="inlineStr">
        <is>
          <t>YDRE</t>
        </is>
      </c>
      <c r="G10870" t="n">
        <v>8.199999999999999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61655-2024</t>
        </is>
      </c>
      <c r="B10871" s="1" t="n">
        <v>45646</v>
      </c>
      <c r="C10871" s="1" t="n">
        <v>45710</v>
      </c>
      <c r="D10871" t="inlineStr">
        <is>
          <t>ÖSTERGÖTLANDS LÄN</t>
        </is>
      </c>
      <c r="E10871" t="inlineStr">
        <is>
          <t>FINSPÅNG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61694-2024</t>
        </is>
      </c>
      <c r="B10872" s="1" t="n">
        <v>45647</v>
      </c>
      <c r="C10872" s="1" t="n">
        <v>45710</v>
      </c>
      <c r="D10872" t="inlineStr">
        <is>
          <t>ÖSTERGÖTLANDS LÄN</t>
        </is>
      </c>
      <c r="E10872" t="inlineStr">
        <is>
          <t>YDRE</t>
        </is>
      </c>
      <c r="G10872" t="n">
        <v>3.7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61698-2024</t>
        </is>
      </c>
      <c r="B10873" s="1" t="n">
        <v>45647</v>
      </c>
      <c r="C10873" s="1" t="n">
        <v>45710</v>
      </c>
      <c r="D10873" t="inlineStr">
        <is>
          <t>ÖSTERGÖTLANDS LÄN</t>
        </is>
      </c>
      <c r="E10873" t="inlineStr">
        <is>
          <t>YDRE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61686-2024</t>
        </is>
      </c>
      <c r="B10874" s="1" t="n">
        <v>45647</v>
      </c>
      <c r="C10874" s="1" t="n">
        <v>45710</v>
      </c>
      <c r="D10874" t="inlineStr">
        <is>
          <t>ÖSTERGÖTLANDS LÄN</t>
        </is>
      </c>
      <c r="E10874" t="inlineStr">
        <is>
          <t>YDRE</t>
        </is>
      </c>
      <c r="G10874" t="n">
        <v>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61690-2024</t>
        </is>
      </c>
      <c r="B10875" s="1" t="n">
        <v>45647</v>
      </c>
      <c r="C10875" s="1" t="n">
        <v>45710</v>
      </c>
      <c r="D10875" t="inlineStr">
        <is>
          <t>ÖSTERGÖTLANDS LÄN</t>
        </is>
      </c>
      <c r="E10875" t="inlineStr">
        <is>
          <t>YDRE</t>
        </is>
      </c>
      <c r="G10875" t="n">
        <v>0.6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61693-2024</t>
        </is>
      </c>
      <c r="B10876" s="1" t="n">
        <v>45647</v>
      </c>
      <c r="C10876" s="1" t="n">
        <v>45710</v>
      </c>
      <c r="D10876" t="inlineStr">
        <is>
          <t>ÖSTERGÖTLANDS LÄN</t>
        </is>
      </c>
      <c r="E10876" t="inlineStr">
        <is>
          <t>YDRE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61689-2024</t>
        </is>
      </c>
      <c r="B10877" s="1" t="n">
        <v>45647</v>
      </c>
      <c r="C10877" s="1" t="n">
        <v>45710</v>
      </c>
      <c r="D10877" t="inlineStr">
        <is>
          <t>ÖSTERGÖTLANDS LÄN</t>
        </is>
      </c>
      <c r="E10877" t="inlineStr">
        <is>
          <t>YDRE</t>
        </is>
      </c>
      <c r="G10877" t="n">
        <v>5.1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61691-2024</t>
        </is>
      </c>
      <c r="B10878" s="1" t="n">
        <v>45647</v>
      </c>
      <c r="C10878" s="1" t="n">
        <v>45710</v>
      </c>
      <c r="D10878" t="inlineStr">
        <is>
          <t>ÖSTERGÖTLANDS LÄN</t>
        </is>
      </c>
      <c r="E10878" t="inlineStr">
        <is>
          <t>YDRE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61687-2024</t>
        </is>
      </c>
      <c r="B10879" s="1" t="n">
        <v>45647</v>
      </c>
      <c r="C10879" s="1" t="n">
        <v>45710</v>
      </c>
      <c r="D10879" t="inlineStr">
        <is>
          <t>ÖSTERGÖTLANDS LÄN</t>
        </is>
      </c>
      <c r="E10879" t="inlineStr">
        <is>
          <t>YDRE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61696-2024</t>
        </is>
      </c>
      <c r="B10880" s="1" t="n">
        <v>45647</v>
      </c>
      <c r="C10880" s="1" t="n">
        <v>45710</v>
      </c>
      <c r="D10880" t="inlineStr">
        <is>
          <t>ÖSTERGÖTLANDS LÄN</t>
        </is>
      </c>
      <c r="E10880" t="inlineStr">
        <is>
          <t>YDRE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61708-2024</t>
        </is>
      </c>
      <c r="B10881" s="1" t="n">
        <v>45648</v>
      </c>
      <c r="C10881" s="1" t="n">
        <v>45710</v>
      </c>
      <c r="D10881" t="inlineStr">
        <is>
          <t>ÖSTERGÖTLANDS LÄN</t>
        </is>
      </c>
      <c r="E10881" t="inlineStr">
        <is>
          <t>VALDEMARSVIK</t>
        </is>
      </c>
      <c r="G10881" t="n">
        <v>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61755-2024</t>
        </is>
      </c>
      <c r="B10882" s="1" t="n">
        <v>45649</v>
      </c>
      <c r="C10882" s="1" t="n">
        <v>45710</v>
      </c>
      <c r="D10882" t="inlineStr">
        <is>
          <t>ÖSTERGÖTLANDS LÄN</t>
        </is>
      </c>
      <c r="E10882" t="inlineStr">
        <is>
          <t>YDRE</t>
        </is>
      </c>
      <c r="G10882" t="n">
        <v>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61752-2024</t>
        </is>
      </c>
      <c r="B10883" s="1" t="n">
        <v>45649</v>
      </c>
      <c r="C10883" s="1" t="n">
        <v>45710</v>
      </c>
      <c r="D10883" t="inlineStr">
        <is>
          <t>ÖSTERGÖTLANDS LÄN</t>
        </is>
      </c>
      <c r="E10883" t="inlineStr">
        <is>
          <t>YDRE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61753-2024</t>
        </is>
      </c>
      <c r="B10884" s="1" t="n">
        <v>45649</v>
      </c>
      <c r="C10884" s="1" t="n">
        <v>45710</v>
      </c>
      <c r="D10884" t="inlineStr">
        <is>
          <t>ÖSTERGÖTLANDS LÄN</t>
        </is>
      </c>
      <c r="E10884" t="inlineStr">
        <is>
          <t>YDRE</t>
        </is>
      </c>
      <c r="G10884" t="n">
        <v>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62015-2024</t>
        </is>
      </c>
      <c r="B10885" s="1" t="n">
        <v>45655</v>
      </c>
      <c r="C10885" s="1" t="n">
        <v>45710</v>
      </c>
      <c r="D10885" t="inlineStr">
        <is>
          <t>ÖSTERGÖTLANDS LÄN</t>
        </is>
      </c>
      <c r="E10885" t="inlineStr">
        <is>
          <t>LINKÖPING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62019-2024</t>
        </is>
      </c>
      <c r="B10886" s="1" t="n">
        <v>45655</v>
      </c>
      <c r="C10886" s="1" t="n">
        <v>45710</v>
      </c>
      <c r="D10886" t="inlineStr">
        <is>
          <t>ÖSTERGÖTLANDS LÄN</t>
        </is>
      </c>
      <c r="E10886" t="inlineStr">
        <is>
          <t>LINKÖPING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62021-2024</t>
        </is>
      </c>
      <c r="B10887" s="1" t="n">
        <v>45655</v>
      </c>
      <c r="C10887" s="1" t="n">
        <v>45710</v>
      </c>
      <c r="D10887" t="inlineStr">
        <is>
          <t>ÖSTERGÖTLANDS LÄN</t>
        </is>
      </c>
      <c r="E10887" t="inlineStr">
        <is>
          <t>LINKÖPING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62017-2024</t>
        </is>
      </c>
      <c r="B10888" s="1" t="n">
        <v>45655</v>
      </c>
      <c r="C10888" s="1" t="n">
        <v>45710</v>
      </c>
      <c r="D10888" t="inlineStr">
        <is>
          <t>ÖSTERGÖTLANDS LÄN</t>
        </is>
      </c>
      <c r="E10888" t="inlineStr">
        <is>
          <t>LINKÖPING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62020-2024</t>
        </is>
      </c>
      <c r="B10889" s="1" t="n">
        <v>45655</v>
      </c>
      <c r="C10889" s="1" t="n">
        <v>45710</v>
      </c>
      <c r="D10889" t="inlineStr">
        <is>
          <t>ÖSTERGÖTLANDS LÄN</t>
        </is>
      </c>
      <c r="E10889" t="inlineStr">
        <is>
          <t>LINKÖPING</t>
        </is>
      </c>
      <c r="G10889" t="n">
        <v>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62016-2024</t>
        </is>
      </c>
      <c r="B10890" s="1" t="n">
        <v>45655</v>
      </c>
      <c r="C10890" s="1" t="n">
        <v>45710</v>
      </c>
      <c r="D10890" t="inlineStr">
        <is>
          <t>ÖSTERGÖTLANDS LÄN</t>
        </is>
      </c>
      <c r="E10890" t="inlineStr">
        <is>
          <t>LINKÖPING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62012-2024</t>
        </is>
      </c>
      <c r="B10891" s="1" t="n">
        <v>45655</v>
      </c>
      <c r="C10891" s="1" t="n">
        <v>45710</v>
      </c>
      <c r="D10891" t="inlineStr">
        <is>
          <t>ÖSTERGÖTLANDS LÄN</t>
        </is>
      </c>
      <c r="E10891" t="inlineStr">
        <is>
          <t>LINKÖPING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62018-2024</t>
        </is>
      </c>
      <c r="B10892" s="1" t="n">
        <v>45655</v>
      </c>
      <c r="C10892" s="1" t="n">
        <v>45710</v>
      </c>
      <c r="D10892" t="inlineStr">
        <is>
          <t>ÖSTERGÖTLANDS LÄN</t>
        </is>
      </c>
      <c r="E10892" t="inlineStr">
        <is>
          <t>LINKÖPING</t>
        </is>
      </c>
      <c r="G10892" t="n">
        <v>1.3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62176-2024</t>
        </is>
      </c>
      <c r="B10893" s="1" t="n">
        <v>45657</v>
      </c>
      <c r="C10893" s="1" t="n">
        <v>45710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Holmen skog AB</t>
        </is>
      </c>
      <c r="G10893" t="n">
        <v>6.6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62177-2024</t>
        </is>
      </c>
      <c r="B10894" s="1" t="n">
        <v>45658</v>
      </c>
      <c r="C10894" s="1" t="n">
        <v>45710</v>
      </c>
      <c r="D10894" t="inlineStr">
        <is>
          <t>ÖSTERGÖTLANDS LÄN</t>
        </is>
      </c>
      <c r="E10894" t="inlineStr">
        <is>
          <t>NORRKÖPING</t>
        </is>
      </c>
      <c r="F10894" t="inlineStr">
        <is>
          <t>Holmen skog AB</t>
        </is>
      </c>
      <c r="G10894" t="n">
        <v>7.1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62175-2024</t>
        </is>
      </c>
      <c r="B10895" s="1" t="n">
        <v>45657</v>
      </c>
      <c r="C10895" s="1" t="n">
        <v>45710</v>
      </c>
      <c r="D10895" t="inlineStr">
        <is>
          <t>ÖSTERGÖTLANDS LÄN</t>
        </is>
      </c>
      <c r="E10895" t="inlineStr">
        <is>
          <t>NORRKÖPING</t>
        </is>
      </c>
      <c r="F10895" t="inlineStr">
        <is>
          <t>Holmen skog AB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31-2025</t>
        </is>
      </c>
      <c r="B10896" s="1" t="n">
        <v>45659</v>
      </c>
      <c r="C10896" s="1" t="n">
        <v>45710</v>
      </c>
      <c r="D10896" t="inlineStr">
        <is>
          <t>ÖSTERGÖTLANDS LÄN</t>
        </is>
      </c>
      <c r="E10896" t="inlineStr">
        <is>
          <t>KINDA</t>
        </is>
      </c>
      <c r="G10896" t="n">
        <v>2.3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41-2025</t>
        </is>
      </c>
      <c r="B10897" s="1" t="n">
        <v>45659</v>
      </c>
      <c r="C10897" s="1" t="n">
        <v>45710</v>
      </c>
      <c r="D10897" t="inlineStr">
        <is>
          <t>ÖSTERGÖTLANDS LÄN</t>
        </is>
      </c>
      <c r="E10897" t="inlineStr">
        <is>
          <t>MOTALA</t>
        </is>
      </c>
      <c r="F10897" t="inlineStr">
        <is>
          <t>Sveaskog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30-2025</t>
        </is>
      </c>
      <c r="B10898" s="1" t="n">
        <v>45659</v>
      </c>
      <c r="C10898" s="1" t="n">
        <v>45710</v>
      </c>
      <c r="D10898" t="inlineStr">
        <is>
          <t>ÖSTERGÖTLANDS LÄN</t>
        </is>
      </c>
      <c r="E10898" t="inlineStr">
        <is>
          <t>LINKÖPING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34-2025</t>
        </is>
      </c>
      <c r="B10899" s="1" t="n">
        <v>45659</v>
      </c>
      <c r="C10899" s="1" t="n">
        <v>45710</v>
      </c>
      <c r="D10899" t="inlineStr">
        <is>
          <t>ÖSTERGÖTLANDS LÄN</t>
        </is>
      </c>
      <c r="E10899" t="inlineStr">
        <is>
          <t>KINDA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29-2025</t>
        </is>
      </c>
      <c r="B10900" s="1" t="n">
        <v>45659</v>
      </c>
      <c r="C10900" s="1" t="n">
        <v>45710</v>
      </c>
      <c r="D10900" t="inlineStr">
        <is>
          <t>ÖSTERGÖTLANDS LÄN</t>
        </is>
      </c>
      <c r="E10900" t="inlineStr">
        <is>
          <t>LINKÖPING</t>
        </is>
      </c>
      <c r="G10900" t="n">
        <v>2.8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33-2025</t>
        </is>
      </c>
      <c r="B10901" s="1" t="n">
        <v>45659</v>
      </c>
      <c r="C10901" s="1" t="n">
        <v>45710</v>
      </c>
      <c r="D10901" t="inlineStr">
        <is>
          <t>ÖSTERGÖTLANDS LÄN</t>
        </is>
      </c>
      <c r="E10901" t="inlineStr">
        <is>
          <t>KINDA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43-2025</t>
        </is>
      </c>
      <c r="B10902" s="1" t="n">
        <v>45659</v>
      </c>
      <c r="C10902" s="1" t="n">
        <v>45710</v>
      </c>
      <c r="D10902" t="inlineStr">
        <is>
          <t>ÖSTERGÖTLANDS LÄN</t>
        </is>
      </c>
      <c r="E10902" t="inlineStr">
        <is>
          <t>LINKÖPING</t>
        </is>
      </c>
      <c r="G10902" t="n">
        <v>1.9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100-2025</t>
        </is>
      </c>
      <c r="B10903" s="1" t="n">
        <v>45659</v>
      </c>
      <c r="C10903" s="1" t="n">
        <v>45710</v>
      </c>
      <c r="D10903" t="inlineStr">
        <is>
          <t>ÖSTERGÖTLANDS LÄN</t>
        </is>
      </c>
      <c r="E10903" t="inlineStr">
        <is>
          <t>LINKÖPING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124-2025</t>
        </is>
      </c>
      <c r="B10904" s="1" t="n">
        <v>45659</v>
      </c>
      <c r="C10904" s="1" t="n">
        <v>45710</v>
      </c>
      <c r="D10904" t="inlineStr">
        <is>
          <t>ÖSTERGÖTLANDS LÄN</t>
        </is>
      </c>
      <c r="E10904" t="inlineStr">
        <is>
          <t>YDRE</t>
        </is>
      </c>
      <c r="F10904" t="inlineStr">
        <is>
          <t>Övriga Aktiebolag</t>
        </is>
      </c>
      <c r="G10904" t="n">
        <v>1.6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139-2025</t>
        </is>
      </c>
      <c r="B10905" s="1" t="n">
        <v>45659</v>
      </c>
      <c r="C10905" s="1" t="n">
        <v>45710</v>
      </c>
      <c r="D10905" t="inlineStr">
        <is>
          <t>ÖSTERGÖTLANDS LÄN</t>
        </is>
      </c>
      <c r="E10905" t="inlineStr">
        <is>
          <t>LINKÖPING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132-2025</t>
        </is>
      </c>
      <c r="B10906" s="1" t="n">
        <v>45659</v>
      </c>
      <c r="C10906" s="1" t="n">
        <v>45710</v>
      </c>
      <c r="D10906" t="inlineStr">
        <is>
          <t>ÖSTERGÖTLANDS LÄN</t>
        </is>
      </c>
      <c r="E10906" t="inlineStr">
        <is>
          <t>YDRE</t>
        </is>
      </c>
      <c r="F10906" t="inlineStr">
        <is>
          <t>Övriga Aktiebolag</t>
        </is>
      </c>
      <c r="G10906" t="n">
        <v>5.6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148-2025</t>
        </is>
      </c>
      <c r="B10907" s="1" t="n">
        <v>45659</v>
      </c>
      <c r="C10907" s="1" t="n">
        <v>45710</v>
      </c>
      <c r="D10907" t="inlineStr">
        <is>
          <t>ÖSTERGÖTLANDS LÄN</t>
        </is>
      </c>
      <c r="E10907" t="inlineStr">
        <is>
          <t>LINKÖPING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303-2025</t>
        </is>
      </c>
      <c r="B10908" s="1" t="n">
        <v>45660</v>
      </c>
      <c r="C10908" s="1" t="n">
        <v>45710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Övriga Aktiebolag</t>
        </is>
      </c>
      <c r="G10908" t="n">
        <v>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307-2025</t>
        </is>
      </c>
      <c r="B10909" s="1" t="n">
        <v>45660</v>
      </c>
      <c r="C10909" s="1" t="n">
        <v>45710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Övriga Aktiebolag</t>
        </is>
      </c>
      <c r="G10909" t="n">
        <v>5.2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306-2025</t>
        </is>
      </c>
      <c r="B10910" s="1" t="n">
        <v>45660</v>
      </c>
      <c r="C10910" s="1" t="n">
        <v>45710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Övriga Aktiebolag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343-2025</t>
        </is>
      </c>
      <c r="B10911" s="1" t="n">
        <v>45660</v>
      </c>
      <c r="C10911" s="1" t="n">
        <v>45710</v>
      </c>
      <c r="D10911" t="inlineStr">
        <is>
          <t>ÖSTERGÖTLANDS LÄN</t>
        </is>
      </c>
      <c r="E10911" t="inlineStr">
        <is>
          <t>KINDA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407-2025</t>
        </is>
      </c>
      <c r="B10912" s="1" t="n">
        <v>45663</v>
      </c>
      <c r="C10912" s="1" t="n">
        <v>45710</v>
      </c>
      <c r="D10912" t="inlineStr">
        <is>
          <t>ÖSTERGÖTLANDS LÄN</t>
        </is>
      </c>
      <c r="E10912" t="inlineStr">
        <is>
          <t>VALDEMARSVIK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410-2025</t>
        </is>
      </c>
      <c r="B10913" s="1" t="n">
        <v>45663</v>
      </c>
      <c r="C10913" s="1" t="n">
        <v>45710</v>
      </c>
      <c r="D10913" t="inlineStr">
        <is>
          <t>ÖSTERGÖTLANDS LÄN</t>
        </is>
      </c>
      <c r="E10913" t="inlineStr">
        <is>
          <t>SÖDERKÖPING</t>
        </is>
      </c>
      <c r="G10913" t="n">
        <v>3.9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561-2025</t>
        </is>
      </c>
      <c r="B10914" s="1" t="n">
        <v>45664</v>
      </c>
      <c r="C10914" s="1" t="n">
        <v>45710</v>
      </c>
      <c r="D10914" t="inlineStr">
        <is>
          <t>ÖSTERGÖTLANDS LÄN</t>
        </is>
      </c>
      <c r="E10914" t="inlineStr">
        <is>
          <t>YDRE</t>
        </is>
      </c>
      <c r="G10914" t="n">
        <v>8.6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426-2025</t>
        </is>
      </c>
      <c r="B10915" s="1" t="n">
        <v>45664</v>
      </c>
      <c r="C10915" s="1" t="n">
        <v>45710</v>
      </c>
      <c r="D10915" t="inlineStr">
        <is>
          <t>ÖSTERGÖTLANDS LÄN</t>
        </is>
      </c>
      <c r="E10915" t="inlineStr">
        <is>
          <t>ÅTVIDABERG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463-2025</t>
        </is>
      </c>
      <c r="B10916" s="1" t="n">
        <v>45664</v>
      </c>
      <c r="C10916" s="1" t="n">
        <v>45710</v>
      </c>
      <c r="D10916" t="inlineStr">
        <is>
          <t>ÖSTERGÖTLANDS LÄN</t>
        </is>
      </c>
      <c r="E10916" t="inlineStr">
        <is>
          <t>ÅTVIDABERG</t>
        </is>
      </c>
      <c r="G10916" t="n">
        <v>1.2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487-2025</t>
        </is>
      </c>
      <c r="B10917" s="1" t="n">
        <v>45664</v>
      </c>
      <c r="C10917" s="1" t="n">
        <v>45710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578-2025</t>
        </is>
      </c>
      <c r="B10918" s="1" t="n">
        <v>45664</v>
      </c>
      <c r="C10918" s="1" t="n">
        <v>45710</v>
      </c>
      <c r="D10918" t="inlineStr">
        <is>
          <t>ÖSTERGÖTLANDS LÄN</t>
        </is>
      </c>
      <c r="E10918" t="inlineStr">
        <is>
          <t>LINKÖPING</t>
        </is>
      </c>
      <c r="G10918" t="n">
        <v>1.9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432-2025</t>
        </is>
      </c>
      <c r="B10919" s="1" t="n">
        <v>45664</v>
      </c>
      <c r="C10919" s="1" t="n">
        <v>45710</v>
      </c>
      <c r="D10919" t="inlineStr">
        <is>
          <t>ÖSTERGÖTLANDS LÄN</t>
        </is>
      </c>
      <c r="E10919" t="inlineStr">
        <is>
          <t>ÅTVIDABERG</t>
        </is>
      </c>
      <c r="G10919" t="n">
        <v>2.3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437-2025</t>
        </is>
      </c>
      <c r="B10920" s="1" t="n">
        <v>45664</v>
      </c>
      <c r="C10920" s="1" t="n">
        <v>45710</v>
      </c>
      <c r="D10920" t="inlineStr">
        <is>
          <t>ÖSTERGÖTLANDS LÄN</t>
        </is>
      </c>
      <c r="E10920" t="inlineStr">
        <is>
          <t>ÅTVIDABERG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477-2025</t>
        </is>
      </c>
      <c r="B10921" s="1" t="n">
        <v>45664</v>
      </c>
      <c r="C10921" s="1" t="n">
        <v>45710</v>
      </c>
      <c r="D10921" t="inlineStr">
        <is>
          <t>ÖSTERGÖTLANDS LÄN</t>
        </is>
      </c>
      <c r="E10921" t="inlineStr">
        <is>
          <t>YDRE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481-2025</t>
        </is>
      </c>
      <c r="B10922" s="1" t="n">
        <v>45664</v>
      </c>
      <c r="C10922" s="1" t="n">
        <v>45710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2.1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565-2025</t>
        </is>
      </c>
      <c r="B10923" s="1" t="n">
        <v>45664</v>
      </c>
      <c r="C10923" s="1" t="n">
        <v>45710</v>
      </c>
      <c r="D10923" t="inlineStr">
        <is>
          <t>ÖSTERGÖTLANDS LÄN</t>
        </is>
      </c>
      <c r="E10923" t="inlineStr">
        <is>
          <t>YDRE</t>
        </is>
      </c>
      <c r="G10923" t="n">
        <v>2.5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618-2025</t>
        </is>
      </c>
      <c r="B10924" s="1" t="n">
        <v>45664</v>
      </c>
      <c r="C10924" s="1" t="n">
        <v>45710</v>
      </c>
      <c r="D10924" t="inlineStr">
        <is>
          <t>ÖSTERGÖTLANDS LÄN</t>
        </is>
      </c>
      <c r="E10924" t="inlineStr">
        <is>
          <t>SÖDERKÖPING</t>
        </is>
      </c>
      <c r="G10924" t="n">
        <v>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572-2025</t>
        </is>
      </c>
      <c r="B10925" s="1" t="n">
        <v>45664</v>
      </c>
      <c r="C10925" s="1" t="n">
        <v>45710</v>
      </c>
      <c r="D10925" t="inlineStr">
        <is>
          <t>ÖSTERGÖTLANDS LÄN</t>
        </is>
      </c>
      <c r="E10925" t="inlineStr">
        <is>
          <t>LINKÖPING</t>
        </is>
      </c>
      <c r="G10925" t="n">
        <v>1.3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567-2025</t>
        </is>
      </c>
      <c r="B10926" s="1" t="n">
        <v>45664</v>
      </c>
      <c r="C10926" s="1" t="n">
        <v>45710</v>
      </c>
      <c r="D10926" t="inlineStr">
        <is>
          <t>ÖSTERGÖTLANDS LÄN</t>
        </is>
      </c>
      <c r="E10926" t="inlineStr">
        <is>
          <t>LINKÖPING</t>
        </is>
      </c>
      <c r="G10926" t="n">
        <v>5.2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726-2025</t>
        </is>
      </c>
      <c r="B10927" s="1" t="n">
        <v>45665</v>
      </c>
      <c r="C10927" s="1" t="n">
        <v>45710</v>
      </c>
      <c r="D10927" t="inlineStr">
        <is>
          <t>ÖSTERGÖTLANDS LÄN</t>
        </is>
      </c>
      <c r="E10927" t="inlineStr">
        <is>
          <t>ÅTVIDABERG</t>
        </is>
      </c>
      <c r="G10927" t="n">
        <v>1.4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780-2025</t>
        </is>
      </c>
      <c r="B10928" s="1" t="n">
        <v>45665</v>
      </c>
      <c r="C10928" s="1" t="n">
        <v>45710</v>
      </c>
      <c r="D10928" t="inlineStr">
        <is>
          <t>ÖSTERGÖTLANDS LÄN</t>
        </is>
      </c>
      <c r="E10928" t="inlineStr">
        <is>
          <t>ÖDESHÖG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796-2025</t>
        </is>
      </c>
      <c r="B10929" s="1" t="n">
        <v>45665</v>
      </c>
      <c r="C10929" s="1" t="n">
        <v>45710</v>
      </c>
      <c r="D10929" t="inlineStr">
        <is>
          <t>ÖSTERGÖTLANDS LÄN</t>
        </is>
      </c>
      <c r="E10929" t="inlineStr">
        <is>
          <t>ÅTVIDABERG</t>
        </is>
      </c>
      <c r="G10929" t="n">
        <v>2.4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861-2025</t>
        </is>
      </c>
      <c r="B10930" s="1" t="n">
        <v>45665</v>
      </c>
      <c r="C10930" s="1" t="n">
        <v>45710</v>
      </c>
      <c r="D10930" t="inlineStr">
        <is>
          <t>ÖSTERGÖTLANDS LÄN</t>
        </is>
      </c>
      <c r="E10930" t="inlineStr">
        <is>
          <t>KINDA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854-2025</t>
        </is>
      </c>
      <c r="B10931" s="1" t="n">
        <v>45665</v>
      </c>
      <c r="C10931" s="1" t="n">
        <v>45710</v>
      </c>
      <c r="D10931" t="inlineStr">
        <is>
          <t>ÖSTERGÖTLANDS LÄN</t>
        </is>
      </c>
      <c r="E10931" t="inlineStr">
        <is>
          <t>LINKÖPING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798-2025</t>
        </is>
      </c>
      <c r="B10932" s="1" t="n">
        <v>45665</v>
      </c>
      <c r="C10932" s="1" t="n">
        <v>45710</v>
      </c>
      <c r="D10932" t="inlineStr">
        <is>
          <t>ÖSTERGÖTLANDS LÄN</t>
        </is>
      </c>
      <c r="E10932" t="inlineStr">
        <is>
          <t>YDRE</t>
        </is>
      </c>
      <c r="G10932" t="n">
        <v>1.1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807-2025</t>
        </is>
      </c>
      <c r="B10933" s="1" t="n">
        <v>45665</v>
      </c>
      <c r="C10933" s="1" t="n">
        <v>45710</v>
      </c>
      <c r="D10933" t="inlineStr">
        <is>
          <t>ÖSTERGÖTLANDS LÄN</t>
        </is>
      </c>
      <c r="E10933" t="inlineStr">
        <is>
          <t>ÅTVIDABERG</t>
        </is>
      </c>
      <c r="G10933" t="n">
        <v>1.9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799-2025</t>
        </is>
      </c>
      <c r="B10934" s="1" t="n">
        <v>45665</v>
      </c>
      <c r="C10934" s="1" t="n">
        <v>45710</v>
      </c>
      <c r="D10934" t="inlineStr">
        <is>
          <t>ÖSTERGÖTLANDS LÄN</t>
        </is>
      </c>
      <c r="E10934" t="inlineStr">
        <is>
          <t>ÅTVIDABERG</t>
        </is>
      </c>
      <c r="G10934" t="n">
        <v>14.3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794-2025</t>
        </is>
      </c>
      <c r="B10935" s="1" t="n">
        <v>45665</v>
      </c>
      <c r="C10935" s="1" t="n">
        <v>45710</v>
      </c>
      <c r="D10935" t="inlineStr">
        <is>
          <t>ÖSTERGÖTLANDS LÄN</t>
        </is>
      </c>
      <c r="E10935" t="inlineStr">
        <is>
          <t>YDRE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790-2025</t>
        </is>
      </c>
      <c r="B10936" s="1" t="n">
        <v>45665</v>
      </c>
      <c r="C10936" s="1" t="n">
        <v>45710</v>
      </c>
      <c r="D10936" t="inlineStr">
        <is>
          <t>ÖSTERGÖTLANDS LÄN</t>
        </is>
      </c>
      <c r="E10936" t="inlineStr">
        <is>
          <t>ÅTVIDABERG</t>
        </is>
      </c>
      <c r="G10936" t="n">
        <v>1.7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735-2025</t>
        </is>
      </c>
      <c r="B10937" s="1" t="n">
        <v>45665</v>
      </c>
      <c r="C10937" s="1" t="n">
        <v>45710</v>
      </c>
      <c r="D10937" t="inlineStr">
        <is>
          <t>ÖSTERGÖTLANDS LÄN</t>
        </is>
      </c>
      <c r="E10937" t="inlineStr">
        <is>
          <t>FINSPÅNG</t>
        </is>
      </c>
      <c r="G10937" t="n">
        <v>4.1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926-2025</t>
        </is>
      </c>
      <c r="B10938" s="1" t="n">
        <v>45665</v>
      </c>
      <c r="C10938" s="1" t="n">
        <v>45710</v>
      </c>
      <c r="D10938" t="inlineStr">
        <is>
          <t>ÖSTERGÖTLANDS LÄN</t>
        </is>
      </c>
      <c r="E10938" t="inlineStr">
        <is>
          <t>LINKÖPING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710-2025</t>
        </is>
      </c>
      <c r="B10939" s="1" t="n">
        <v>45665</v>
      </c>
      <c r="C10939" s="1" t="n">
        <v>45710</v>
      </c>
      <c r="D10939" t="inlineStr">
        <is>
          <t>ÖSTERGÖTLANDS LÄN</t>
        </is>
      </c>
      <c r="E10939" t="inlineStr">
        <is>
          <t>ÅTVIDABERG</t>
        </is>
      </c>
      <c r="G10939" t="n">
        <v>2.1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767-2025</t>
        </is>
      </c>
      <c r="B10940" s="1" t="n">
        <v>45665</v>
      </c>
      <c r="C10940" s="1" t="n">
        <v>45710</v>
      </c>
      <c r="D10940" t="inlineStr">
        <is>
          <t>ÖSTERGÖTLANDS LÄN</t>
        </is>
      </c>
      <c r="E10940" t="inlineStr">
        <is>
          <t>KINDA</t>
        </is>
      </c>
      <c r="G10940" t="n">
        <v>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791-2025</t>
        </is>
      </c>
      <c r="B10941" s="1" t="n">
        <v>45665</v>
      </c>
      <c r="C10941" s="1" t="n">
        <v>45710</v>
      </c>
      <c r="D10941" t="inlineStr">
        <is>
          <t>ÖSTERGÖTLANDS LÄN</t>
        </is>
      </c>
      <c r="E10941" t="inlineStr">
        <is>
          <t>ÅTVIDABERG</t>
        </is>
      </c>
      <c r="G10941" t="n">
        <v>7.7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795-2025</t>
        </is>
      </c>
      <c r="B10942" s="1" t="n">
        <v>45665</v>
      </c>
      <c r="C10942" s="1" t="n">
        <v>45710</v>
      </c>
      <c r="D10942" t="inlineStr">
        <is>
          <t>ÖSTERGÖTLANDS LÄN</t>
        </is>
      </c>
      <c r="E10942" t="inlineStr">
        <is>
          <t>YDRE</t>
        </is>
      </c>
      <c r="G10942" t="n">
        <v>1.3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801-2025</t>
        </is>
      </c>
      <c r="B10943" s="1" t="n">
        <v>45665</v>
      </c>
      <c r="C10943" s="1" t="n">
        <v>45710</v>
      </c>
      <c r="D10943" t="inlineStr">
        <is>
          <t>ÖSTERGÖTLANDS LÄN</t>
        </is>
      </c>
      <c r="E10943" t="inlineStr">
        <is>
          <t>ÅTVIDABERG</t>
        </is>
      </c>
      <c r="G10943" t="n">
        <v>3.1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1024-2025</t>
        </is>
      </c>
      <c r="B10944" s="1" t="n">
        <v>45666</v>
      </c>
      <c r="C10944" s="1" t="n">
        <v>45710</v>
      </c>
      <c r="D10944" t="inlineStr">
        <is>
          <t>ÖSTERGÖTLANDS LÄN</t>
        </is>
      </c>
      <c r="E10944" t="inlineStr">
        <is>
          <t>YDRE</t>
        </is>
      </c>
      <c r="G10944" t="n">
        <v>1.3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1139-2025</t>
        </is>
      </c>
      <c r="B10945" s="1" t="n">
        <v>45666</v>
      </c>
      <c r="C10945" s="1" t="n">
        <v>45710</v>
      </c>
      <c r="D10945" t="inlineStr">
        <is>
          <t>ÖSTERGÖTLANDS LÄN</t>
        </is>
      </c>
      <c r="E10945" t="inlineStr">
        <is>
          <t>ÅTVIDABERG</t>
        </is>
      </c>
      <c r="G10945" t="n">
        <v>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1138-2025</t>
        </is>
      </c>
      <c r="B10946" s="1" t="n">
        <v>45666</v>
      </c>
      <c r="C10946" s="1" t="n">
        <v>45710</v>
      </c>
      <c r="D10946" t="inlineStr">
        <is>
          <t>ÖSTERGÖTLANDS LÄN</t>
        </is>
      </c>
      <c r="E10946" t="inlineStr">
        <is>
          <t>ÅTVIDABERG</t>
        </is>
      </c>
      <c r="G10946" t="n">
        <v>2.2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1074-2025</t>
        </is>
      </c>
      <c r="B10947" s="1" t="n">
        <v>45666</v>
      </c>
      <c r="C10947" s="1" t="n">
        <v>45710</v>
      </c>
      <c r="D10947" t="inlineStr">
        <is>
          <t>ÖSTERGÖTLANDS LÄN</t>
        </is>
      </c>
      <c r="E10947" t="inlineStr">
        <is>
          <t>MOTALA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1034-2025</t>
        </is>
      </c>
      <c r="B10948" s="1" t="n">
        <v>45666</v>
      </c>
      <c r="C10948" s="1" t="n">
        <v>45710</v>
      </c>
      <c r="D10948" t="inlineStr">
        <is>
          <t>ÖSTERGÖTLANDS LÄN</t>
        </is>
      </c>
      <c r="E10948" t="inlineStr">
        <is>
          <t>YDRE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1013-2025</t>
        </is>
      </c>
      <c r="B10949" s="1" t="n">
        <v>45666</v>
      </c>
      <c r="C10949" s="1" t="n">
        <v>45710</v>
      </c>
      <c r="D10949" t="inlineStr">
        <is>
          <t>ÖSTERGÖTLANDS LÄN</t>
        </is>
      </c>
      <c r="E10949" t="inlineStr">
        <is>
          <t>MJÖLBY</t>
        </is>
      </c>
      <c r="G10949" t="n">
        <v>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1007-2025</t>
        </is>
      </c>
      <c r="B10950" s="1" t="n">
        <v>45666</v>
      </c>
      <c r="C10950" s="1" t="n">
        <v>45710</v>
      </c>
      <c r="D10950" t="inlineStr">
        <is>
          <t>ÖSTERGÖTLANDS LÄN</t>
        </is>
      </c>
      <c r="E10950" t="inlineStr">
        <is>
          <t>YDRE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1000-2025</t>
        </is>
      </c>
      <c r="B10951" s="1" t="n">
        <v>45666</v>
      </c>
      <c r="C10951" s="1" t="n">
        <v>45710</v>
      </c>
      <c r="D10951" t="inlineStr">
        <is>
          <t>ÖSTERGÖTLANDS LÄN</t>
        </is>
      </c>
      <c r="E10951" t="inlineStr">
        <is>
          <t>YDRE</t>
        </is>
      </c>
      <c r="G10951" t="n">
        <v>0.5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1133-2025</t>
        </is>
      </c>
      <c r="B10952" s="1" t="n">
        <v>45666</v>
      </c>
      <c r="C10952" s="1" t="n">
        <v>45710</v>
      </c>
      <c r="D10952" t="inlineStr">
        <is>
          <t>ÖSTERGÖTLANDS LÄN</t>
        </is>
      </c>
      <c r="E10952" t="inlineStr">
        <is>
          <t>VALDEMARSVIK</t>
        </is>
      </c>
      <c r="G10952" t="n">
        <v>2.3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1147-2025</t>
        </is>
      </c>
      <c r="B10953" s="1" t="n">
        <v>45666</v>
      </c>
      <c r="C10953" s="1" t="n">
        <v>45710</v>
      </c>
      <c r="D10953" t="inlineStr">
        <is>
          <t>ÖSTERGÖTLANDS LÄN</t>
        </is>
      </c>
      <c r="E10953" t="inlineStr">
        <is>
          <t>YDRE</t>
        </is>
      </c>
      <c r="G10953" t="n">
        <v>3.5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1038-2025</t>
        </is>
      </c>
      <c r="B10954" s="1" t="n">
        <v>45666</v>
      </c>
      <c r="C10954" s="1" t="n">
        <v>45710</v>
      </c>
      <c r="D10954" t="inlineStr">
        <is>
          <t>ÖSTERGÖTLANDS LÄN</t>
        </is>
      </c>
      <c r="E10954" t="inlineStr">
        <is>
          <t>YDRE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1028-2025</t>
        </is>
      </c>
      <c r="B10955" s="1" t="n">
        <v>45666</v>
      </c>
      <c r="C10955" s="1" t="n">
        <v>45710</v>
      </c>
      <c r="D10955" t="inlineStr">
        <is>
          <t>ÖSTERGÖTLANDS LÄN</t>
        </is>
      </c>
      <c r="E10955" t="inlineStr">
        <is>
          <t>YDRE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1021-2025</t>
        </is>
      </c>
      <c r="B10956" s="1" t="n">
        <v>45666</v>
      </c>
      <c r="C10956" s="1" t="n">
        <v>45710</v>
      </c>
      <c r="D10956" t="inlineStr">
        <is>
          <t>ÖSTERGÖTLANDS LÄN</t>
        </is>
      </c>
      <c r="E10956" t="inlineStr">
        <is>
          <t>YDRE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1011-2025</t>
        </is>
      </c>
      <c r="B10957" s="1" t="n">
        <v>45666</v>
      </c>
      <c r="C10957" s="1" t="n">
        <v>45710</v>
      </c>
      <c r="D10957" t="inlineStr">
        <is>
          <t>ÖSTERGÖTLANDS LÄN</t>
        </is>
      </c>
      <c r="E10957" t="inlineStr">
        <is>
          <t>MJÖLBY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998-2025</t>
        </is>
      </c>
      <c r="B10958" s="1" t="n">
        <v>45666</v>
      </c>
      <c r="C10958" s="1" t="n">
        <v>45710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1033-2025</t>
        </is>
      </c>
      <c r="B10959" s="1" t="n">
        <v>45666</v>
      </c>
      <c r="C10959" s="1" t="n">
        <v>45710</v>
      </c>
      <c r="D10959" t="inlineStr">
        <is>
          <t>ÖSTERGÖTLANDS LÄN</t>
        </is>
      </c>
      <c r="E10959" t="inlineStr">
        <is>
          <t>YDRE</t>
        </is>
      </c>
      <c r="G10959" t="n">
        <v>1.3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1012-2025</t>
        </is>
      </c>
      <c r="B10960" s="1" t="n">
        <v>45666</v>
      </c>
      <c r="C10960" s="1" t="n">
        <v>45710</v>
      </c>
      <c r="D10960" t="inlineStr">
        <is>
          <t>ÖSTERGÖTLANDS LÄN</t>
        </is>
      </c>
      <c r="E10960" t="inlineStr">
        <is>
          <t>YDRE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1005-2025</t>
        </is>
      </c>
      <c r="B10961" s="1" t="n">
        <v>45666</v>
      </c>
      <c r="C10961" s="1" t="n">
        <v>45710</v>
      </c>
      <c r="D10961" t="inlineStr">
        <is>
          <t>ÖSTERGÖTLANDS LÄN</t>
        </is>
      </c>
      <c r="E10961" t="inlineStr">
        <is>
          <t>VALDEMARSVIK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942-2025</t>
        </is>
      </c>
      <c r="B10962" s="1" t="n">
        <v>45666</v>
      </c>
      <c r="C10962" s="1" t="n">
        <v>45710</v>
      </c>
      <c r="D10962" t="inlineStr">
        <is>
          <t>ÖSTERGÖTLANDS LÄN</t>
        </is>
      </c>
      <c r="E10962" t="inlineStr">
        <is>
          <t>ÅTVIDABERG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1141-2025</t>
        </is>
      </c>
      <c r="B10963" s="1" t="n">
        <v>45666</v>
      </c>
      <c r="C10963" s="1" t="n">
        <v>45710</v>
      </c>
      <c r="D10963" t="inlineStr">
        <is>
          <t>ÖSTERGÖTLANDS LÄN</t>
        </is>
      </c>
      <c r="E10963" t="inlineStr">
        <is>
          <t>ÅTVIDABERG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960-2025</t>
        </is>
      </c>
      <c r="B10964" s="1" t="n">
        <v>45666</v>
      </c>
      <c r="C10964" s="1" t="n">
        <v>45710</v>
      </c>
      <c r="D10964" t="inlineStr">
        <is>
          <t>ÖSTERGÖTLANDS LÄN</t>
        </is>
      </c>
      <c r="E10964" t="inlineStr">
        <is>
          <t>MOTALA</t>
        </is>
      </c>
      <c r="G10964" t="n">
        <v>3.2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1228-2025</t>
        </is>
      </c>
      <c r="B10965" s="1" t="n">
        <v>45667</v>
      </c>
      <c r="C10965" s="1" t="n">
        <v>45710</v>
      </c>
      <c r="D10965" t="inlineStr">
        <is>
          <t>ÖSTERGÖTLANDS LÄN</t>
        </is>
      </c>
      <c r="E10965" t="inlineStr">
        <is>
          <t>ÖDESHÖG</t>
        </is>
      </c>
      <c r="G10965" t="n">
        <v>4.4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1270-2025</t>
        </is>
      </c>
      <c r="B10966" s="1" t="n">
        <v>45667</v>
      </c>
      <c r="C10966" s="1" t="n">
        <v>45710</v>
      </c>
      <c r="D10966" t="inlineStr">
        <is>
          <t>ÖSTERGÖTLANDS LÄN</t>
        </is>
      </c>
      <c r="E10966" t="inlineStr">
        <is>
          <t>ÅTVIDABERG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1280-2025</t>
        </is>
      </c>
      <c r="B10967" s="1" t="n">
        <v>45667</v>
      </c>
      <c r="C10967" s="1" t="n">
        <v>45710</v>
      </c>
      <c r="D10967" t="inlineStr">
        <is>
          <t>ÖSTERGÖTLANDS LÄN</t>
        </is>
      </c>
      <c r="E10967" t="inlineStr">
        <is>
          <t>VALDEMARSVIK</t>
        </is>
      </c>
      <c r="G10967" t="n">
        <v>2.4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1284-2025</t>
        </is>
      </c>
      <c r="B10968" s="1" t="n">
        <v>45667</v>
      </c>
      <c r="C10968" s="1" t="n">
        <v>45710</v>
      </c>
      <c r="D10968" t="inlineStr">
        <is>
          <t>ÖSTERGÖTLANDS LÄN</t>
        </is>
      </c>
      <c r="E10968" t="inlineStr">
        <is>
          <t>VALDEMARSVIK</t>
        </is>
      </c>
      <c r="G10968" t="n">
        <v>2.4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1292-2025</t>
        </is>
      </c>
      <c r="B10969" s="1" t="n">
        <v>45667</v>
      </c>
      <c r="C10969" s="1" t="n">
        <v>45710</v>
      </c>
      <c r="D10969" t="inlineStr">
        <is>
          <t>ÖSTERGÖTLANDS LÄN</t>
        </is>
      </c>
      <c r="E10969" t="inlineStr">
        <is>
          <t>NORRKÖPING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1272-2025</t>
        </is>
      </c>
      <c r="B10970" s="1" t="n">
        <v>45667</v>
      </c>
      <c r="C10970" s="1" t="n">
        <v>45710</v>
      </c>
      <c r="D10970" t="inlineStr">
        <is>
          <t>ÖSTERGÖTLANDS LÄN</t>
        </is>
      </c>
      <c r="E10970" t="inlineStr">
        <is>
          <t>VALDEMARSVIK</t>
        </is>
      </c>
      <c r="G10970" t="n">
        <v>0.8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1316-2025</t>
        </is>
      </c>
      <c r="B10971" s="1" t="n">
        <v>45667</v>
      </c>
      <c r="C10971" s="1" t="n">
        <v>45710</v>
      </c>
      <c r="D10971" t="inlineStr">
        <is>
          <t>ÖSTERGÖTLANDS LÄN</t>
        </is>
      </c>
      <c r="E10971" t="inlineStr">
        <is>
          <t>NORRKÖPING</t>
        </is>
      </c>
      <c r="F10971" t="inlineStr">
        <is>
          <t>Allmännings- och besparingsskogar</t>
        </is>
      </c>
      <c r="G10971" t="n">
        <v>6.3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1320-2025</t>
        </is>
      </c>
      <c r="B10972" s="1" t="n">
        <v>45667</v>
      </c>
      <c r="C10972" s="1" t="n">
        <v>45710</v>
      </c>
      <c r="D10972" t="inlineStr">
        <is>
          <t>ÖSTERGÖTLANDS LÄN</t>
        </is>
      </c>
      <c r="E10972" t="inlineStr">
        <is>
          <t>VALDEMARSVIK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1330-2025</t>
        </is>
      </c>
      <c r="B10973" s="1" t="n">
        <v>45667</v>
      </c>
      <c r="C10973" s="1" t="n">
        <v>45710</v>
      </c>
      <c r="D10973" t="inlineStr">
        <is>
          <t>ÖSTERGÖTLANDS LÄN</t>
        </is>
      </c>
      <c r="E10973" t="inlineStr">
        <is>
          <t>VALDEMARSVIK</t>
        </is>
      </c>
      <c r="G10973" t="n">
        <v>1.7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1384-2025</t>
        </is>
      </c>
      <c r="B10974" s="1" t="n">
        <v>45667</v>
      </c>
      <c r="C10974" s="1" t="n">
        <v>45710</v>
      </c>
      <c r="D10974" t="inlineStr">
        <is>
          <t>ÖSTERGÖTLANDS LÄN</t>
        </is>
      </c>
      <c r="E10974" t="inlineStr">
        <is>
          <t>ÅTVIDABERG</t>
        </is>
      </c>
      <c r="G10974" t="n">
        <v>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1406-2025</t>
        </is>
      </c>
      <c r="B10975" s="1" t="n">
        <v>45667</v>
      </c>
      <c r="C10975" s="1" t="n">
        <v>45710</v>
      </c>
      <c r="D10975" t="inlineStr">
        <is>
          <t>ÖSTERGÖTLANDS LÄN</t>
        </is>
      </c>
      <c r="E10975" t="inlineStr">
        <is>
          <t>LINKÖPING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1315-2025</t>
        </is>
      </c>
      <c r="B10976" s="1" t="n">
        <v>45667</v>
      </c>
      <c r="C10976" s="1" t="n">
        <v>45710</v>
      </c>
      <c r="D10976" t="inlineStr">
        <is>
          <t>ÖSTERGÖTLANDS LÄN</t>
        </is>
      </c>
      <c r="E10976" t="inlineStr">
        <is>
          <t>VALDEMARSVIK</t>
        </is>
      </c>
      <c r="G10976" t="n">
        <v>4.8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1338-2025</t>
        </is>
      </c>
      <c r="B10977" s="1" t="n">
        <v>45667</v>
      </c>
      <c r="C10977" s="1" t="n">
        <v>45710</v>
      </c>
      <c r="D10977" t="inlineStr">
        <is>
          <t>ÖSTERGÖTLANDS LÄN</t>
        </is>
      </c>
      <c r="E10977" t="inlineStr">
        <is>
          <t>VALDEMARSVIK</t>
        </is>
      </c>
      <c r="G10977" t="n">
        <v>1.6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1399-2025</t>
        </is>
      </c>
      <c r="B10978" s="1" t="n">
        <v>45667</v>
      </c>
      <c r="C10978" s="1" t="n">
        <v>45710</v>
      </c>
      <c r="D10978" t="inlineStr">
        <is>
          <t>ÖSTERGÖTLANDS LÄN</t>
        </is>
      </c>
      <c r="E10978" t="inlineStr">
        <is>
          <t>SÖDERKÖPING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1238-2025</t>
        </is>
      </c>
      <c r="B10979" s="1" t="n">
        <v>45667</v>
      </c>
      <c r="C10979" s="1" t="n">
        <v>45710</v>
      </c>
      <c r="D10979" t="inlineStr">
        <is>
          <t>ÖSTERGÖTLANDS LÄN</t>
        </is>
      </c>
      <c r="E10979" t="inlineStr">
        <is>
          <t>VALDEMARSVIK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1259-2025</t>
        </is>
      </c>
      <c r="B10980" s="1" t="n">
        <v>45667</v>
      </c>
      <c r="C10980" s="1" t="n">
        <v>45710</v>
      </c>
      <c r="D10980" t="inlineStr">
        <is>
          <t>ÖSTERGÖTLANDS LÄN</t>
        </is>
      </c>
      <c r="E10980" t="inlineStr">
        <is>
          <t>VALDEMARSVIK</t>
        </is>
      </c>
      <c r="G10980" t="n">
        <v>1.8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1293-2025</t>
        </is>
      </c>
      <c r="B10981" s="1" t="n">
        <v>45667</v>
      </c>
      <c r="C10981" s="1" t="n">
        <v>45710</v>
      </c>
      <c r="D10981" t="inlineStr">
        <is>
          <t>ÖSTERGÖTLANDS LÄN</t>
        </is>
      </c>
      <c r="E10981" t="inlineStr">
        <is>
          <t>SÖDERKÖPING</t>
        </is>
      </c>
      <c r="G10981" t="n">
        <v>1.3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1397-2025</t>
        </is>
      </c>
      <c r="B10982" s="1" t="n">
        <v>45667</v>
      </c>
      <c r="C10982" s="1" t="n">
        <v>45710</v>
      </c>
      <c r="D10982" t="inlineStr">
        <is>
          <t>ÖSTERGÖTLANDS LÄN</t>
        </is>
      </c>
      <c r="E10982" t="inlineStr">
        <is>
          <t>VALDEMARSVIK</t>
        </is>
      </c>
      <c r="G10982" t="n">
        <v>3.9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1401-2025</t>
        </is>
      </c>
      <c r="B10983" s="1" t="n">
        <v>45667</v>
      </c>
      <c r="C10983" s="1" t="n">
        <v>45710</v>
      </c>
      <c r="D10983" t="inlineStr">
        <is>
          <t>ÖSTERGÖTLANDS LÄN</t>
        </is>
      </c>
      <c r="E10983" t="inlineStr">
        <is>
          <t>LINKÖPING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1549-2025</t>
        </is>
      </c>
      <c r="B10984" s="1" t="n">
        <v>45670</v>
      </c>
      <c r="C10984" s="1" t="n">
        <v>45710</v>
      </c>
      <c r="D10984" t="inlineStr">
        <is>
          <t>ÖSTERGÖTLANDS LÄN</t>
        </is>
      </c>
      <c r="E10984" t="inlineStr">
        <is>
          <t>NORRKÖPING</t>
        </is>
      </c>
      <c r="G10984" t="n">
        <v>4.5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1666-2025</t>
        </is>
      </c>
      <c r="B10985" s="1" t="n">
        <v>45670</v>
      </c>
      <c r="C10985" s="1" t="n">
        <v>45710</v>
      </c>
      <c r="D10985" t="inlineStr">
        <is>
          <t>ÖSTERGÖTLANDS LÄN</t>
        </is>
      </c>
      <c r="E10985" t="inlineStr">
        <is>
          <t>BOXHOLM</t>
        </is>
      </c>
      <c r="G10985" t="n">
        <v>6.8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1457-2025</t>
        </is>
      </c>
      <c r="B10986" s="1" t="n">
        <v>45670</v>
      </c>
      <c r="C10986" s="1" t="n">
        <v>45710</v>
      </c>
      <c r="D10986" t="inlineStr">
        <is>
          <t>ÖSTERGÖTLANDS LÄN</t>
        </is>
      </c>
      <c r="E10986" t="inlineStr">
        <is>
          <t>ÅTVIDABERG</t>
        </is>
      </c>
      <c r="G10986" t="n">
        <v>4.4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1696-2025</t>
        </is>
      </c>
      <c r="B10987" s="1" t="n">
        <v>45670</v>
      </c>
      <c r="C10987" s="1" t="n">
        <v>45710</v>
      </c>
      <c r="D10987" t="inlineStr">
        <is>
          <t>ÖSTERGÖTLANDS LÄN</t>
        </is>
      </c>
      <c r="E10987" t="inlineStr">
        <is>
          <t>MOTALA</t>
        </is>
      </c>
      <c r="G10987" t="n">
        <v>1.8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1705-2025</t>
        </is>
      </c>
      <c r="B10988" s="1" t="n">
        <v>45670</v>
      </c>
      <c r="C10988" s="1" t="n">
        <v>45710</v>
      </c>
      <c r="D10988" t="inlineStr">
        <is>
          <t>ÖSTERGÖTLANDS LÄN</t>
        </is>
      </c>
      <c r="E10988" t="inlineStr">
        <is>
          <t>LINKÖPING</t>
        </is>
      </c>
      <c r="G10988" t="n">
        <v>1.7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1500-2025</t>
        </is>
      </c>
      <c r="B10989" s="1" t="n">
        <v>45670</v>
      </c>
      <c r="C10989" s="1" t="n">
        <v>45710</v>
      </c>
      <c r="D10989" t="inlineStr">
        <is>
          <t>ÖSTERGÖTLANDS LÄN</t>
        </is>
      </c>
      <c r="E10989" t="inlineStr">
        <is>
          <t>ÅTVIDABERG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1460-2025</t>
        </is>
      </c>
      <c r="B10990" s="1" t="n">
        <v>45670</v>
      </c>
      <c r="C10990" s="1" t="n">
        <v>45710</v>
      </c>
      <c r="D10990" t="inlineStr">
        <is>
          <t>ÖSTERGÖTLANDS LÄN</t>
        </is>
      </c>
      <c r="E10990" t="inlineStr">
        <is>
          <t>ÅTVIDABERG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1454-2025</t>
        </is>
      </c>
      <c r="B10991" s="1" t="n">
        <v>45670</v>
      </c>
      <c r="C10991" s="1" t="n">
        <v>45710</v>
      </c>
      <c r="D10991" t="inlineStr">
        <is>
          <t>ÖSTERGÖTLANDS LÄN</t>
        </is>
      </c>
      <c r="E10991" t="inlineStr">
        <is>
          <t>ÅTVIDABERG</t>
        </is>
      </c>
      <c r="G10991" t="n">
        <v>3.9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1539-2025</t>
        </is>
      </c>
      <c r="B10992" s="1" t="n">
        <v>45670</v>
      </c>
      <c r="C10992" s="1" t="n">
        <v>45710</v>
      </c>
      <c r="D10992" t="inlineStr">
        <is>
          <t>ÖSTERGÖTLANDS LÄN</t>
        </is>
      </c>
      <c r="E10992" t="inlineStr">
        <is>
          <t>BOXHOLM</t>
        </is>
      </c>
      <c r="F10992" t="inlineStr">
        <is>
          <t>Övriga Aktiebolag</t>
        </is>
      </c>
      <c r="G10992" t="n">
        <v>4.3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1522-2025</t>
        </is>
      </c>
      <c r="B10993" s="1" t="n">
        <v>45670</v>
      </c>
      <c r="C10993" s="1" t="n">
        <v>45710</v>
      </c>
      <c r="D10993" t="inlineStr">
        <is>
          <t>ÖSTERGÖTLANDS LÄN</t>
        </is>
      </c>
      <c r="E10993" t="inlineStr">
        <is>
          <t>SÖDERKÖPING</t>
        </is>
      </c>
      <c r="G10993" t="n">
        <v>3.2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1727-2025</t>
        </is>
      </c>
      <c r="B10994" s="1" t="n">
        <v>45671</v>
      </c>
      <c r="C10994" s="1" t="n">
        <v>45710</v>
      </c>
      <c r="D10994" t="inlineStr">
        <is>
          <t>ÖSTERGÖTLANDS LÄN</t>
        </is>
      </c>
      <c r="E10994" t="inlineStr">
        <is>
          <t>ÅTVIDABERG</t>
        </is>
      </c>
      <c r="G10994" t="n">
        <v>9.6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1749-2025</t>
        </is>
      </c>
      <c r="B10995" s="1" t="n">
        <v>45671</v>
      </c>
      <c r="C10995" s="1" t="n">
        <v>45710</v>
      </c>
      <c r="D10995" t="inlineStr">
        <is>
          <t>ÖSTERGÖTLANDS LÄN</t>
        </is>
      </c>
      <c r="E10995" t="inlineStr">
        <is>
          <t>ÖDESHÖG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1753-2025</t>
        </is>
      </c>
      <c r="B10996" s="1" t="n">
        <v>45671</v>
      </c>
      <c r="C10996" s="1" t="n">
        <v>45710</v>
      </c>
      <c r="D10996" t="inlineStr">
        <is>
          <t>ÖSTERGÖTLANDS LÄN</t>
        </is>
      </c>
      <c r="E10996" t="inlineStr">
        <is>
          <t>MJÖLBY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1854-2025</t>
        </is>
      </c>
      <c r="B10997" s="1" t="n">
        <v>45671</v>
      </c>
      <c r="C10997" s="1" t="n">
        <v>45710</v>
      </c>
      <c r="D10997" t="inlineStr">
        <is>
          <t>ÖSTERGÖTLANDS LÄN</t>
        </is>
      </c>
      <c r="E10997" t="inlineStr">
        <is>
          <t>NORRKÖPING</t>
        </is>
      </c>
      <c r="F10997" t="inlineStr">
        <is>
          <t>Allmännings- och besparingsskogar</t>
        </is>
      </c>
      <c r="G10997" t="n">
        <v>3.5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1862-2025</t>
        </is>
      </c>
      <c r="B10998" s="1" t="n">
        <v>45671</v>
      </c>
      <c r="C10998" s="1" t="n">
        <v>45710</v>
      </c>
      <c r="D10998" t="inlineStr">
        <is>
          <t>ÖSTERGÖTLANDS LÄN</t>
        </is>
      </c>
      <c r="E10998" t="inlineStr">
        <is>
          <t>YDRE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1882-2025</t>
        </is>
      </c>
      <c r="B10999" s="1" t="n">
        <v>45671</v>
      </c>
      <c r="C10999" s="1" t="n">
        <v>45710</v>
      </c>
      <c r="D10999" t="inlineStr">
        <is>
          <t>ÖSTERGÖTLANDS LÄN</t>
        </is>
      </c>
      <c r="E10999" t="inlineStr">
        <is>
          <t>NORRKÖPING</t>
        </is>
      </c>
      <c r="G10999" t="n">
        <v>4.2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1841-2025</t>
        </is>
      </c>
      <c r="B11000" s="1" t="n">
        <v>45671</v>
      </c>
      <c r="C11000" s="1" t="n">
        <v>45710</v>
      </c>
      <c r="D11000" t="inlineStr">
        <is>
          <t>ÖSTERGÖTLANDS LÄN</t>
        </is>
      </c>
      <c r="E11000" t="inlineStr">
        <is>
          <t>NORRKÖPING</t>
        </is>
      </c>
      <c r="F11000" t="inlineStr">
        <is>
          <t>Allmännings- och besparingsskogar</t>
        </is>
      </c>
      <c r="G11000" t="n">
        <v>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1869-2025</t>
        </is>
      </c>
      <c r="B11001" s="1" t="n">
        <v>45671</v>
      </c>
      <c r="C11001" s="1" t="n">
        <v>45710</v>
      </c>
      <c r="D11001" t="inlineStr">
        <is>
          <t>ÖSTERGÖTLANDS LÄN</t>
        </is>
      </c>
      <c r="E11001" t="inlineStr">
        <is>
          <t>NORRKÖPING</t>
        </is>
      </c>
      <c r="G11001" t="n">
        <v>4.3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1881-2025</t>
        </is>
      </c>
      <c r="B11002" s="1" t="n">
        <v>45671</v>
      </c>
      <c r="C11002" s="1" t="n">
        <v>45710</v>
      </c>
      <c r="D11002" t="inlineStr">
        <is>
          <t>ÖSTERGÖTLANDS LÄN</t>
        </is>
      </c>
      <c r="E11002" t="inlineStr">
        <is>
          <t>KINDA</t>
        </is>
      </c>
      <c r="G11002" t="n">
        <v>2.4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1844-2025</t>
        </is>
      </c>
      <c r="B11003" s="1" t="n">
        <v>45671</v>
      </c>
      <c r="C11003" s="1" t="n">
        <v>45710</v>
      </c>
      <c r="D11003" t="inlineStr">
        <is>
          <t>ÖSTERGÖTLANDS LÄN</t>
        </is>
      </c>
      <c r="E11003" t="inlineStr">
        <is>
          <t>LINKÖPING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1872-2025</t>
        </is>
      </c>
      <c r="B11004" s="1" t="n">
        <v>45671</v>
      </c>
      <c r="C11004" s="1" t="n">
        <v>45710</v>
      </c>
      <c r="D11004" t="inlineStr">
        <is>
          <t>ÖSTERGÖTLANDS LÄN</t>
        </is>
      </c>
      <c r="E11004" t="inlineStr">
        <is>
          <t>ÅTVIDABERG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1876-2025</t>
        </is>
      </c>
      <c r="B11005" s="1" t="n">
        <v>45671</v>
      </c>
      <c r="C11005" s="1" t="n">
        <v>45710</v>
      </c>
      <c r="D11005" t="inlineStr">
        <is>
          <t>ÖSTERGÖTLANDS LÄN</t>
        </is>
      </c>
      <c r="E11005" t="inlineStr">
        <is>
          <t>KINDA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1880-2025</t>
        </is>
      </c>
      <c r="B11006" s="1" t="n">
        <v>45671</v>
      </c>
      <c r="C11006" s="1" t="n">
        <v>45710</v>
      </c>
      <c r="D11006" t="inlineStr">
        <is>
          <t>ÖSTERGÖTLANDS LÄN</t>
        </is>
      </c>
      <c r="E11006" t="inlineStr">
        <is>
          <t>KINDA</t>
        </is>
      </c>
      <c r="G11006" t="n">
        <v>1.5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1871-2025</t>
        </is>
      </c>
      <c r="B11007" s="1" t="n">
        <v>45671</v>
      </c>
      <c r="C11007" s="1" t="n">
        <v>45710</v>
      </c>
      <c r="D11007" t="inlineStr">
        <is>
          <t>ÖSTERGÖTLANDS LÄN</t>
        </is>
      </c>
      <c r="E11007" t="inlineStr">
        <is>
          <t>ÅTVIDABERG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1891-2025</t>
        </is>
      </c>
      <c r="B11008" s="1" t="n">
        <v>45671</v>
      </c>
      <c r="C11008" s="1" t="n">
        <v>45710</v>
      </c>
      <c r="D11008" t="inlineStr">
        <is>
          <t>ÖSTERGÖTLANDS LÄN</t>
        </is>
      </c>
      <c r="E11008" t="inlineStr">
        <is>
          <t>FINSPÅNG</t>
        </is>
      </c>
      <c r="G11008" t="n">
        <v>2.2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1884-2025</t>
        </is>
      </c>
      <c r="B11009" s="1" t="n">
        <v>45671</v>
      </c>
      <c r="C11009" s="1" t="n">
        <v>45710</v>
      </c>
      <c r="D11009" t="inlineStr">
        <is>
          <t>ÖSTERGÖTLANDS LÄN</t>
        </is>
      </c>
      <c r="E11009" t="inlineStr">
        <is>
          <t>NORRKÖPING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1896-2025</t>
        </is>
      </c>
      <c r="B11010" s="1" t="n">
        <v>45671</v>
      </c>
      <c r="C11010" s="1" t="n">
        <v>45710</v>
      </c>
      <c r="D11010" t="inlineStr">
        <is>
          <t>ÖSTERGÖTLANDS LÄN</t>
        </is>
      </c>
      <c r="E11010" t="inlineStr">
        <is>
          <t>NORRKÖPING</t>
        </is>
      </c>
      <c r="G11010" t="n">
        <v>1.6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2287-2025</t>
        </is>
      </c>
      <c r="B11011" s="1" t="n">
        <v>45673</v>
      </c>
      <c r="C11011" s="1" t="n">
        <v>45710</v>
      </c>
      <c r="D11011" t="inlineStr">
        <is>
          <t>ÖSTERGÖTLANDS LÄN</t>
        </is>
      </c>
      <c r="E11011" t="inlineStr">
        <is>
          <t>NORRKÖPING</t>
        </is>
      </c>
      <c r="G11011" t="n">
        <v>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2239-2025</t>
        </is>
      </c>
      <c r="B11012" s="1" t="n">
        <v>45673</v>
      </c>
      <c r="C11012" s="1" t="n">
        <v>45710</v>
      </c>
      <c r="D11012" t="inlineStr">
        <is>
          <t>ÖSTERGÖTLANDS LÄN</t>
        </is>
      </c>
      <c r="E11012" t="inlineStr">
        <is>
          <t>MOTALA</t>
        </is>
      </c>
      <c r="G11012" t="n">
        <v>1.7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2273-2025</t>
        </is>
      </c>
      <c r="B11013" s="1" t="n">
        <v>45673</v>
      </c>
      <c r="C11013" s="1" t="n">
        <v>45710</v>
      </c>
      <c r="D11013" t="inlineStr">
        <is>
          <t>ÖSTERGÖTLANDS LÄN</t>
        </is>
      </c>
      <c r="E11013" t="inlineStr">
        <is>
          <t>BOXHOLM</t>
        </is>
      </c>
      <c r="F11013" t="inlineStr">
        <is>
          <t>Övriga Aktiebolag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2277-2025</t>
        </is>
      </c>
      <c r="B11014" s="1" t="n">
        <v>45673</v>
      </c>
      <c r="C11014" s="1" t="n">
        <v>45710</v>
      </c>
      <c r="D11014" t="inlineStr">
        <is>
          <t>ÖSTERGÖTLANDS LÄN</t>
        </is>
      </c>
      <c r="E11014" t="inlineStr">
        <is>
          <t>BOXHOLM</t>
        </is>
      </c>
      <c r="F11014" t="inlineStr">
        <is>
          <t>Övriga Aktiebolag</t>
        </is>
      </c>
      <c r="G11014" t="n">
        <v>3.3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2231-2025</t>
        </is>
      </c>
      <c r="B11015" s="1" t="n">
        <v>45673</v>
      </c>
      <c r="C11015" s="1" t="n">
        <v>45710</v>
      </c>
      <c r="D11015" t="inlineStr">
        <is>
          <t>ÖSTERGÖTLANDS LÄN</t>
        </is>
      </c>
      <c r="E11015" t="inlineStr">
        <is>
          <t>MJÖLBY</t>
        </is>
      </c>
      <c r="G11015" t="n">
        <v>0.6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2237-2025</t>
        </is>
      </c>
      <c r="B11016" s="1" t="n">
        <v>45673</v>
      </c>
      <c r="C11016" s="1" t="n">
        <v>45710</v>
      </c>
      <c r="D11016" t="inlineStr">
        <is>
          <t>ÖSTERGÖTLANDS LÄN</t>
        </is>
      </c>
      <c r="E11016" t="inlineStr">
        <is>
          <t>MJÖLBY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2246-2025</t>
        </is>
      </c>
      <c r="B11017" s="1" t="n">
        <v>45673</v>
      </c>
      <c r="C11017" s="1" t="n">
        <v>45710</v>
      </c>
      <c r="D11017" t="inlineStr">
        <is>
          <t>ÖSTERGÖTLANDS LÄN</t>
        </is>
      </c>
      <c r="E11017" t="inlineStr">
        <is>
          <t>NORRKÖPING</t>
        </is>
      </c>
      <c r="F11017" t="inlineStr">
        <is>
          <t>Holmen skog AB</t>
        </is>
      </c>
      <c r="G11017" t="n">
        <v>2.1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2372-2025</t>
        </is>
      </c>
      <c r="B11018" s="1" t="n">
        <v>45673</v>
      </c>
      <c r="C11018" s="1" t="n">
        <v>45710</v>
      </c>
      <c r="D11018" t="inlineStr">
        <is>
          <t>ÖSTERGÖTLANDS LÄN</t>
        </is>
      </c>
      <c r="E11018" t="inlineStr">
        <is>
          <t>YDRE</t>
        </is>
      </c>
      <c r="G11018" t="n">
        <v>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2276-2025</t>
        </is>
      </c>
      <c r="B11019" s="1" t="n">
        <v>45673</v>
      </c>
      <c r="C11019" s="1" t="n">
        <v>45710</v>
      </c>
      <c r="D11019" t="inlineStr">
        <is>
          <t>ÖSTERGÖTLANDS LÄN</t>
        </is>
      </c>
      <c r="E11019" t="inlineStr">
        <is>
          <t>YDRE</t>
        </is>
      </c>
      <c r="G11019" t="n">
        <v>1.4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2272-2025</t>
        </is>
      </c>
      <c r="B11020" s="1" t="n">
        <v>45673</v>
      </c>
      <c r="C11020" s="1" t="n">
        <v>45710</v>
      </c>
      <c r="D11020" t="inlineStr">
        <is>
          <t>ÖSTERGÖTLANDS LÄN</t>
        </is>
      </c>
      <c r="E11020" t="inlineStr">
        <is>
          <t>YDRE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2363-2025</t>
        </is>
      </c>
      <c r="B11021" s="1" t="n">
        <v>45673</v>
      </c>
      <c r="C11021" s="1" t="n">
        <v>45710</v>
      </c>
      <c r="D11021" t="inlineStr">
        <is>
          <t>ÖSTERGÖTLANDS LÄN</t>
        </is>
      </c>
      <c r="E11021" t="inlineStr">
        <is>
          <t>MOTALA</t>
        </is>
      </c>
      <c r="G11021" t="n">
        <v>4.2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2367-2025</t>
        </is>
      </c>
      <c r="B11022" s="1" t="n">
        <v>45673</v>
      </c>
      <c r="C11022" s="1" t="n">
        <v>45710</v>
      </c>
      <c r="D11022" t="inlineStr">
        <is>
          <t>ÖSTERGÖTLANDS LÄN</t>
        </is>
      </c>
      <c r="E11022" t="inlineStr">
        <is>
          <t>MOTALA</t>
        </is>
      </c>
      <c r="G11022" t="n">
        <v>4.9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2430-2025</t>
        </is>
      </c>
      <c r="B11023" s="1" t="n">
        <v>45674</v>
      </c>
      <c r="C11023" s="1" t="n">
        <v>45710</v>
      </c>
      <c r="D11023" t="inlineStr">
        <is>
          <t>ÖSTERGÖTLANDS LÄN</t>
        </is>
      </c>
      <c r="E11023" t="inlineStr">
        <is>
          <t>KINDA</t>
        </is>
      </c>
      <c r="F11023" t="inlineStr">
        <is>
          <t>Kommuner</t>
        </is>
      </c>
      <c r="G11023" t="n">
        <v>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2418-2025</t>
        </is>
      </c>
      <c r="B11024" s="1" t="n">
        <v>45674</v>
      </c>
      <c r="C11024" s="1" t="n">
        <v>45710</v>
      </c>
      <c r="D11024" t="inlineStr">
        <is>
          <t>ÖSTERGÖTLANDS LÄN</t>
        </is>
      </c>
      <c r="E11024" t="inlineStr">
        <is>
          <t>MJÖLBY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2505-2025</t>
        </is>
      </c>
      <c r="B11025" s="1" t="n">
        <v>45674</v>
      </c>
      <c r="C11025" s="1" t="n">
        <v>45710</v>
      </c>
      <c r="D11025" t="inlineStr">
        <is>
          <t>ÖSTERGÖTLANDS LÄN</t>
        </is>
      </c>
      <c r="E11025" t="inlineStr">
        <is>
          <t>BOXHOLM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2503-2025</t>
        </is>
      </c>
      <c r="B11026" s="1" t="n">
        <v>45674</v>
      </c>
      <c r="C11026" s="1" t="n">
        <v>45710</v>
      </c>
      <c r="D11026" t="inlineStr">
        <is>
          <t>ÖSTERGÖTLANDS LÄN</t>
        </is>
      </c>
      <c r="E11026" t="inlineStr">
        <is>
          <t>BOXHOLM</t>
        </is>
      </c>
      <c r="G11026" t="n">
        <v>2.2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2450-2025</t>
        </is>
      </c>
      <c r="B11027" s="1" t="n">
        <v>45674</v>
      </c>
      <c r="C11027" s="1" t="n">
        <v>45710</v>
      </c>
      <c r="D11027" t="inlineStr">
        <is>
          <t>ÖSTERGÖTLANDS LÄN</t>
        </is>
      </c>
      <c r="E11027" t="inlineStr">
        <is>
          <t>VALDEMARSVIK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2645-2025</t>
        </is>
      </c>
      <c r="B11028" s="1" t="n">
        <v>45676</v>
      </c>
      <c r="C11028" s="1" t="n">
        <v>45710</v>
      </c>
      <c r="D11028" t="inlineStr">
        <is>
          <t>ÖSTERGÖTLANDS LÄN</t>
        </is>
      </c>
      <c r="E11028" t="inlineStr">
        <is>
          <t>KINDA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2644-2025</t>
        </is>
      </c>
      <c r="B11029" s="1" t="n">
        <v>45676</v>
      </c>
      <c r="C11029" s="1" t="n">
        <v>45710</v>
      </c>
      <c r="D11029" t="inlineStr">
        <is>
          <t>ÖSTERGÖTLANDS LÄN</t>
        </is>
      </c>
      <c r="E11029" t="inlineStr">
        <is>
          <t>KINDA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2671-2025</t>
        </is>
      </c>
      <c r="B11030" s="1" t="n">
        <v>45677</v>
      </c>
      <c r="C11030" s="1" t="n">
        <v>45710</v>
      </c>
      <c r="D11030" t="inlineStr">
        <is>
          <t>ÖSTERGÖTLANDS LÄN</t>
        </is>
      </c>
      <c r="E11030" t="inlineStr">
        <is>
          <t>FINSPÅNG</t>
        </is>
      </c>
      <c r="F11030" t="inlineStr">
        <is>
          <t>Holmen skog AB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2726-2025</t>
        </is>
      </c>
      <c r="B11031" s="1" t="n">
        <v>45677</v>
      </c>
      <c r="C11031" s="1" t="n">
        <v>45710</v>
      </c>
      <c r="D11031" t="inlineStr">
        <is>
          <t>ÖSTERGÖTLANDS LÄN</t>
        </is>
      </c>
      <c r="E11031" t="inlineStr">
        <is>
          <t>ÖDESHÖG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2800-2025</t>
        </is>
      </c>
      <c r="B11032" s="1" t="n">
        <v>45677</v>
      </c>
      <c r="C11032" s="1" t="n">
        <v>45710</v>
      </c>
      <c r="D11032" t="inlineStr">
        <is>
          <t>ÖSTERGÖTLANDS LÄN</t>
        </is>
      </c>
      <c r="E11032" t="inlineStr">
        <is>
          <t>MJÖLBY</t>
        </is>
      </c>
      <c r="G11032" t="n">
        <v>2.5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2670-2025</t>
        </is>
      </c>
      <c r="B11033" s="1" t="n">
        <v>45677</v>
      </c>
      <c r="C11033" s="1" t="n">
        <v>45710</v>
      </c>
      <c r="D11033" t="inlineStr">
        <is>
          <t>ÖSTERGÖTLANDS LÄN</t>
        </is>
      </c>
      <c r="E11033" t="inlineStr">
        <is>
          <t>YDRE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2852-2025</t>
        </is>
      </c>
      <c r="B11034" s="1" t="n">
        <v>45677</v>
      </c>
      <c r="C11034" s="1" t="n">
        <v>45710</v>
      </c>
      <c r="D11034" t="inlineStr">
        <is>
          <t>ÖSTERGÖTLANDS LÄN</t>
        </is>
      </c>
      <c r="E11034" t="inlineStr">
        <is>
          <t>FINSPÅNG</t>
        </is>
      </c>
      <c r="F11034" t="inlineStr">
        <is>
          <t>Holmen skog AB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2869-2025</t>
        </is>
      </c>
      <c r="B11035" s="1" t="n">
        <v>45677</v>
      </c>
      <c r="C11035" s="1" t="n">
        <v>45710</v>
      </c>
      <c r="D11035" t="inlineStr">
        <is>
          <t>ÖSTERGÖTLANDS LÄN</t>
        </is>
      </c>
      <c r="E11035" t="inlineStr">
        <is>
          <t>ÅTVIDABERG</t>
        </is>
      </c>
      <c r="G11035" t="n">
        <v>7.8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2843-2025</t>
        </is>
      </c>
      <c r="B11036" s="1" t="n">
        <v>45677</v>
      </c>
      <c r="C11036" s="1" t="n">
        <v>45710</v>
      </c>
      <c r="D11036" t="inlineStr">
        <is>
          <t>ÖSTERGÖTLANDS LÄN</t>
        </is>
      </c>
      <c r="E11036" t="inlineStr">
        <is>
          <t>ÅTVIDABERG</t>
        </is>
      </c>
      <c r="G11036" t="n">
        <v>2.3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2864-2025</t>
        </is>
      </c>
      <c r="B11037" s="1" t="n">
        <v>45677</v>
      </c>
      <c r="C11037" s="1" t="n">
        <v>45710</v>
      </c>
      <c r="D11037" t="inlineStr">
        <is>
          <t>ÖSTERGÖTLANDS LÄN</t>
        </is>
      </c>
      <c r="E11037" t="inlineStr">
        <is>
          <t>ÅTVIDABERG</t>
        </is>
      </c>
      <c r="G11037" t="n">
        <v>3.4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2903-2025</t>
        </is>
      </c>
      <c r="B11038" s="1" t="n">
        <v>45677</v>
      </c>
      <c r="C11038" s="1" t="n">
        <v>45710</v>
      </c>
      <c r="D11038" t="inlineStr">
        <is>
          <t>ÖSTERGÖTLANDS LÄN</t>
        </is>
      </c>
      <c r="E11038" t="inlineStr">
        <is>
          <t>YDRE</t>
        </is>
      </c>
      <c r="G11038" t="n">
        <v>2.7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2871-2025</t>
        </is>
      </c>
      <c r="B11039" s="1" t="n">
        <v>45677</v>
      </c>
      <c r="C11039" s="1" t="n">
        <v>45710</v>
      </c>
      <c r="D11039" t="inlineStr">
        <is>
          <t>ÖSTERGÖTLANDS LÄN</t>
        </is>
      </c>
      <c r="E11039" t="inlineStr">
        <is>
          <t>ÅTVIDABERG</t>
        </is>
      </c>
      <c r="G11039" t="n">
        <v>3.2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2743-2025</t>
        </is>
      </c>
      <c r="B11040" s="1" t="n">
        <v>45677</v>
      </c>
      <c r="C11040" s="1" t="n">
        <v>45710</v>
      </c>
      <c r="D11040" t="inlineStr">
        <is>
          <t>ÖSTERGÖTLANDS LÄN</t>
        </is>
      </c>
      <c r="E11040" t="inlineStr">
        <is>
          <t>MJÖLBY</t>
        </is>
      </c>
      <c r="G11040" t="n">
        <v>2.9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2998-2025</t>
        </is>
      </c>
      <c r="B11041" s="1" t="n">
        <v>45678</v>
      </c>
      <c r="C11041" s="1" t="n">
        <v>45710</v>
      </c>
      <c r="D11041" t="inlineStr">
        <is>
          <t>ÖSTERGÖTLANDS LÄN</t>
        </is>
      </c>
      <c r="E11041" t="inlineStr">
        <is>
          <t>LINKÖPING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3010-2025</t>
        </is>
      </c>
      <c r="B11042" s="1" t="n">
        <v>45678</v>
      </c>
      <c r="C11042" s="1" t="n">
        <v>45710</v>
      </c>
      <c r="D11042" t="inlineStr">
        <is>
          <t>ÖSTERGÖTLANDS LÄN</t>
        </is>
      </c>
      <c r="E11042" t="inlineStr">
        <is>
          <t>LINKÖPING</t>
        </is>
      </c>
      <c r="G11042" t="n">
        <v>1.2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3035-2025</t>
        </is>
      </c>
      <c r="B11043" s="1" t="n">
        <v>45678</v>
      </c>
      <c r="C11043" s="1" t="n">
        <v>45710</v>
      </c>
      <c r="D11043" t="inlineStr">
        <is>
          <t>ÖSTERGÖTLANDS LÄN</t>
        </is>
      </c>
      <c r="E11043" t="inlineStr">
        <is>
          <t>NORRKÖPING</t>
        </is>
      </c>
      <c r="G11043" t="n">
        <v>1.3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2978-2025</t>
        </is>
      </c>
      <c r="B11044" s="1" t="n">
        <v>45678</v>
      </c>
      <c r="C11044" s="1" t="n">
        <v>45710</v>
      </c>
      <c r="D11044" t="inlineStr">
        <is>
          <t>ÖSTERGÖTLANDS LÄN</t>
        </is>
      </c>
      <c r="E11044" t="inlineStr">
        <is>
          <t>NORRKÖPING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3023-2025</t>
        </is>
      </c>
      <c r="B11045" s="1" t="n">
        <v>45678</v>
      </c>
      <c r="C11045" s="1" t="n">
        <v>45710</v>
      </c>
      <c r="D11045" t="inlineStr">
        <is>
          <t>ÖSTERGÖTLANDS LÄN</t>
        </is>
      </c>
      <c r="E11045" t="inlineStr">
        <is>
          <t>NORRKÖPING</t>
        </is>
      </c>
      <c r="G11045" t="n">
        <v>1.8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3086-2025</t>
        </is>
      </c>
      <c r="B11046" s="1" t="n">
        <v>45678</v>
      </c>
      <c r="C11046" s="1" t="n">
        <v>45710</v>
      </c>
      <c r="D11046" t="inlineStr">
        <is>
          <t>ÖSTERGÖTLANDS LÄN</t>
        </is>
      </c>
      <c r="E11046" t="inlineStr">
        <is>
          <t>NORRKÖPING</t>
        </is>
      </c>
      <c r="G11046" t="n">
        <v>1.9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3129-2025</t>
        </is>
      </c>
      <c r="B11047" s="1" t="n">
        <v>45678</v>
      </c>
      <c r="C11047" s="1" t="n">
        <v>45710</v>
      </c>
      <c r="D11047" t="inlineStr">
        <is>
          <t>ÖSTERGÖTLANDS LÄN</t>
        </is>
      </c>
      <c r="E11047" t="inlineStr">
        <is>
          <t>BOXHOLM</t>
        </is>
      </c>
      <c r="F11047" t="inlineStr">
        <is>
          <t>Allmännings- och besparingsskogar</t>
        </is>
      </c>
      <c r="G11047" t="n">
        <v>2.9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3085-2025</t>
        </is>
      </c>
      <c r="B11048" s="1" t="n">
        <v>45678</v>
      </c>
      <c r="C11048" s="1" t="n">
        <v>45710</v>
      </c>
      <c r="D11048" t="inlineStr">
        <is>
          <t>ÖSTERGÖTLANDS LÄN</t>
        </is>
      </c>
      <c r="E11048" t="inlineStr">
        <is>
          <t>FINSPÅNG</t>
        </is>
      </c>
      <c r="F11048" t="inlineStr">
        <is>
          <t>Holmen skog AB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3130-2025</t>
        </is>
      </c>
      <c r="B11049" s="1" t="n">
        <v>45678</v>
      </c>
      <c r="C11049" s="1" t="n">
        <v>45710</v>
      </c>
      <c r="D11049" t="inlineStr">
        <is>
          <t>ÖSTERGÖTLANDS LÄN</t>
        </is>
      </c>
      <c r="E11049" t="inlineStr">
        <is>
          <t>ÖDESHÖG</t>
        </is>
      </c>
      <c r="F11049" t="inlineStr">
        <is>
          <t>Allmännings- och besparingsskogar</t>
        </is>
      </c>
      <c r="G11049" t="n">
        <v>18.6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3044-2025</t>
        </is>
      </c>
      <c r="B11050" s="1" t="n">
        <v>45678</v>
      </c>
      <c r="C11050" s="1" t="n">
        <v>45710</v>
      </c>
      <c r="D11050" t="inlineStr">
        <is>
          <t>ÖSTERGÖTLANDS LÄN</t>
        </is>
      </c>
      <c r="E11050" t="inlineStr">
        <is>
          <t>NORRKÖPING</t>
        </is>
      </c>
      <c r="G11050" t="n">
        <v>2.8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3040-2025</t>
        </is>
      </c>
      <c r="B11051" s="1" t="n">
        <v>45678</v>
      </c>
      <c r="C11051" s="1" t="n">
        <v>45710</v>
      </c>
      <c r="D11051" t="inlineStr">
        <is>
          <t>ÖSTERGÖTLANDS LÄN</t>
        </is>
      </c>
      <c r="E11051" t="inlineStr">
        <is>
          <t>MJÖLBY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3020-2025</t>
        </is>
      </c>
      <c r="B11052" s="1" t="n">
        <v>45678</v>
      </c>
      <c r="C11052" s="1" t="n">
        <v>45710</v>
      </c>
      <c r="D11052" t="inlineStr">
        <is>
          <t>ÖSTERGÖTLANDS LÄN</t>
        </is>
      </c>
      <c r="E11052" t="inlineStr">
        <is>
          <t>NORRKÖPING</t>
        </is>
      </c>
      <c r="G11052" t="n">
        <v>1.3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3011-2025</t>
        </is>
      </c>
      <c r="B11053" s="1" t="n">
        <v>45678</v>
      </c>
      <c r="C11053" s="1" t="n">
        <v>45710</v>
      </c>
      <c r="D11053" t="inlineStr">
        <is>
          <t>ÖSTERGÖTLANDS LÄN</t>
        </is>
      </c>
      <c r="E11053" t="inlineStr">
        <is>
          <t>NORRKÖPING</t>
        </is>
      </c>
      <c r="G11053" t="n">
        <v>3.6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3007-2025</t>
        </is>
      </c>
      <c r="B11054" s="1" t="n">
        <v>45678</v>
      </c>
      <c r="C11054" s="1" t="n">
        <v>45710</v>
      </c>
      <c r="D11054" t="inlineStr">
        <is>
          <t>ÖSTERGÖTLANDS LÄN</t>
        </is>
      </c>
      <c r="E11054" t="inlineStr">
        <is>
          <t>LINKÖPING</t>
        </is>
      </c>
      <c r="G11054" t="n">
        <v>3.1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3127-2025</t>
        </is>
      </c>
      <c r="B11055" s="1" t="n">
        <v>45678</v>
      </c>
      <c r="C11055" s="1" t="n">
        <v>45710</v>
      </c>
      <c r="D11055" t="inlineStr">
        <is>
          <t>ÖSTERGÖTLANDS LÄN</t>
        </is>
      </c>
      <c r="E11055" t="inlineStr">
        <is>
          <t>LINKÖPING</t>
        </is>
      </c>
      <c r="G11055" t="n">
        <v>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2997-2025</t>
        </is>
      </c>
      <c r="B11056" s="1" t="n">
        <v>45678</v>
      </c>
      <c r="C11056" s="1" t="n">
        <v>45710</v>
      </c>
      <c r="D11056" t="inlineStr">
        <is>
          <t>ÖSTERGÖTLANDS LÄN</t>
        </is>
      </c>
      <c r="E11056" t="inlineStr">
        <is>
          <t>LINKÖPING</t>
        </is>
      </c>
      <c r="G11056" t="n">
        <v>2.7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3070-2025</t>
        </is>
      </c>
      <c r="B11057" s="1" t="n">
        <v>45678</v>
      </c>
      <c r="C11057" s="1" t="n">
        <v>45710</v>
      </c>
      <c r="D11057" t="inlineStr">
        <is>
          <t>ÖSTERGÖTLANDS LÄN</t>
        </is>
      </c>
      <c r="E11057" t="inlineStr">
        <is>
          <t>NORRKÖPING</t>
        </is>
      </c>
      <c r="G11057" t="n">
        <v>0.7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3018-2025</t>
        </is>
      </c>
      <c r="B11058" s="1" t="n">
        <v>45678</v>
      </c>
      <c r="C11058" s="1" t="n">
        <v>45710</v>
      </c>
      <c r="D11058" t="inlineStr">
        <is>
          <t>ÖSTERGÖTLANDS LÄN</t>
        </is>
      </c>
      <c r="E11058" t="inlineStr">
        <is>
          <t>NORRKÖPING</t>
        </is>
      </c>
      <c r="G11058" t="n">
        <v>3.6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3013-2025</t>
        </is>
      </c>
      <c r="B11059" s="1" t="n">
        <v>45678</v>
      </c>
      <c r="C11059" s="1" t="n">
        <v>45710</v>
      </c>
      <c r="D11059" t="inlineStr">
        <is>
          <t>ÖSTERGÖTLANDS LÄN</t>
        </is>
      </c>
      <c r="E11059" t="inlineStr">
        <is>
          <t>NORRKÖPING</t>
        </is>
      </c>
      <c r="G11059" t="n">
        <v>10.9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3004-2025</t>
        </is>
      </c>
      <c r="B11060" s="1" t="n">
        <v>45678</v>
      </c>
      <c r="C11060" s="1" t="n">
        <v>45710</v>
      </c>
      <c r="D11060" t="inlineStr">
        <is>
          <t>ÖSTERGÖTLANDS LÄN</t>
        </is>
      </c>
      <c r="E11060" t="inlineStr">
        <is>
          <t>NORRKÖPING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2975-2025</t>
        </is>
      </c>
      <c r="B11061" s="1" t="n">
        <v>45678</v>
      </c>
      <c r="C11061" s="1" t="n">
        <v>45710</v>
      </c>
      <c r="D11061" t="inlineStr">
        <is>
          <t>ÖSTERGÖTLANDS LÄN</t>
        </is>
      </c>
      <c r="E11061" t="inlineStr">
        <is>
          <t>NORRKÖPING</t>
        </is>
      </c>
      <c r="G11061" t="n">
        <v>1.8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2955-2025</t>
        </is>
      </c>
      <c r="B11062" s="1" t="n">
        <v>45678</v>
      </c>
      <c r="C11062" s="1" t="n">
        <v>45710</v>
      </c>
      <c r="D11062" t="inlineStr">
        <is>
          <t>ÖSTERGÖTLANDS LÄN</t>
        </is>
      </c>
      <c r="E11062" t="inlineStr">
        <is>
          <t>NORRKÖPING</t>
        </is>
      </c>
      <c r="G11062" t="n">
        <v>2.7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3348-2025</t>
        </is>
      </c>
      <c r="B11063" s="1" t="n">
        <v>45679</v>
      </c>
      <c r="C11063" s="1" t="n">
        <v>45710</v>
      </c>
      <c r="D11063" t="inlineStr">
        <is>
          <t>ÖSTERGÖTLANDS LÄN</t>
        </is>
      </c>
      <c r="E11063" t="inlineStr">
        <is>
          <t>BOXHOLM</t>
        </is>
      </c>
      <c r="F11063" t="inlineStr">
        <is>
          <t>Övriga Aktiebolag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3365-2025</t>
        </is>
      </c>
      <c r="B11064" s="1" t="n">
        <v>45680</v>
      </c>
      <c r="C11064" s="1" t="n">
        <v>45710</v>
      </c>
      <c r="D11064" t="inlineStr">
        <is>
          <t>ÖSTERGÖTLANDS LÄN</t>
        </is>
      </c>
      <c r="E11064" t="inlineStr">
        <is>
          <t>KINDA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3555-2025</t>
        </is>
      </c>
      <c r="B11065" s="1" t="n">
        <v>45680</v>
      </c>
      <c r="C11065" s="1" t="n">
        <v>45710</v>
      </c>
      <c r="D11065" t="inlineStr">
        <is>
          <t>ÖSTERGÖTLANDS LÄN</t>
        </is>
      </c>
      <c r="E11065" t="inlineStr">
        <is>
          <t>YDRE</t>
        </is>
      </c>
      <c r="F11065" t="inlineStr">
        <is>
          <t>Sveaskog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3554-2025</t>
        </is>
      </c>
      <c r="B11066" s="1" t="n">
        <v>45680</v>
      </c>
      <c r="C11066" s="1" t="n">
        <v>45710</v>
      </c>
      <c r="D11066" t="inlineStr">
        <is>
          <t>ÖSTERGÖTLANDS LÄN</t>
        </is>
      </c>
      <c r="E11066" t="inlineStr">
        <is>
          <t>ÖDESHÖG</t>
        </is>
      </c>
      <c r="G11066" t="n">
        <v>3.9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3399-2025</t>
        </is>
      </c>
      <c r="B11067" s="1" t="n">
        <v>45680</v>
      </c>
      <c r="C11067" s="1" t="n">
        <v>45710</v>
      </c>
      <c r="D11067" t="inlineStr">
        <is>
          <t>ÖSTERGÖTLANDS LÄN</t>
        </is>
      </c>
      <c r="E11067" t="inlineStr">
        <is>
          <t>FINSPÅNG</t>
        </is>
      </c>
      <c r="F11067" t="inlineStr">
        <is>
          <t>Sveaskog</t>
        </is>
      </c>
      <c r="G11067" t="n">
        <v>2.5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3552-2025</t>
        </is>
      </c>
      <c r="B11068" s="1" t="n">
        <v>45680</v>
      </c>
      <c r="C11068" s="1" t="n">
        <v>45710</v>
      </c>
      <c r="D11068" t="inlineStr">
        <is>
          <t>ÖSTERGÖTLANDS LÄN</t>
        </is>
      </c>
      <c r="E11068" t="inlineStr">
        <is>
          <t>YDRE</t>
        </is>
      </c>
      <c r="F11068" t="inlineStr">
        <is>
          <t>Sveaskog</t>
        </is>
      </c>
      <c r="G11068" t="n">
        <v>3.1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3556-2025</t>
        </is>
      </c>
      <c r="B11069" s="1" t="n">
        <v>45680</v>
      </c>
      <c r="C11069" s="1" t="n">
        <v>45710</v>
      </c>
      <c r="D11069" t="inlineStr">
        <is>
          <t>ÖSTERGÖTLANDS LÄN</t>
        </is>
      </c>
      <c r="E11069" t="inlineStr">
        <is>
          <t>NORRKÖPING</t>
        </is>
      </c>
      <c r="F11069" t="inlineStr">
        <is>
          <t>Allmännings- och besparingsskogar</t>
        </is>
      </c>
      <c r="G11069" t="n">
        <v>1.9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3567-2025</t>
        </is>
      </c>
      <c r="B11070" s="1" t="n">
        <v>45680</v>
      </c>
      <c r="C11070" s="1" t="n">
        <v>45710</v>
      </c>
      <c r="D11070" t="inlineStr">
        <is>
          <t>ÖSTERGÖTLANDS LÄN</t>
        </is>
      </c>
      <c r="E11070" t="inlineStr">
        <is>
          <t>LINKÖPING</t>
        </is>
      </c>
      <c r="G11070" t="n">
        <v>4.1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3415-2025</t>
        </is>
      </c>
      <c r="B11071" s="1" t="n">
        <v>45680</v>
      </c>
      <c r="C11071" s="1" t="n">
        <v>45710</v>
      </c>
      <c r="D11071" t="inlineStr">
        <is>
          <t>ÖSTERGÖTLANDS LÄN</t>
        </is>
      </c>
      <c r="E11071" t="inlineStr">
        <is>
          <t>MJÖLBY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3393-2025</t>
        </is>
      </c>
      <c r="B11072" s="1" t="n">
        <v>45680</v>
      </c>
      <c r="C11072" s="1" t="n">
        <v>45710</v>
      </c>
      <c r="D11072" t="inlineStr">
        <is>
          <t>ÖSTERGÖTLANDS LÄN</t>
        </is>
      </c>
      <c r="E11072" t="inlineStr">
        <is>
          <t>MJÖLBY</t>
        </is>
      </c>
      <c r="G11072" t="n">
        <v>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3405-2025</t>
        </is>
      </c>
      <c r="B11073" s="1" t="n">
        <v>45680</v>
      </c>
      <c r="C11073" s="1" t="n">
        <v>45710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Sveaskog</t>
        </is>
      </c>
      <c r="G11073" t="n">
        <v>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3396-2025</t>
        </is>
      </c>
      <c r="B11074" s="1" t="n">
        <v>45680</v>
      </c>
      <c r="C11074" s="1" t="n">
        <v>45710</v>
      </c>
      <c r="D11074" t="inlineStr">
        <is>
          <t>ÖSTERGÖTLANDS LÄN</t>
        </is>
      </c>
      <c r="E11074" t="inlineStr">
        <is>
          <t>MJÖLBY</t>
        </is>
      </c>
      <c r="G11074" t="n">
        <v>1.7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3678-2025</t>
        </is>
      </c>
      <c r="B11075" s="1" t="n">
        <v>45681</v>
      </c>
      <c r="C11075" s="1" t="n">
        <v>45710</v>
      </c>
      <c r="D11075" t="inlineStr">
        <is>
          <t>ÖSTERGÖTLANDS LÄN</t>
        </is>
      </c>
      <c r="E11075" t="inlineStr">
        <is>
          <t>MJÖLBY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3716-2025</t>
        </is>
      </c>
      <c r="B11076" s="1" t="n">
        <v>45681</v>
      </c>
      <c r="C11076" s="1" t="n">
        <v>45710</v>
      </c>
      <c r="D11076" t="inlineStr">
        <is>
          <t>ÖSTERGÖTLANDS LÄN</t>
        </is>
      </c>
      <c r="E11076" t="inlineStr">
        <is>
          <t>NORRKÖPING</t>
        </is>
      </c>
      <c r="G11076" t="n">
        <v>0.8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3717-2025</t>
        </is>
      </c>
      <c r="B11077" s="1" t="n">
        <v>45681</v>
      </c>
      <c r="C11077" s="1" t="n">
        <v>45710</v>
      </c>
      <c r="D11077" t="inlineStr">
        <is>
          <t>ÖSTERGÖTLANDS LÄN</t>
        </is>
      </c>
      <c r="E11077" t="inlineStr">
        <is>
          <t>YDRE</t>
        </is>
      </c>
      <c r="G11077" t="n">
        <v>4.7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3681-2025</t>
        </is>
      </c>
      <c r="B11078" s="1" t="n">
        <v>45681</v>
      </c>
      <c r="C11078" s="1" t="n">
        <v>45710</v>
      </c>
      <c r="D11078" t="inlineStr">
        <is>
          <t>ÖSTERGÖTLANDS LÄN</t>
        </is>
      </c>
      <c r="E11078" t="inlineStr">
        <is>
          <t>MJÖLBY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3682-2025</t>
        </is>
      </c>
      <c r="B11079" s="1" t="n">
        <v>45681</v>
      </c>
      <c r="C11079" s="1" t="n">
        <v>45710</v>
      </c>
      <c r="D11079" t="inlineStr">
        <is>
          <t>ÖSTERGÖTLANDS LÄN</t>
        </is>
      </c>
      <c r="E11079" t="inlineStr">
        <is>
          <t>FINSPÅNG</t>
        </is>
      </c>
      <c r="F11079" t="inlineStr">
        <is>
          <t>Holmen skog AB</t>
        </is>
      </c>
      <c r="G11079" t="n">
        <v>1.2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3692-2025</t>
        </is>
      </c>
      <c r="B11080" s="1" t="n">
        <v>45681</v>
      </c>
      <c r="C11080" s="1" t="n">
        <v>45710</v>
      </c>
      <c r="D11080" t="inlineStr">
        <is>
          <t>ÖSTERGÖTLANDS LÄN</t>
        </is>
      </c>
      <c r="E11080" t="inlineStr">
        <is>
          <t>KINDA</t>
        </is>
      </c>
      <c r="G11080" t="n">
        <v>6.3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3814-2025</t>
        </is>
      </c>
      <c r="B11081" s="1" t="n">
        <v>45681</v>
      </c>
      <c r="C11081" s="1" t="n">
        <v>45710</v>
      </c>
      <c r="D11081" t="inlineStr">
        <is>
          <t>ÖSTERGÖTLANDS LÄN</t>
        </is>
      </c>
      <c r="E11081" t="inlineStr">
        <is>
          <t>BOXHOLM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3680-2025</t>
        </is>
      </c>
      <c r="B11082" s="1" t="n">
        <v>45681</v>
      </c>
      <c r="C11082" s="1" t="n">
        <v>45710</v>
      </c>
      <c r="D11082" t="inlineStr">
        <is>
          <t>ÖSTERGÖTLANDS LÄN</t>
        </is>
      </c>
      <c r="E11082" t="inlineStr">
        <is>
          <t>MJÖLBY</t>
        </is>
      </c>
      <c r="G11082" t="n">
        <v>2.5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3684-2025</t>
        </is>
      </c>
      <c r="B11083" s="1" t="n">
        <v>45681</v>
      </c>
      <c r="C11083" s="1" t="n">
        <v>45710</v>
      </c>
      <c r="D11083" t="inlineStr">
        <is>
          <t>ÖSTERGÖTLANDS LÄN</t>
        </is>
      </c>
      <c r="E11083" t="inlineStr">
        <is>
          <t>MOTALA</t>
        </is>
      </c>
      <c r="G11083" t="n">
        <v>3.5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3734-2025</t>
        </is>
      </c>
      <c r="B11084" s="1" t="n">
        <v>45681</v>
      </c>
      <c r="C11084" s="1" t="n">
        <v>45710</v>
      </c>
      <c r="D11084" t="inlineStr">
        <is>
          <t>ÖSTERGÖTLANDS LÄN</t>
        </is>
      </c>
      <c r="E11084" t="inlineStr">
        <is>
          <t>FINSPÅNG</t>
        </is>
      </c>
      <c r="F11084" t="inlineStr">
        <is>
          <t>Holmen skog AB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3796-2025</t>
        </is>
      </c>
      <c r="B11085" s="1" t="n">
        <v>45681</v>
      </c>
      <c r="C11085" s="1" t="n">
        <v>45710</v>
      </c>
      <c r="D11085" t="inlineStr">
        <is>
          <t>ÖSTERGÖTLANDS LÄN</t>
        </is>
      </c>
      <c r="E11085" t="inlineStr">
        <is>
          <t>FINSPÅNG</t>
        </is>
      </c>
      <c r="F11085" t="inlineStr">
        <is>
          <t>Holmen skog AB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3912-2025</t>
        </is>
      </c>
      <c r="B11086" s="1" t="n">
        <v>45684</v>
      </c>
      <c r="C11086" s="1" t="n">
        <v>45710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Allmännings- och besparingsskogar</t>
        </is>
      </c>
      <c r="G11086" t="n">
        <v>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3906-2025</t>
        </is>
      </c>
      <c r="B11087" s="1" t="n">
        <v>45684</v>
      </c>
      <c r="C11087" s="1" t="n">
        <v>45710</v>
      </c>
      <c r="D11087" t="inlineStr">
        <is>
          <t>ÖSTERGÖTLANDS LÄN</t>
        </is>
      </c>
      <c r="E11087" t="inlineStr">
        <is>
          <t>YDRE</t>
        </is>
      </c>
      <c r="F11087" t="inlineStr">
        <is>
          <t>Övriga Aktiebolag</t>
        </is>
      </c>
      <c r="G11087" t="n">
        <v>5.6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3910-2025</t>
        </is>
      </c>
      <c r="B11088" s="1" t="n">
        <v>45684</v>
      </c>
      <c r="C11088" s="1" t="n">
        <v>45710</v>
      </c>
      <c r="D11088" t="inlineStr">
        <is>
          <t>ÖSTERGÖTLANDS LÄN</t>
        </is>
      </c>
      <c r="E11088" t="inlineStr">
        <is>
          <t>NORRKÖPING</t>
        </is>
      </c>
      <c r="F11088" t="inlineStr">
        <is>
          <t>Allmännings- och besparingsskogar</t>
        </is>
      </c>
      <c r="G11088" t="n">
        <v>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3855-2025</t>
        </is>
      </c>
      <c r="B11089" s="1" t="n">
        <v>45684</v>
      </c>
      <c r="C11089" s="1" t="n">
        <v>45710</v>
      </c>
      <c r="D11089" t="inlineStr">
        <is>
          <t>ÖSTERGÖTLANDS LÄN</t>
        </is>
      </c>
      <c r="E11089" t="inlineStr">
        <is>
          <t>BOXHOLM</t>
        </is>
      </c>
      <c r="F11089" t="inlineStr">
        <is>
          <t>Övriga Aktiebolag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3979-2025</t>
        </is>
      </c>
      <c r="B11090" s="1" t="n">
        <v>45684</v>
      </c>
      <c r="C11090" s="1" t="n">
        <v>45710</v>
      </c>
      <c r="D11090" t="inlineStr">
        <is>
          <t>ÖSTERGÖTLANDS LÄN</t>
        </is>
      </c>
      <c r="E11090" t="inlineStr">
        <is>
          <t>MOTALA</t>
        </is>
      </c>
      <c r="G11090" t="n">
        <v>2.7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3913-2025</t>
        </is>
      </c>
      <c r="B11091" s="1" t="n">
        <v>45684</v>
      </c>
      <c r="C11091" s="1" t="n">
        <v>45710</v>
      </c>
      <c r="D11091" t="inlineStr">
        <is>
          <t>ÖSTERGÖTLANDS LÄN</t>
        </is>
      </c>
      <c r="E11091" t="inlineStr">
        <is>
          <t>SÖDERKÖPING</t>
        </is>
      </c>
      <c r="G11091" t="n">
        <v>2.4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3925-2025</t>
        </is>
      </c>
      <c r="B11092" s="1" t="n">
        <v>45684</v>
      </c>
      <c r="C11092" s="1" t="n">
        <v>45710</v>
      </c>
      <c r="D11092" t="inlineStr">
        <is>
          <t>ÖSTERGÖTLANDS LÄN</t>
        </is>
      </c>
      <c r="E11092" t="inlineStr">
        <is>
          <t>SÖDERKÖPING</t>
        </is>
      </c>
      <c r="G11092" t="n">
        <v>0.4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3953-2025</t>
        </is>
      </c>
      <c r="B11093" s="1" t="n">
        <v>45684</v>
      </c>
      <c r="C11093" s="1" t="n">
        <v>45710</v>
      </c>
      <c r="D11093" t="inlineStr">
        <is>
          <t>ÖSTERGÖTLANDS LÄN</t>
        </is>
      </c>
      <c r="E11093" t="inlineStr">
        <is>
          <t>KINDA</t>
        </is>
      </c>
      <c r="G11093" t="n">
        <v>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3978-2025</t>
        </is>
      </c>
      <c r="B11094" s="1" t="n">
        <v>45684</v>
      </c>
      <c r="C11094" s="1" t="n">
        <v>45710</v>
      </c>
      <c r="D11094" t="inlineStr">
        <is>
          <t>ÖSTERGÖTLANDS LÄN</t>
        </is>
      </c>
      <c r="E11094" t="inlineStr">
        <is>
          <t>KINDA</t>
        </is>
      </c>
      <c r="G11094" t="n">
        <v>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4001-2025</t>
        </is>
      </c>
      <c r="B11095" s="1" t="n">
        <v>45684</v>
      </c>
      <c r="C11095" s="1" t="n">
        <v>45710</v>
      </c>
      <c r="D11095" t="inlineStr">
        <is>
          <t>ÖSTERGÖTLANDS LÄN</t>
        </is>
      </c>
      <c r="E11095" t="inlineStr">
        <is>
          <t>KINDA</t>
        </is>
      </c>
      <c r="G11095" t="n">
        <v>10.7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3919-2025</t>
        </is>
      </c>
      <c r="B11096" s="1" t="n">
        <v>45684</v>
      </c>
      <c r="C11096" s="1" t="n">
        <v>45710</v>
      </c>
      <c r="D11096" t="inlineStr">
        <is>
          <t>ÖSTERGÖTLANDS LÄN</t>
        </is>
      </c>
      <c r="E11096" t="inlineStr">
        <is>
          <t>SÖDERKÖPING</t>
        </is>
      </c>
      <c r="G11096" t="n">
        <v>0.4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3931-2025</t>
        </is>
      </c>
      <c r="B11097" s="1" t="n">
        <v>45684</v>
      </c>
      <c r="C11097" s="1" t="n">
        <v>45710</v>
      </c>
      <c r="D11097" t="inlineStr">
        <is>
          <t>ÖSTERGÖTLANDS LÄN</t>
        </is>
      </c>
      <c r="E11097" t="inlineStr">
        <is>
          <t>SÖDERKÖPING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3988-2025</t>
        </is>
      </c>
      <c r="B11098" s="1" t="n">
        <v>45684</v>
      </c>
      <c r="C11098" s="1" t="n">
        <v>45710</v>
      </c>
      <c r="D11098" t="inlineStr">
        <is>
          <t>ÖSTERGÖTLANDS LÄN</t>
        </is>
      </c>
      <c r="E11098" t="inlineStr">
        <is>
          <t>KINDA</t>
        </is>
      </c>
      <c r="G11098" t="n">
        <v>2.7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4161-2025</t>
        </is>
      </c>
      <c r="B11099" s="1" t="n">
        <v>45685</v>
      </c>
      <c r="C11099" s="1" t="n">
        <v>45710</v>
      </c>
      <c r="D11099" t="inlineStr">
        <is>
          <t>ÖSTERGÖTLANDS LÄN</t>
        </is>
      </c>
      <c r="E11099" t="inlineStr">
        <is>
          <t>MOTALA</t>
        </is>
      </c>
      <c r="F11099" t="inlineStr">
        <is>
          <t>Kyrkan</t>
        </is>
      </c>
      <c r="G11099" t="n">
        <v>6.4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4168-2025</t>
        </is>
      </c>
      <c r="B11100" s="1" t="n">
        <v>45685</v>
      </c>
      <c r="C11100" s="1" t="n">
        <v>45710</v>
      </c>
      <c r="D11100" t="inlineStr">
        <is>
          <t>ÖSTERGÖTLANDS LÄN</t>
        </is>
      </c>
      <c r="E11100" t="inlineStr">
        <is>
          <t>ÖDESHÖG</t>
        </is>
      </c>
      <c r="F11100" t="inlineStr">
        <is>
          <t>Kyrkan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4190-2025</t>
        </is>
      </c>
      <c r="B11101" s="1" t="n">
        <v>45685</v>
      </c>
      <c r="C11101" s="1" t="n">
        <v>45710</v>
      </c>
      <c r="D11101" t="inlineStr">
        <is>
          <t>ÖSTERGÖTLANDS LÄN</t>
        </is>
      </c>
      <c r="E11101" t="inlineStr">
        <is>
          <t>MJÖLBY</t>
        </is>
      </c>
      <c r="G11101" t="n">
        <v>0.8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4205-2025</t>
        </is>
      </c>
      <c r="B11102" s="1" t="n">
        <v>45685</v>
      </c>
      <c r="C11102" s="1" t="n">
        <v>45710</v>
      </c>
      <c r="D11102" t="inlineStr">
        <is>
          <t>ÖSTERGÖTLANDS LÄN</t>
        </is>
      </c>
      <c r="E11102" t="inlineStr">
        <is>
          <t>MOTALA</t>
        </is>
      </c>
      <c r="F11102" t="inlineStr">
        <is>
          <t>Allmännings- och besparingsskogar</t>
        </is>
      </c>
      <c r="G11102" t="n">
        <v>0.5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4260-2025</t>
        </is>
      </c>
      <c r="B11103" s="1" t="n">
        <v>45685</v>
      </c>
      <c r="C11103" s="1" t="n">
        <v>45710</v>
      </c>
      <c r="D11103" t="inlineStr">
        <is>
          <t>ÖSTERGÖTLANDS LÄN</t>
        </is>
      </c>
      <c r="E11103" t="inlineStr">
        <is>
          <t>ÅTVIDABERG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4125-2025</t>
        </is>
      </c>
      <c r="B11104" s="1" t="n">
        <v>45685</v>
      </c>
      <c r="C11104" s="1" t="n">
        <v>45710</v>
      </c>
      <c r="D11104" t="inlineStr">
        <is>
          <t>ÖSTERGÖTLANDS LÄN</t>
        </is>
      </c>
      <c r="E11104" t="inlineStr">
        <is>
          <t>VALDEMARSVIK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4207-2025</t>
        </is>
      </c>
      <c r="B11105" s="1" t="n">
        <v>45685</v>
      </c>
      <c r="C11105" s="1" t="n">
        <v>45710</v>
      </c>
      <c r="D11105" t="inlineStr">
        <is>
          <t>ÖSTERGÖTLANDS LÄN</t>
        </is>
      </c>
      <c r="E11105" t="inlineStr">
        <is>
          <t>VALDEMARSVIK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4126-2025</t>
        </is>
      </c>
      <c r="B11106" s="1" t="n">
        <v>45685</v>
      </c>
      <c r="C11106" s="1" t="n">
        <v>45710</v>
      </c>
      <c r="D11106" t="inlineStr">
        <is>
          <t>ÖSTERGÖTLANDS LÄN</t>
        </is>
      </c>
      <c r="E11106" t="inlineStr">
        <is>
          <t>VALDEMARSVIK</t>
        </is>
      </c>
      <c r="G11106" t="n">
        <v>0.5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4265-2025</t>
        </is>
      </c>
      <c r="B11107" s="1" t="n">
        <v>45685</v>
      </c>
      <c r="C11107" s="1" t="n">
        <v>45710</v>
      </c>
      <c r="D11107" t="inlineStr">
        <is>
          <t>ÖSTERGÖTLANDS LÄN</t>
        </is>
      </c>
      <c r="E11107" t="inlineStr">
        <is>
          <t>ÅTVIDABERG</t>
        </is>
      </c>
      <c r="G11107" t="n">
        <v>0.6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4269-2025</t>
        </is>
      </c>
      <c r="B11108" s="1" t="n">
        <v>45685</v>
      </c>
      <c r="C11108" s="1" t="n">
        <v>45710</v>
      </c>
      <c r="D11108" t="inlineStr">
        <is>
          <t>ÖSTERGÖTLANDS LÄN</t>
        </is>
      </c>
      <c r="E11108" t="inlineStr">
        <is>
          <t>ÅTVIDABERG</t>
        </is>
      </c>
      <c r="G11108" t="n">
        <v>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4321-2025</t>
        </is>
      </c>
      <c r="B11109" s="1" t="n">
        <v>45685</v>
      </c>
      <c r="C11109" s="1" t="n">
        <v>45710</v>
      </c>
      <c r="D11109" t="inlineStr">
        <is>
          <t>ÖSTERGÖTLANDS LÄN</t>
        </is>
      </c>
      <c r="E11109" t="inlineStr">
        <is>
          <t>VALDEMARSVIK</t>
        </is>
      </c>
      <c r="G11109" t="n">
        <v>2.3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4262-2025</t>
        </is>
      </c>
      <c r="B11110" s="1" t="n">
        <v>45685</v>
      </c>
      <c r="C11110" s="1" t="n">
        <v>45710</v>
      </c>
      <c r="D11110" t="inlineStr">
        <is>
          <t>ÖSTERGÖTLANDS LÄN</t>
        </is>
      </c>
      <c r="E11110" t="inlineStr">
        <is>
          <t>ÅTVIDABERG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4282-2025</t>
        </is>
      </c>
      <c r="B11111" s="1" t="n">
        <v>45685</v>
      </c>
      <c r="C11111" s="1" t="n">
        <v>45710</v>
      </c>
      <c r="D11111" t="inlineStr">
        <is>
          <t>ÖSTERGÖTLANDS LÄN</t>
        </is>
      </c>
      <c r="E11111" t="inlineStr">
        <is>
          <t>SÖDERKÖPING</t>
        </is>
      </c>
      <c r="F11111" t="inlineStr">
        <is>
          <t>Kommuner</t>
        </is>
      </c>
      <c r="G11111" t="n">
        <v>4.6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4328-2025</t>
        </is>
      </c>
      <c r="B11112" s="1" t="n">
        <v>45685</v>
      </c>
      <c r="C11112" s="1" t="n">
        <v>45710</v>
      </c>
      <c r="D11112" t="inlineStr">
        <is>
          <t>ÖSTERGÖTLANDS LÄN</t>
        </is>
      </c>
      <c r="E11112" t="inlineStr">
        <is>
          <t>SÖDERKÖPING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4367-2025</t>
        </is>
      </c>
      <c r="B11113" s="1" t="n">
        <v>45685</v>
      </c>
      <c r="C11113" s="1" t="n">
        <v>45710</v>
      </c>
      <c r="D11113" t="inlineStr">
        <is>
          <t>ÖSTERGÖTLANDS LÄN</t>
        </is>
      </c>
      <c r="E11113" t="inlineStr">
        <is>
          <t>SÖDERKÖPING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4224-2025</t>
        </is>
      </c>
      <c r="B11114" s="1" t="n">
        <v>45685</v>
      </c>
      <c r="C11114" s="1" t="n">
        <v>45710</v>
      </c>
      <c r="D11114" t="inlineStr">
        <is>
          <t>ÖSTERGÖTLANDS LÄN</t>
        </is>
      </c>
      <c r="E11114" t="inlineStr">
        <is>
          <t>SÖDERKÖPING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4267-2025</t>
        </is>
      </c>
      <c r="B11115" s="1" t="n">
        <v>45685</v>
      </c>
      <c r="C11115" s="1" t="n">
        <v>45710</v>
      </c>
      <c r="D11115" t="inlineStr">
        <is>
          <t>ÖSTERGÖTLANDS LÄN</t>
        </is>
      </c>
      <c r="E11115" t="inlineStr">
        <is>
          <t>MOTALA</t>
        </is>
      </c>
      <c r="G11115" t="n">
        <v>1.6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4271-2025</t>
        </is>
      </c>
      <c r="B11116" s="1" t="n">
        <v>45685</v>
      </c>
      <c r="C11116" s="1" t="n">
        <v>45710</v>
      </c>
      <c r="D11116" t="inlineStr">
        <is>
          <t>ÖSTERGÖTLANDS LÄN</t>
        </is>
      </c>
      <c r="E11116" t="inlineStr">
        <is>
          <t>MOTALA</t>
        </is>
      </c>
      <c r="G11116" t="n">
        <v>2.4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4299-2025</t>
        </is>
      </c>
      <c r="B11117" s="1" t="n">
        <v>45685</v>
      </c>
      <c r="C11117" s="1" t="n">
        <v>45710</v>
      </c>
      <c r="D11117" t="inlineStr">
        <is>
          <t>ÖSTERGÖTLANDS LÄN</t>
        </is>
      </c>
      <c r="E11117" t="inlineStr">
        <is>
          <t>ÅTVIDABERG</t>
        </is>
      </c>
      <c r="G11117" t="n">
        <v>0.9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4340-2025</t>
        </is>
      </c>
      <c r="B11118" s="1" t="n">
        <v>45685</v>
      </c>
      <c r="C11118" s="1" t="n">
        <v>45710</v>
      </c>
      <c r="D11118" t="inlineStr">
        <is>
          <t>ÖSTERGÖTLANDS LÄN</t>
        </is>
      </c>
      <c r="E11118" t="inlineStr">
        <is>
          <t>KINDA</t>
        </is>
      </c>
      <c r="G11118" t="n">
        <v>4.7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4368-2025</t>
        </is>
      </c>
      <c r="B11119" s="1" t="n">
        <v>45686</v>
      </c>
      <c r="C11119" s="1" t="n">
        <v>45710</v>
      </c>
      <c r="D11119" t="inlineStr">
        <is>
          <t>ÖSTERGÖTLANDS LÄN</t>
        </is>
      </c>
      <c r="E11119" t="inlineStr">
        <is>
          <t>KINDA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4471-2025</t>
        </is>
      </c>
      <c r="B11120" s="1" t="n">
        <v>45686</v>
      </c>
      <c r="C11120" s="1" t="n">
        <v>45710</v>
      </c>
      <c r="D11120" t="inlineStr">
        <is>
          <t>ÖSTERGÖTLANDS LÄN</t>
        </is>
      </c>
      <c r="E11120" t="inlineStr">
        <is>
          <t>NORRKÖPING</t>
        </is>
      </c>
      <c r="F11120" t="inlineStr">
        <is>
          <t>Allmännings- och besparingsskogar</t>
        </is>
      </c>
      <c r="G11120" t="n">
        <v>3.1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4538-2025</t>
        </is>
      </c>
      <c r="B11121" s="1" t="n">
        <v>45687</v>
      </c>
      <c r="C11121" s="1" t="n">
        <v>45710</v>
      </c>
      <c r="D11121" t="inlineStr">
        <is>
          <t>ÖSTERGÖTLANDS LÄN</t>
        </is>
      </c>
      <c r="E11121" t="inlineStr">
        <is>
          <t>YDRE</t>
        </is>
      </c>
      <c r="G11121" t="n">
        <v>1.4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4558-2025</t>
        </is>
      </c>
      <c r="B11122" s="1" t="n">
        <v>45687</v>
      </c>
      <c r="C11122" s="1" t="n">
        <v>45710</v>
      </c>
      <c r="D11122" t="inlineStr">
        <is>
          <t>ÖSTERGÖTLANDS LÄN</t>
        </is>
      </c>
      <c r="E11122" t="inlineStr">
        <is>
          <t>FINSPÅNG</t>
        </is>
      </c>
      <c r="F11122" t="inlineStr">
        <is>
          <t>Holmen skog AB</t>
        </is>
      </c>
      <c r="G11122" t="n">
        <v>4.4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4627-2025</t>
        </is>
      </c>
      <c r="B11123" s="1" t="n">
        <v>45687</v>
      </c>
      <c r="C11123" s="1" t="n">
        <v>45710</v>
      </c>
      <c r="D11123" t="inlineStr">
        <is>
          <t>ÖSTERGÖTLANDS LÄN</t>
        </is>
      </c>
      <c r="E11123" t="inlineStr">
        <is>
          <t>VALDEMARSVIK</t>
        </is>
      </c>
      <c r="G11123" t="n">
        <v>3.1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4545-2025</t>
        </is>
      </c>
      <c r="B11124" s="1" t="n">
        <v>45687</v>
      </c>
      <c r="C11124" s="1" t="n">
        <v>45710</v>
      </c>
      <c r="D11124" t="inlineStr">
        <is>
          <t>ÖSTERGÖTLANDS LÄN</t>
        </is>
      </c>
      <c r="E11124" t="inlineStr">
        <is>
          <t>YDRE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4543-2025</t>
        </is>
      </c>
      <c r="B11125" s="1" t="n">
        <v>45687</v>
      </c>
      <c r="C11125" s="1" t="n">
        <v>45710</v>
      </c>
      <c r="D11125" t="inlineStr">
        <is>
          <t>ÖSTERGÖTLANDS LÄN</t>
        </is>
      </c>
      <c r="E11125" t="inlineStr">
        <is>
          <t>YDRE</t>
        </is>
      </c>
      <c r="G11125" t="n">
        <v>5.7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4660-2025</t>
        </is>
      </c>
      <c r="B11126" s="1" t="n">
        <v>45687</v>
      </c>
      <c r="C11126" s="1" t="n">
        <v>45710</v>
      </c>
      <c r="D11126" t="inlineStr">
        <is>
          <t>ÖSTERGÖTLANDS LÄN</t>
        </is>
      </c>
      <c r="E11126" t="inlineStr">
        <is>
          <t>NORRKÖPING</t>
        </is>
      </c>
      <c r="G11126" t="n">
        <v>3.9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4526-2025</t>
        </is>
      </c>
      <c r="B11127" s="1" t="n">
        <v>45687</v>
      </c>
      <c r="C11127" s="1" t="n">
        <v>45710</v>
      </c>
      <c r="D11127" t="inlineStr">
        <is>
          <t>ÖSTERGÖTLANDS LÄN</t>
        </is>
      </c>
      <c r="E11127" t="inlineStr">
        <is>
          <t>SÖDERKÖPING</t>
        </is>
      </c>
      <c r="G11127" t="n">
        <v>6.9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4548-2025</t>
        </is>
      </c>
      <c r="B11128" s="1" t="n">
        <v>45687</v>
      </c>
      <c r="C11128" s="1" t="n">
        <v>45710</v>
      </c>
      <c r="D11128" t="inlineStr">
        <is>
          <t>ÖSTERGÖTLANDS LÄN</t>
        </is>
      </c>
      <c r="E11128" t="inlineStr">
        <is>
          <t>YDRE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4649-2025</t>
        </is>
      </c>
      <c r="B11129" s="1" t="n">
        <v>45687</v>
      </c>
      <c r="C11129" s="1" t="n">
        <v>45710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Övriga Aktiebolag</t>
        </is>
      </c>
      <c r="G11129" t="n">
        <v>8.300000000000001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4698-2025</t>
        </is>
      </c>
      <c r="B11130" s="1" t="n">
        <v>45688</v>
      </c>
      <c r="C11130" s="1" t="n">
        <v>45710</v>
      </c>
      <c r="D11130" t="inlineStr">
        <is>
          <t>ÖSTERGÖTLANDS LÄN</t>
        </is>
      </c>
      <c r="E11130" t="inlineStr">
        <is>
          <t>ÅTVIDABERG</t>
        </is>
      </c>
      <c r="F11130" t="inlineStr">
        <is>
          <t>Övriga Aktiebolag</t>
        </is>
      </c>
      <c r="G11130" t="n">
        <v>4.5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4754-2025</t>
        </is>
      </c>
      <c r="B11131" s="1" t="n">
        <v>45688</v>
      </c>
      <c r="C11131" s="1" t="n">
        <v>45710</v>
      </c>
      <c r="D11131" t="inlineStr">
        <is>
          <t>ÖSTERGÖTLANDS LÄN</t>
        </is>
      </c>
      <c r="E11131" t="inlineStr">
        <is>
          <t>FINSPÅNG</t>
        </is>
      </c>
      <c r="F11131" t="inlineStr">
        <is>
          <t>Holmen skog AB</t>
        </is>
      </c>
      <c r="G11131" t="n">
        <v>2.5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4753-2025</t>
        </is>
      </c>
      <c r="B11132" s="1" t="n">
        <v>45688</v>
      </c>
      <c r="C11132" s="1" t="n">
        <v>45710</v>
      </c>
      <c r="D11132" t="inlineStr">
        <is>
          <t>ÖSTERGÖTLANDS LÄN</t>
        </is>
      </c>
      <c r="E11132" t="inlineStr">
        <is>
          <t>FINSPÅNG</t>
        </is>
      </c>
      <c r="F11132" t="inlineStr">
        <is>
          <t>Holmen skog AB</t>
        </is>
      </c>
      <c r="G11132" t="n">
        <v>4.3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4946-2025</t>
        </is>
      </c>
      <c r="B11133" s="1" t="n">
        <v>45688</v>
      </c>
      <c r="C11133" s="1" t="n">
        <v>45710</v>
      </c>
      <c r="D11133" t="inlineStr">
        <is>
          <t>ÖSTERGÖTLANDS LÄN</t>
        </is>
      </c>
      <c r="E11133" t="inlineStr">
        <is>
          <t>FINSPÅNG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4731-2025</t>
        </is>
      </c>
      <c r="B11134" s="1" t="n">
        <v>45688</v>
      </c>
      <c r="C11134" s="1" t="n">
        <v>45710</v>
      </c>
      <c r="D11134" t="inlineStr">
        <is>
          <t>ÖSTERGÖTLANDS LÄN</t>
        </is>
      </c>
      <c r="E11134" t="inlineStr">
        <is>
          <t>KINDA</t>
        </is>
      </c>
      <c r="F11134" t="inlineStr">
        <is>
          <t>Övriga Aktiebolag</t>
        </is>
      </c>
      <c r="G11134" t="n">
        <v>6.3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4748-2025</t>
        </is>
      </c>
      <c r="B11135" s="1" t="n">
        <v>45688</v>
      </c>
      <c r="C11135" s="1" t="n">
        <v>45710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10.3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4804-2025</t>
        </is>
      </c>
      <c r="B11136" s="1" t="n">
        <v>45688</v>
      </c>
      <c r="C11136" s="1" t="n">
        <v>45710</v>
      </c>
      <c r="D11136" t="inlineStr">
        <is>
          <t>ÖSTERGÖTLANDS LÄN</t>
        </is>
      </c>
      <c r="E11136" t="inlineStr">
        <is>
          <t>KINDA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4979-2025</t>
        </is>
      </c>
      <c r="B11137" s="1" t="n">
        <v>45689</v>
      </c>
      <c r="C11137" s="1" t="n">
        <v>45710</v>
      </c>
      <c r="D11137" t="inlineStr">
        <is>
          <t>ÖSTERGÖTLANDS LÄN</t>
        </is>
      </c>
      <c r="E11137" t="inlineStr">
        <is>
          <t>MOTALA</t>
        </is>
      </c>
      <c r="G11137" t="n">
        <v>3.5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4960-2025</t>
        </is>
      </c>
      <c r="B11138" s="1" t="n">
        <v>45689</v>
      </c>
      <c r="C11138" s="1" t="n">
        <v>45710</v>
      </c>
      <c r="D11138" t="inlineStr">
        <is>
          <t>ÖSTERGÖTLANDS LÄN</t>
        </is>
      </c>
      <c r="E11138" t="inlineStr">
        <is>
          <t>LINKÖPING</t>
        </is>
      </c>
      <c r="F11138" t="inlineStr">
        <is>
          <t>Allmännings- och besparingsskogar</t>
        </is>
      </c>
      <c r="G11138" t="n">
        <v>5.7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4981-2025</t>
        </is>
      </c>
      <c r="B11139" s="1" t="n">
        <v>45689</v>
      </c>
      <c r="C11139" s="1" t="n">
        <v>45710</v>
      </c>
      <c r="D11139" t="inlineStr">
        <is>
          <t>ÖSTERGÖTLANDS LÄN</t>
        </is>
      </c>
      <c r="E11139" t="inlineStr">
        <is>
          <t>MOTALA</t>
        </is>
      </c>
      <c r="G11139" t="n">
        <v>2.7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5151-2025</t>
        </is>
      </c>
      <c r="B11140" s="1" t="n">
        <v>45691</v>
      </c>
      <c r="C11140" s="1" t="n">
        <v>45710</v>
      </c>
      <c r="D11140" t="inlineStr">
        <is>
          <t>ÖSTERGÖTLANDS LÄN</t>
        </is>
      </c>
      <c r="E11140" t="inlineStr">
        <is>
          <t>ÖDESHÖG</t>
        </is>
      </c>
      <c r="G11140" t="n">
        <v>2.9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5175-2025</t>
        </is>
      </c>
      <c r="B11141" s="1" t="n">
        <v>45691</v>
      </c>
      <c r="C11141" s="1" t="n">
        <v>45710</v>
      </c>
      <c r="D11141" t="inlineStr">
        <is>
          <t>ÖSTERGÖTLANDS LÄN</t>
        </is>
      </c>
      <c r="E11141" t="inlineStr">
        <is>
          <t>VALDEMARSVIK</t>
        </is>
      </c>
      <c r="G11141" t="n">
        <v>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5080-2025</t>
        </is>
      </c>
      <c r="B11142" s="1" t="n">
        <v>45691</v>
      </c>
      <c r="C11142" s="1" t="n">
        <v>45710</v>
      </c>
      <c r="D11142" t="inlineStr">
        <is>
          <t>ÖSTERGÖTLANDS LÄN</t>
        </is>
      </c>
      <c r="E11142" t="inlineStr">
        <is>
          <t>LINKÖPING</t>
        </is>
      </c>
      <c r="G11142" t="n">
        <v>2.5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5224-2025</t>
        </is>
      </c>
      <c r="B11143" s="1" t="n">
        <v>45691</v>
      </c>
      <c r="C11143" s="1" t="n">
        <v>45710</v>
      </c>
      <c r="D11143" t="inlineStr">
        <is>
          <t>ÖSTERGÖTLANDS LÄN</t>
        </is>
      </c>
      <c r="E11143" t="inlineStr">
        <is>
          <t>KINDA</t>
        </is>
      </c>
      <c r="F11143" t="inlineStr">
        <is>
          <t>Övriga Aktiebolag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5177-2025</t>
        </is>
      </c>
      <c r="B11144" s="1" t="n">
        <v>45691</v>
      </c>
      <c r="C11144" s="1" t="n">
        <v>45710</v>
      </c>
      <c r="D11144" t="inlineStr">
        <is>
          <t>ÖSTERGÖTLANDS LÄN</t>
        </is>
      </c>
      <c r="E11144" t="inlineStr">
        <is>
          <t>VALDEMARSVIK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  <c r="U11144">
        <f>HYPERLINK("https://klasma.github.io/Logging_0563/knärot/A 5177-2025 karta knärot.png", "A 5177-2025")</f>
        <v/>
      </c>
      <c r="V11144">
        <f>HYPERLINK("https://klasma.github.io/Logging_0563/klagomål/A 5177-2025 FSC-klagomål.docx", "A 5177-2025")</f>
        <v/>
      </c>
      <c r="W11144">
        <f>HYPERLINK("https://klasma.github.io/Logging_0563/klagomålsmail/A 5177-2025 FSC-klagomål mail.docx", "A 5177-2025")</f>
        <v/>
      </c>
      <c r="X11144">
        <f>HYPERLINK("https://klasma.github.io/Logging_0563/tillsyn/A 5177-2025 tillsynsbegäran.docx", "A 5177-2025")</f>
        <v/>
      </c>
      <c r="Y11144">
        <f>HYPERLINK("https://klasma.github.io/Logging_0563/tillsynsmail/A 5177-2025 tillsynsbegäran mail.docx", "A 5177-2025")</f>
        <v/>
      </c>
    </row>
    <row r="11145" ht="15" customHeight="1">
      <c r="A11145" t="inlineStr">
        <is>
          <t>A 5289-2025</t>
        </is>
      </c>
      <c r="B11145" s="1" t="n">
        <v>45692</v>
      </c>
      <c r="C11145" s="1" t="n">
        <v>45710</v>
      </c>
      <c r="D11145" t="inlineStr">
        <is>
          <t>ÖSTERGÖTLANDS LÄN</t>
        </is>
      </c>
      <c r="E11145" t="inlineStr">
        <is>
          <t>YDRE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5310-2025</t>
        </is>
      </c>
      <c r="B11146" s="1" t="n">
        <v>45692</v>
      </c>
      <c r="C11146" s="1" t="n">
        <v>45710</v>
      </c>
      <c r="D11146" t="inlineStr">
        <is>
          <t>ÖSTERGÖTLANDS LÄN</t>
        </is>
      </c>
      <c r="E11146" t="inlineStr">
        <is>
          <t>SÖDERKÖPING</t>
        </is>
      </c>
      <c r="G11146" t="n">
        <v>4.6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5287-2025</t>
        </is>
      </c>
      <c r="B11147" s="1" t="n">
        <v>45692</v>
      </c>
      <c r="C11147" s="1" t="n">
        <v>45710</v>
      </c>
      <c r="D11147" t="inlineStr">
        <is>
          <t>ÖSTERGÖTLANDS LÄN</t>
        </is>
      </c>
      <c r="E11147" t="inlineStr">
        <is>
          <t>YDRE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5346-2025</t>
        </is>
      </c>
      <c r="B11148" s="1" t="n">
        <v>45692</v>
      </c>
      <c r="C11148" s="1" t="n">
        <v>45710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1.4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5424-2025</t>
        </is>
      </c>
      <c r="B11149" s="1" t="n">
        <v>45692</v>
      </c>
      <c r="C11149" s="1" t="n">
        <v>45710</v>
      </c>
      <c r="D11149" t="inlineStr">
        <is>
          <t>ÖSTERGÖTLANDS LÄN</t>
        </is>
      </c>
      <c r="E11149" t="inlineStr">
        <is>
          <t>MJÖLBY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5318-2025</t>
        </is>
      </c>
      <c r="B11150" s="1" t="n">
        <v>45692</v>
      </c>
      <c r="C11150" s="1" t="n">
        <v>45710</v>
      </c>
      <c r="D11150" t="inlineStr">
        <is>
          <t>ÖSTERGÖTLANDS LÄN</t>
        </is>
      </c>
      <c r="E11150" t="inlineStr">
        <is>
          <t>SÖDERKÖPING</t>
        </is>
      </c>
      <c r="G11150" t="n">
        <v>2.3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5322-2025</t>
        </is>
      </c>
      <c r="B11151" s="1" t="n">
        <v>45692</v>
      </c>
      <c r="C11151" s="1" t="n">
        <v>45710</v>
      </c>
      <c r="D11151" t="inlineStr">
        <is>
          <t>ÖSTERGÖTLANDS LÄN</t>
        </is>
      </c>
      <c r="E11151" t="inlineStr">
        <is>
          <t>BOXHOLM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5326-2025</t>
        </is>
      </c>
      <c r="B11152" s="1" t="n">
        <v>45692</v>
      </c>
      <c r="C11152" s="1" t="n">
        <v>45710</v>
      </c>
      <c r="D11152" t="inlineStr">
        <is>
          <t>ÖSTERGÖTLANDS LÄN</t>
        </is>
      </c>
      <c r="E11152" t="inlineStr">
        <is>
          <t>MOTALA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5350-2025</t>
        </is>
      </c>
      <c r="B11153" s="1" t="n">
        <v>45692</v>
      </c>
      <c r="C11153" s="1" t="n">
        <v>45710</v>
      </c>
      <c r="D11153" t="inlineStr">
        <is>
          <t>ÖSTERGÖTLANDS LÄN</t>
        </is>
      </c>
      <c r="E11153" t="inlineStr">
        <is>
          <t>ÖDESHÖG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5339-2025</t>
        </is>
      </c>
      <c r="B11154" s="1" t="n">
        <v>45692</v>
      </c>
      <c r="C11154" s="1" t="n">
        <v>45710</v>
      </c>
      <c r="D11154" t="inlineStr">
        <is>
          <t>ÖSTERGÖTLANDS LÄN</t>
        </is>
      </c>
      <c r="E11154" t="inlineStr">
        <is>
          <t>SÖDERKÖPING</t>
        </is>
      </c>
      <c r="G11154" t="n">
        <v>3.9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5421-2025</t>
        </is>
      </c>
      <c r="B11155" s="1" t="n">
        <v>45692</v>
      </c>
      <c r="C11155" s="1" t="n">
        <v>45710</v>
      </c>
      <c r="D11155" t="inlineStr">
        <is>
          <t>ÖSTERGÖTLANDS LÄN</t>
        </is>
      </c>
      <c r="E11155" t="inlineStr">
        <is>
          <t>MJÖLBY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5349-2025</t>
        </is>
      </c>
      <c r="B11156" s="1" t="n">
        <v>45692</v>
      </c>
      <c r="C11156" s="1" t="n">
        <v>45710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5336-2025</t>
        </is>
      </c>
      <c r="B11157" s="1" t="n">
        <v>45692</v>
      </c>
      <c r="C11157" s="1" t="n">
        <v>45710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0.6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5323-2025</t>
        </is>
      </c>
      <c r="B11158" s="1" t="n">
        <v>45692</v>
      </c>
      <c r="C11158" s="1" t="n">
        <v>45710</v>
      </c>
      <c r="D11158" t="inlineStr">
        <is>
          <t>ÖSTERGÖTLANDS LÄN</t>
        </is>
      </c>
      <c r="E11158" t="inlineStr">
        <is>
          <t>BOXHOLM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5300-2025</t>
        </is>
      </c>
      <c r="B11159" s="1" t="n">
        <v>45692</v>
      </c>
      <c r="C11159" s="1" t="n">
        <v>45710</v>
      </c>
      <c r="D11159" t="inlineStr">
        <is>
          <t>ÖSTERGÖTLANDS LÄN</t>
        </is>
      </c>
      <c r="E11159" t="inlineStr">
        <is>
          <t>SÖDERKÖPING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5325-2025</t>
        </is>
      </c>
      <c r="B11160" s="1" t="n">
        <v>45692</v>
      </c>
      <c r="C11160" s="1" t="n">
        <v>45710</v>
      </c>
      <c r="D11160" t="inlineStr">
        <is>
          <t>ÖSTERGÖTLANDS LÄN</t>
        </is>
      </c>
      <c r="E11160" t="inlineStr">
        <is>
          <t>MOTALA</t>
        </is>
      </c>
      <c r="G11160" t="n">
        <v>3.9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5333-2025</t>
        </is>
      </c>
      <c r="B11161" s="1" t="n">
        <v>45692</v>
      </c>
      <c r="C11161" s="1" t="n">
        <v>45710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2.5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5414-2025</t>
        </is>
      </c>
      <c r="B11162" s="1" t="n">
        <v>45692</v>
      </c>
      <c r="C11162" s="1" t="n">
        <v>45710</v>
      </c>
      <c r="D11162" t="inlineStr">
        <is>
          <t>ÖSTERGÖTLANDS LÄN</t>
        </is>
      </c>
      <c r="E11162" t="inlineStr">
        <is>
          <t>VALDEMARSVIK</t>
        </is>
      </c>
      <c r="G11162" t="n">
        <v>7.3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5513-2025</t>
        </is>
      </c>
      <c r="B11163" s="1" t="n">
        <v>45693</v>
      </c>
      <c r="C11163" s="1" t="n">
        <v>45710</v>
      </c>
      <c r="D11163" t="inlineStr">
        <is>
          <t>ÖSTERGÖTLANDS LÄN</t>
        </is>
      </c>
      <c r="E11163" t="inlineStr">
        <is>
          <t>ÖDESHÖG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5550-2025</t>
        </is>
      </c>
      <c r="B11164" s="1" t="n">
        <v>45693</v>
      </c>
      <c r="C11164" s="1" t="n">
        <v>45710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7.1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5554-2025</t>
        </is>
      </c>
      <c r="B11165" s="1" t="n">
        <v>45693</v>
      </c>
      <c r="C11165" s="1" t="n">
        <v>45710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6.1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5588-2025</t>
        </is>
      </c>
      <c r="B11166" s="1" t="n">
        <v>45693</v>
      </c>
      <c r="C11166" s="1" t="n">
        <v>45710</v>
      </c>
      <c r="D11166" t="inlineStr">
        <is>
          <t>ÖSTERGÖTLANDS LÄN</t>
        </is>
      </c>
      <c r="E11166" t="inlineStr">
        <is>
          <t>KINDA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5591-2025</t>
        </is>
      </c>
      <c r="B11167" s="1" t="n">
        <v>45693</v>
      </c>
      <c r="C11167" s="1" t="n">
        <v>45710</v>
      </c>
      <c r="D11167" t="inlineStr">
        <is>
          <t>ÖSTERGÖTLANDS LÄN</t>
        </is>
      </c>
      <c r="E11167" t="inlineStr">
        <is>
          <t>ÖDESHÖG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5609-2025</t>
        </is>
      </c>
      <c r="B11168" s="1" t="n">
        <v>45693</v>
      </c>
      <c r="C11168" s="1" t="n">
        <v>45710</v>
      </c>
      <c r="D11168" t="inlineStr">
        <is>
          <t>ÖSTERGÖTLANDS LÄN</t>
        </is>
      </c>
      <c r="E11168" t="inlineStr">
        <is>
          <t>MOTALA</t>
        </is>
      </c>
      <c r="G11168" t="n">
        <v>1.6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5508-2025</t>
        </is>
      </c>
      <c r="B11169" s="1" t="n">
        <v>45693</v>
      </c>
      <c r="C11169" s="1" t="n">
        <v>45710</v>
      </c>
      <c r="D11169" t="inlineStr">
        <is>
          <t>ÖSTERGÖTLANDS LÄN</t>
        </is>
      </c>
      <c r="E11169" t="inlineStr">
        <is>
          <t>KINDA</t>
        </is>
      </c>
      <c r="G11169" t="n">
        <v>1.3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5528-2025</t>
        </is>
      </c>
      <c r="B11170" s="1" t="n">
        <v>45693</v>
      </c>
      <c r="C11170" s="1" t="n">
        <v>45710</v>
      </c>
      <c r="D11170" t="inlineStr">
        <is>
          <t>ÖSTERGÖTLANDS LÄN</t>
        </is>
      </c>
      <c r="E11170" t="inlineStr">
        <is>
          <t>MOTALA</t>
        </is>
      </c>
      <c r="F11170" t="inlineStr">
        <is>
          <t>Allmännings- och besparingsskogar</t>
        </is>
      </c>
      <c r="G11170" t="n">
        <v>3.3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5593-2025</t>
        </is>
      </c>
      <c r="B11171" s="1" t="n">
        <v>45693</v>
      </c>
      <c r="C11171" s="1" t="n">
        <v>45710</v>
      </c>
      <c r="D11171" t="inlineStr">
        <is>
          <t>ÖSTERGÖTLANDS LÄN</t>
        </is>
      </c>
      <c r="E11171" t="inlineStr">
        <is>
          <t>KINDA</t>
        </is>
      </c>
      <c r="G11171" t="n">
        <v>1.4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5649-2025</t>
        </is>
      </c>
      <c r="B11172" s="1" t="n">
        <v>45693</v>
      </c>
      <c r="C11172" s="1" t="n">
        <v>45710</v>
      </c>
      <c r="D11172" t="inlineStr">
        <is>
          <t>ÖSTERGÖTLANDS LÄN</t>
        </is>
      </c>
      <c r="E11172" t="inlineStr">
        <is>
          <t>VALDEMARSVIK</t>
        </is>
      </c>
      <c r="G11172" t="n">
        <v>1.8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5614-2025</t>
        </is>
      </c>
      <c r="B11173" s="1" t="n">
        <v>45693</v>
      </c>
      <c r="C11173" s="1" t="n">
        <v>45710</v>
      </c>
      <c r="D11173" t="inlineStr">
        <is>
          <t>ÖSTERGÖTLANDS LÄN</t>
        </is>
      </c>
      <c r="E11173" t="inlineStr">
        <is>
          <t>MOTALA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5648-2025</t>
        </is>
      </c>
      <c r="B11174" s="1" t="n">
        <v>45693</v>
      </c>
      <c r="C11174" s="1" t="n">
        <v>45710</v>
      </c>
      <c r="D11174" t="inlineStr">
        <is>
          <t>ÖSTERGÖTLANDS LÄN</t>
        </is>
      </c>
      <c r="E11174" t="inlineStr">
        <is>
          <t>VALDEMARSVIK</t>
        </is>
      </c>
      <c r="G11174" t="n">
        <v>1.4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5656-2025</t>
        </is>
      </c>
      <c r="B11175" s="1" t="n">
        <v>45693</v>
      </c>
      <c r="C11175" s="1" t="n">
        <v>45710</v>
      </c>
      <c r="D11175" t="inlineStr">
        <is>
          <t>ÖSTERGÖTLANDS LÄN</t>
        </is>
      </c>
      <c r="E11175" t="inlineStr">
        <is>
          <t>VALDEMARSVIK</t>
        </is>
      </c>
      <c r="G11175" t="n">
        <v>4.7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5697-2025</t>
        </is>
      </c>
      <c r="B11176" s="1" t="n">
        <v>45694</v>
      </c>
      <c r="C11176" s="1" t="n">
        <v>45710</v>
      </c>
      <c r="D11176" t="inlineStr">
        <is>
          <t>ÖSTERGÖTLANDS LÄN</t>
        </is>
      </c>
      <c r="E11176" t="inlineStr">
        <is>
          <t>YDRE</t>
        </is>
      </c>
      <c r="G11176" t="n">
        <v>0.6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5888-2025</t>
        </is>
      </c>
      <c r="B11177" s="1" t="n">
        <v>45695</v>
      </c>
      <c r="C11177" s="1" t="n">
        <v>45710</v>
      </c>
      <c r="D11177" t="inlineStr">
        <is>
          <t>ÖSTERGÖTLANDS LÄN</t>
        </is>
      </c>
      <c r="E11177" t="inlineStr">
        <is>
          <t>MOTALA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5903-2025</t>
        </is>
      </c>
      <c r="B11178" s="1" t="n">
        <v>45695</v>
      </c>
      <c r="C11178" s="1" t="n">
        <v>45710</v>
      </c>
      <c r="D11178" t="inlineStr">
        <is>
          <t>ÖSTERGÖTLANDS LÄN</t>
        </is>
      </c>
      <c r="E11178" t="inlineStr">
        <is>
          <t>KINDA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5992-2025</t>
        </is>
      </c>
      <c r="B11179" s="1" t="n">
        <v>45695</v>
      </c>
      <c r="C11179" s="1" t="n">
        <v>45710</v>
      </c>
      <c r="D11179" t="inlineStr">
        <is>
          <t>ÖSTERGÖTLANDS LÄN</t>
        </is>
      </c>
      <c r="E11179" t="inlineStr">
        <is>
          <t>KINDA</t>
        </is>
      </c>
      <c r="G11179" t="n">
        <v>6.1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6036-2025</t>
        </is>
      </c>
      <c r="B11180" s="1" t="n">
        <v>45695</v>
      </c>
      <c r="C11180" s="1" t="n">
        <v>45710</v>
      </c>
      <c r="D11180" t="inlineStr">
        <is>
          <t>ÖSTERGÖTLANDS LÄN</t>
        </is>
      </c>
      <c r="E11180" t="inlineStr">
        <is>
          <t>YDRE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6044-2025</t>
        </is>
      </c>
      <c r="B11181" s="1" t="n">
        <v>45695</v>
      </c>
      <c r="C11181" s="1" t="n">
        <v>45710</v>
      </c>
      <c r="D11181" t="inlineStr">
        <is>
          <t>ÖSTERGÖTLANDS LÄN</t>
        </is>
      </c>
      <c r="E11181" t="inlineStr">
        <is>
          <t>YDRE</t>
        </is>
      </c>
      <c r="G11181" t="n">
        <v>3.2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6004-2025</t>
        </is>
      </c>
      <c r="B11182" s="1" t="n">
        <v>45695</v>
      </c>
      <c r="C11182" s="1" t="n">
        <v>45710</v>
      </c>
      <c r="D11182" t="inlineStr">
        <is>
          <t>ÖSTERGÖTLANDS LÄN</t>
        </is>
      </c>
      <c r="E11182" t="inlineStr">
        <is>
          <t>ÅTVIDABERG</t>
        </is>
      </c>
      <c r="G11182" t="n">
        <v>1.3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6035-2025</t>
        </is>
      </c>
      <c r="B11183" s="1" t="n">
        <v>45695</v>
      </c>
      <c r="C11183" s="1" t="n">
        <v>45710</v>
      </c>
      <c r="D11183" t="inlineStr">
        <is>
          <t>ÖSTERGÖTLANDS LÄN</t>
        </is>
      </c>
      <c r="E11183" t="inlineStr">
        <is>
          <t>ÅTVIDABERG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6188-2025</t>
        </is>
      </c>
      <c r="B11184" s="1" t="n">
        <v>45695</v>
      </c>
      <c r="C11184" s="1" t="n">
        <v>45710</v>
      </c>
      <c r="D11184" t="inlineStr">
        <is>
          <t>ÖSTERGÖTLANDS LÄN</t>
        </is>
      </c>
      <c r="E11184" t="inlineStr">
        <is>
          <t>SÖDERKÖPING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5872-2025</t>
        </is>
      </c>
      <c r="B11185" s="1" t="n">
        <v>45695</v>
      </c>
      <c r="C11185" s="1" t="n">
        <v>45710</v>
      </c>
      <c r="D11185" t="inlineStr">
        <is>
          <t>ÖSTERGÖTLANDS LÄN</t>
        </is>
      </c>
      <c r="E11185" t="inlineStr">
        <is>
          <t>LINKÖPING</t>
        </is>
      </c>
      <c r="G11185" t="n">
        <v>0.5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5929-2025</t>
        </is>
      </c>
      <c r="B11186" s="1" t="n">
        <v>45695</v>
      </c>
      <c r="C11186" s="1" t="n">
        <v>45710</v>
      </c>
      <c r="D11186" t="inlineStr">
        <is>
          <t>ÖSTERGÖTLANDS LÄN</t>
        </is>
      </c>
      <c r="E11186" t="inlineStr">
        <is>
          <t>YDRE</t>
        </is>
      </c>
      <c r="G11186" t="n">
        <v>1.6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6020-2025</t>
        </is>
      </c>
      <c r="B11187" s="1" t="n">
        <v>45695</v>
      </c>
      <c r="C11187" s="1" t="n">
        <v>45710</v>
      </c>
      <c r="D11187" t="inlineStr">
        <is>
          <t>ÖSTERGÖTLANDS LÄN</t>
        </is>
      </c>
      <c r="E11187" t="inlineStr">
        <is>
          <t>YDRE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6038-2025</t>
        </is>
      </c>
      <c r="B11188" s="1" t="n">
        <v>45695</v>
      </c>
      <c r="C11188" s="1" t="n">
        <v>45710</v>
      </c>
      <c r="D11188" t="inlineStr">
        <is>
          <t>ÖSTERGÖTLANDS LÄN</t>
        </is>
      </c>
      <c r="E11188" t="inlineStr">
        <is>
          <t>YDRE</t>
        </is>
      </c>
      <c r="G11188" t="n">
        <v>3.2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6094-2025</t>
        </is>
      </c>
      <c r="B11189" s="1" t="n">
        <v>45697</v>
      </c>
      <c r="C11189" s="1" t="n">
        <v>45710</v>
      </c>
      <c r="D11189" t="inlineStr">
        <is>
          <t>ÖSTERGÖTLANDS LÄN</t>
        </is>
      </c>
      <c r="E11189" t="inlineStr">
        <is>
          <t>BOXHOLM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6146-2025</t>
        </is>
      </c>
      <c r="B11190" s="1" t="n">
        <v>45698</v>
      </c>
      <c r="C11190" s="1" t="n">
        <v>45710</v>
      </c>
      <c r="D11190" t="inlineStr">
        <is>
          <t>ÖSTERGÖTLANDS LÄN</t>
        </is>
      </c>
      <c r="E11190" t="inlineStr">
        <is>
          <t>SÖDERKÖPING</t>
        </is>
      </c>
      <c r="G11190" t="n">
        <v>5.6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6147-2025</t>
        </is>
      </c>
      <c r="B11191" s="1" t="n">
        <v>45698</v>
      </c>
      <c r="C11191" s="1" t="n">
        <v>45710</v>
      </c>
      <c r="D11191" t="inlineStr">
        <is>
          <t>ÖSTERGÖTLANDS LÄN</t>
        </is>
      </c>
      <c r="E11191" t="inlineStr">
        <is>
          <t>MJÖLBY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6212-2025</t>
        </is>
      </c>
      <c r="B11192" s="1" t="n">
        <v>45698</v>
      </c>
      <c r="C11192" s="1" t="n">
        <v>45710</v>
      </c>
      <c r="D11192" t="inlineStr">
        <is>
          <t>ÖSTERGÖTLANDS LÄN</t>
        </is>
      </c>
      <c r="E11192" t="inlineStr">
        <is>
          <t>ÖDESHÖG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6240-2025</t>
        </is>
      </c>
      <c r="B11193" s="1" t="n">
        <v>45698</v>
      </c>
      <c r="C11193" s="1" t="n">
        <v>45710</v>
      </c>
      <c r="D11193" t="inlineStr">
        <is>
          <t>ÖSTERGÖTLANDS LÄN</t>
        </is>
      </c>
      <c r="E11193" t="inlineStr">
        <is>
          <t>SÖDERKÖPING</t>
        </is>
      </c>
      <c r="G11193" t="n">
        <v>1.1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6203-2025</t>
        </is>
      </c>
      <c r="B11194" s="1" t="n">
        <v>45698</v>
      </c>
      <c r="C11194" s="1" t="n">
        <v>45710</v>
      </c>
      <c r="D11194" t="inlineStr">
        <is>
          <t>ÖSTERGÖTLANDS LÄN</t>
        </is>
      </c>
      <c r="E11194" t="inlineStr">
        <is>
          <t>FINSPÅNG</t>
        </is>
      </c>
      <c r="F11194" t="inlineStr">
        <is>
          <t>Holmen skog AB</t>
        </is>
      </c>
      <c r="G11194" t="n">
        <v>3.8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6207-2025</t>
        </is>
      </c>
      <c r="B11195" s="1" t="n">
        <v>45698</v>
      </c>
      <c r="C11195" s="1" t="n">
        <v>45710</v>
      </c>
      <c r="D11195" t="inlineStr">
        <is>
          <t>ÖSTERGÖTLANDS LÄN</t>
        </is>
      </c>
      <c r="E11195" t="inlineStr">
        <is>
          <t>YDRE</t>
        </is>
      </c>
      <c r="G11195" t="n">
        <v>5.7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6249-2025</t>
        </is>
      </c>
      <c r="B11196" s="1" t="n">
        <v>45698</v>
      </c>
      <c r="C11196" s="1" t="n">
        <v>45710</v>
      </c>
      <c r="D11196" t="inlineStr">
        <is>
          <t>ÖSTERGÖTLANDS LÄN</t>
        </is>
      </c>
      <c r="E11196" t="inlineStr">
        <is>
          <t>BOXHOLM</t>
        </is>
      </c>
      <c r="F11196" t="inlineStr">
        <is>
          <t>Övriga Aktiebolag</t>
        </is>
      </c>
      <c r="G11196" t="n">
        <v>3.7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6239-2025</t>
        </is>
      </c>
      <c r="B11197" s="1" t="n">
        <v>45698</v>
      </c>
      <c r="C11197" s="1" t="n">
        <v>45710</v>
      </c>
      <c r="D11197" t="inlineStr">
        <is>
          <t>ÖSTERGÖTLANDS LÄN</t>
        </is>
      </c>
      <c r="E11197" t="inlineStr">
        <is>
          <t>BOXHOLM</t>
        </is>
      </c>
      <c r="F11197" t="inlineStr">
        <is>
          <t>Övriga Aktiebolag</t>
        </is>
      </c>
      <c r="G11197" t="n">
        <v>3.7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6260-2025</t>
        </is>
      </c>
      <c r="B11198" s="1" t="n">
        <v>45698</v>
      </c>
      <c r="C11198" s="1" t="n">
        <v>45710</v>
      </c>
      <c r="D11198" t="inlineStr">
        <is>
          <t>ÖSTERGÖTLANDS LÄN</t>
        </is>
      </c>
      <c r="E11198" t="inlineStr">
        <is>
          <t>MOTALA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  <c r="U11198">
        <f>HYPERLINK("https://klasma.github.io/Logging_0583/knärot/A 6260-2025 karta knärot.png", "A 6260-2025")</f>
        <v/>
      </c>
      <c r="V11198">
        <f>HYPERLINK("https://klasma.github.io/Logging_0583/klagomål/A 6260-2025 FSC-klagomål.docx", "A 6260-2025")</f>
        <v/>
      </c>
      <c r="W11198">
        <f>HYPERLINK("https://klasma.github.io/Logging_0583/klagomålsmail/A 6260-2025 FSC-klagomål mail.docx", "A 6260-2025")</f>
        <v/>
      </c>
      <c r="X11198">
        <f>HYPERLINK("https://klasma.github.io/Logging_0583/tillsyn/A 6260-2025 tillsynsbegäran.docx", "A 6260-2025")</f>
        <v/>
      </c>
      <c r="Y11198">
        <f>HYPERLINK("https://klasma.github.io/Logging_0583/tillsynsmail/A 6260-2025 tillsynsbegäran mail.docx", "A 6260-2025")</f>
        <v/>
      </c>
    </row>
    <row r="11199" ht="15" customHeight="1">
      <c r="A11199" t="inlineStr">
        <is>
          <t>A 6301-2025</t>
        </is>
      </c>
      <c r="B11199" s="1" t="n">
        <v>45698</v>
      </c>
      <c r="C11199" s="1" t="n">
        <v>45710</v>
      </c>
      <c r="D11199" t="inlineStr">
        <is>
          <t>ÖSTERGÖTLANDS LÄN</t>
        </is>
      </c>
      <c r="E11199" t="inlineStr">
        <is>
          <t>KINDA</t>
        </is>
      </c>
      <c r="G11199" t="n">
        <v>4.9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6304-2025</t>
        </is>
      </c>
      <c r="B11200" s="1" t="n">
        <v>45698</v>
      </c>
      <c r="C11200" s="1" t="n">
        <v>45710</v>
      </c>
      <c r="D11200" t="inlineStr">
        <is>
          <t>ÖSTERGÖTLANDS LÄN</t>
        </is>
      </c>
      <c r="E11200" t="inlineStr">
        <is>
          <t>KINDA</t>
        </is>
      </c>
      <c r="G11200" t="n">
        <v>2.5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6334-2025</t>
        </is>
      </c>
      <c r="B11201" s="1" t="n">
        <v>45698</v>
      </c>
      <c r="C11201" s="1" t="n">
        <v>45710</v>
      </c>
      <c r="D11201" t="inlineStr">
        <is>
          <t>ÖSTERGÖTLANDS LÄN</t>
        </is>
      </c>
      <c r="E11201" t="inlineStr">
        <is>
          <t>VALDEMARSVIK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6336-2025</t>
        </is>
      </c>
      <c r="B11202" s="1" t="n">
        <v>45699</v>
      </c>
      <c r="C11202" s="1" t="n">
        <v>45710</v>
      </c>
      <c r="D11202" t="inlineStr">
        <is>
          <t>ÖSTERGÖTLANDS LÄN</t>
        </is>
      </c>
      <c r="E11202" t="inlineStr">
        <is>
          <t>VALDEMARSVIK</t>
        </is>
      </c>
      <c r="G11202" t="n">
        <v>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6191-2025</t>
        </is>
      </c>
      <c r="B11203" s="1" t="n">
        <v>45698</v>
      </c>
      <c r="C11203" s="1" t="n">
        <v>45710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7.6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6298-2025</t>
        </is>
      </c>
      <c r="B11204" s="1" t="n">
        <v>45698</v>
      </c>
      <c r="C11204" s="1" t="n">
        <v>45710</v>
      </c>
      <c r="D11204" t="inlineStr">
        <is>
          <t>ÖSTERGÖTLANDS LÄN</t>
        </is>
      </c>
      <c r="E11204" t="inlineStr">
        <is>
          <t>KINDA</t>
        </is>
      </c>
      <c r="G11204" t="n">
        <v>1.5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6319-2025</t>
        </is>
      </c>
      <c r="B11205" s="1" t="n">
        <v>45698</v>
      </c>
      <c r="C11205" s="1" t="n">
        <v>45710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10.3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6335-2025</t>
        </is>
      </c>
      <c r="B11206" s="1" t="n">
        <v>45699</v>
      </c>
      <c r="C11206" s="1" t="n">
        <v>45710</v>
      </c>
      <c r="D11206" t="inlineStr">
        <is>
          <t>ÖSTERGÖTLANDS LÄN</t>
        </is>
      </c>
      <c r="E11206" t="inlineStr">
        <is>
          <t>VALDEMARSVIK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6365-2025</t>
        </is>
      </c>
      <c r="B11207" s="1" t="n">
        <v>45699</v>
      </c>
      <c r="C11207" s="1" t="n">
        <v>45710</v>
      </c>
      <c r="D11207" t="inlineStr">
        <is>
          <t>ÖSTERGÖTLANDS LÄN</t>
        </is>
      </c>
      <c r="E11207" t="inlineStr">
        <is>
          <t>SÖDERKÖPING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6401-2025</t>
        </is>
      </c>
      <c r="B11208" s="1" t="n">
        <v>45699</v>
      </c>
      <c r="C11208" s="1" t="n">
        <v>45710</v>
      </c>
      <c r="D11208" t="inlineStr">
        <is>
          <t>ÖSTERGÖTLANDS LÄN</t>
        </is>
      </c>
      <c r="E11208" t="inlineStr">
        <is>
          <t>ÅTVIDABERG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6465-2025</t>
        </is>
      </c>
      <c r="B11209" s="1" t="n">
        <v>45699</v>
      </c>
      <c r="C11209" s="1" t="n">
        <v>45710</v>
      </c>
      <c r="D11209" t="inlineStr">
        <is>
          <t>ÖSTERGÖTLANDS LÄN</t>
        </is>
      </c>
      <c r="E11209" t="inlineStr">
        <is>
          <t>ÖDESHÖG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6480-2025</t>
        </is>
      </c>
      <c r="B11210" s="1" t="n">
        <v>45699</v>
      </c>
      <c r="C11210" s="1" t="n">
        <v>45710</v>
      </c>
      <c r="D11210" t="inlineStr">
        <is>
          <t>ÖSTERGÖTLANDS LÄN</t>
        </is>
      </c>
      <c r="E11210" t="inlineStr">
        <is>
          <t>MJÖLBY</t>
        </is>
      </c>
      <c r="G11210" t="n">
        <v>1.8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6484-2025</t>
        </is>
      </c>
      <c r="B11211" s="1" t="n">
        <v>45699</v>
      </c>
      <c r="C11211" s="1" t="n">
        <v>45710</v>
      </c>
      <c r="D11211" t="inlineStr">
        <is>
          <t>ÖSTERGÖTLANDS LÄN</t>
        </is>
      </c>
      <c r="E11211" t="inlineStr">
        <is>
          <t>ÖDESHÖG</t>
        </is>
      </c>
      <c r="G11211" t="n">
        <v>4.1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6501-2025</t>
        </is>
      </c>
      <c r="B11212" s="1" t="n">
        <v>45699</v>
      </c>
      <c r="C11212" s="1" t="n">
        <v>45710</v>
      </c>
      <c r="D11212" t="inlineStr">
        <is>
          <t>ÖSTERGÖTLANDS LÄN</t>
        </is>
      </c>
      <c r="E11212" t="inlineStr">
        <is>
          <t>YDRE</t>
        </is>
      </c>
      <c r="G11212" t="n">
        <v>1.5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6505-2025</t>
        </is>
      </c>
      <c r="B11213" s="1" t="n">
        <v>45699</v>
      </c>
      <c r="C11213" s="1" t="n">
        <v>45710</v>
      </c>
      <c r="D11213" t="inlineStr">
        <is>
          <t>ÖSTERGÖTLANDS LÄN</t>
        </is>
      </c>
      <c r="E11213" t="inlineStr">
        <is>
          <t>YDRE</t>
        </is>
      </c>
      <c r="G11213" t="n">
        <v>1.3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6363-2025</t>
        </is>
      </c>
      <c r="B11214" s="1" t="n">
        <v>45699</v>
      </c>
      <c r="C11214" s="1" t="n">
        <v>45710</v>
      </c>
      <c r="D11214" t="inlineStr">
        <is>
          <t>ÖSTERGÖTLANDS LÄN</t>
        </is>
      </c>
      <c r="E11214" t="inlineStr">
        <is>
          <t>SÖDERKÖPING</t>
        </is>
      </c>
      <c r="G11214" t="n">
        <v>0.6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6375-2025</t>
        </is>
      </c>
      <c r="B11215" s="1" t="n">
        <v>45699</v>
      </c>
      <c r="C11215" s="1" t="n">
        <v>45710</v>
      </c>
      <c r="D11215" t="inlineStr">
        <is>
          <t>ÖSTERGÖTLANDS LÄN</t>
        </is>
      </c>
      <c r="E11215" t="inlineStr">
        <is>
          <t>ÖDESHÖG</t>
        </is>
      </c>
      <c r="G11215" t="n">
        <v>1.1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6387-2025</t>
        </is>
      </c>
      <c r="B11216" s="1" t="n">
        <v>45699</v>
      </c>
      <c r="C11216" s="1" t="n">
        <v>45710</v>
      </c>
      <c r="D11216" t="inlineStr">
        <is>
          <t>ÖSTERGÖTLANDS LÄN</t>
        </is>
      </c>
      <c r="E11216" t="inlineStr">
        <is>
          <t>ÅTVIDABERG</t>
        </is>
      </c>
      <c r="G11216" t="n">
        <v>1.9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6403-2025</t>
        </is>
      </c>
      <c r="B11217" s="1" t="n">
        <v>45699</v>
      </c>
      <c r="C11217" s="1" t="n">
        <v>45710</v>
      </c>
      <c r="D11217" t="inlineStr">
        <is>
          <t>ÖSTERGÖTLANDS LÄN</t>
        </is>
      </c>
      <c r="E11217" t="inlineStr">
        <is>
          <t>KINDA</t>
        </is>
      </c>
      <c r="F11217" t="inlineStr">
        <is>
          <t>Sveaskog</t>
        </is>
      </c>
      <c r="G11217" t="n">
        <v>3.3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6411-2025</t>
        </is>
      </c>
      <c r="B11218" s="1" t="n">
        <v>45699</v>
      </c>
      <c r="C11218" s="1" t="n">
        <v>45710</v>
      </c>
      <c r="D11218" t="inlineStr">
        <is>
          <t>ÖSTERGÖTLANDS LÄN</t>
        </is>
      </c>
      <c r="E11218" t="inlineStr">
        <is>
          <t>KINDA</t>
        </is>
      </c>
      <c r="F11218" t="inlineStr">
        <is>
          <t>Sveaskog</t>
        </is>
      </c>
      <c r="G11218" t="n">
        <v>3.4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6487-2025</t>
        </is>
      </c>
      <c r="B11219" s="1" t="n">
        <v>45699</v>
      </c>
      <c r="C11219" s="1" t="n">
        <v>45710</v>
      </c>
      <c r="D11219" t="inlineStr">
        <is>
          <t>ÖSTERGÖTLANDS LÄN</t>
        </is>
      </c>
      <c r="E11219" t="inlineStr">
        <is>
          <t>ÖDESHÖG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6515-2025</t>
        </is>
      </c>
      <c r="B11220" s="1" t="n">
        <v>45699</v>
      </c>
      <c r="C11220" s="1" t="n">
        <v>45710</v>
      </c>
      <c r="D11220" t="inlineStr">
        <is>
          <t>ÖSTERGÖTLANDS LÄN</t>
        </is>
      </c>
      <c r="E11220" t="inlineStr">
        <is>
          <t>YDRE</t>
        </is>
      </c>
      <c r="G11220" t="n">
        <v>2.3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6362-2025</t>
        </is>
      </c>
      <c r="B11221" s="1" t="n">
        <v>45699</v>
      </c>
      <c r="C11221" s="1" t="n">
        <v>45710</v>
      </c>
      <c r="D11221" t="inlineStr">
        <is>
          <t>ÖSTERGÖTLANDS LÄN</t>
        </is>
      </c>
      <c r="E11221" t="inlineStr">
        <is>
          <t>SÖDERKÖPING</t>
        </is>
      </c>
      <c r="G11221" t="n">
        <v>1.4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6517-2025</t>
        </is>
      </c>
      <c r="B11222" s="1" t="n">
        <v>45699</v>
      </c>
      <c r="C11222" s="1" t="n">
        <v>45710</v>
      </c>
      <c r="D11222" t="inlineStr">
        <is>
          <t>ÖSTERGÖTLANDS LÄN</t>
        </is>
      </c>
      <c r="E11222" t="inlineStr">
        <is>
          <t>ÖDESHÖG</t>
        </is>
      </c>
      <c r="G11222" t="n">
        <v>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6406-2025</t>
        </is>
      </c>
      <c r="B11223" s="1" t="n">
        <v>45699</v>
      </c>
      <c r="C11223" s="1" t="n">
        <v>45710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Sveaskog</t>
        </is>
      </c>
      <c r="G11223" t="n">
        <v>4.4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6410-2025</t>
        </is>
      </c>
      <c r="B11224" s="1" t="n">
        <v>45699</v>
      </c>
      <c r="C11224" s="1" t="n">
        <v>45710</v>
      </c>
      <c r="D11224" t="inlineStr">
        <is>
          <t>ÖSTERGÖTLANDS LÄN</t>
        </is>
      </c>
      <c r="E11224" t="inlineStr">
        <is>
          <t>KINDA</t>
        </is>
      </c>
      <c r="F11224" t="inlineStr">
        <is>
          <t>Sveaskog</t>
        </is>
      </c>
      <c r="G11224" t="n">
        <v>3.8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6506-2025</t>
        </is>
      </c>
      <c r="B11225" s="1" t="n">
        <v>45699</v>
      </c>
      <c r="C11225" s="1" t="n">
        <v>45710</v>
      </c>
      <c r="D11225" t="inlineStr">
        <is>
          <t>ÖSTERGÖTLANDS LÄN</t>
        </is>
      </c>
      <c r="E11225" t="inlineStr">
        <is>
          <t>ÖDESHÖG</t>
        </is>
      </c>
      <c r="G11225" t="n">
        <v>0.6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6522-2025</t>
        </is>
      </c>
      <c r="B11226" s="1" t="n">
        <v>45699</v>
      </c>
      <c r="C11226" s="1" t="n">
        <v>45710</v>
      </c>
      <c r="D11226" t="inlineStr">
        <is>
          <t>ÖSTERGÖTLANDS LÄN</t>
        </is>
      </c>
      <c r="E11226" t="inlineStr">
        <is>
          <t>VALDEMARSVIK</t>
        </is>
      </c>
      <c r="G11226" t="n">
        <v>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6567-2025</t>
        </is>
      </c>
      <c r="B11227" s="1" t="n">
        <v>45699</v>
      </c>
      <c r="C11227" s="1" t="n">
        <v>45710</v>
      </c>
      <c r="D11227" t="inlineStr">
        <is>
          <t>ÖSTERGÖTLANDS LÄN</t>
        </is>
      </c>
      <c r="E11227" t="inlineStr">
        <is>
          <t>NORRKÖPING</t>
        </is>
      </c>
      <c r="G11227" t="n">
        <v>1.3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6368-2025</t>
        </is>
      </c>
      <c r="B11228" s="1" t="n">
        <v>45699</v>
      </c>
      <c r="C11228" s="1" t="n">
        <v>45710</v>
      </c>
      <c r="D11228" t="inlineStr">
        <is>
          <t>ÖSTERGÖTLANDS LÄN</t>
        </is>
      </c>
      <c r="E11228" t="inlineStr">
        <is>
          <t>ÖDESHÖG</t>
        </is>
      </c>
      <c r="G11228" t="n">
        <v>1.7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6392-2025</t>
        </is>
      </c>
      <c r="B11229" s="1" t="n">
        <v>45699</v>
      </c>
      <c r="C11229" s="1" t="n">
        <v>45710</v>
      </c>
      <c r="D11229" t="inlineStr">
        <is>
          <t>ÖSTERGÖTLANDS LÄN</t>
        </is>
      </c>
      <c r="E11229" t="inlineStr">
        <is>
          <t>ÅTVIDABERG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6400-2025</t>
        </is>
      </c>
      <c r="B11230" s="1" t="n">
        <v>45699</v>
      </c>
      <c r="C11230" s="1" t="n">
        <v>45710</v>
      </c>
      <c r="D11230" t="inlineStr">
        <is>
          <t>ÖSTERGÖTLANDS LÄN</t>
        </is>
      </c>
      <c r="E11230" t="inlineStr">
        <is>
          <t>ÅTVIDABERG</t>
        </is>
      </c>
      <c r="G11230" t="n">
        <v>1.7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6404-2025</t>
        </is>
      </c>
      <c r="B11231" s="1" t="n">
        <v>45699</v>
      </c>
      <c r="C11231" s="1" t="n">
        <v>45710</v>
      </c>
      <c r="D11231" t="inlineStr">
        <is>
          <t>ÖSTERGÖTLANDS LÄN</t>
        </is>
      </c>
      <c r="E11231" t="inlineStr">
        <is>
          <t>KINDA</t>
        </is>
      </c>
      <c r="F11231" t="inlineStr">
        <is>
          <t>Sveaskog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6456-2025</t>
        </is>
      </c>
      <c r="B11232" s="1" t="n">
        <v>45699</v>
      </c>
      <c r="C11232" s="1" t="n">
        <v>45710</v>
      </c>
      <c r="D11232" t="inlineStr">
        <is>
          <t>ÖSTERGÖTLANDS LÄN</t>
        </is>
      </c>
      <c r="E11232" t="inlineStr">
        <is>
          <t>ÖDESHÖG</t>
        </is>
      </c>
      <c r="G11232" t="n">
        <v>0.6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6512-2025</t>
        </is>
      </c>
      <c r="B11233" s="1" t="n">
        <v>45699</v>
      </c>
      <c r="C11233" s="1" t="n">
        <v>45710</v>
      </c>
      <c r="D11233" t="inlineStr">
        <is>
          <t>ÖSTERGÖTLANDS LÄN</t>
        </is>
      </c>
      <c r="E11233" t="inlineStr">
        <is>
          <t>ÖDESHÖG</t>
        </is>
      </c>
      <c r="G11233" t="n">
        <v>3.1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6516-2025</t>
        </is>
      </c>
      <c r="B11234" s="1" t="n">
        <v>45699</v>
      </c>
      <c r="C11234" s="1" t="n">
        <v>45710</v>
      </c>
      <c r="D11234" t="inlineStr">
        <is>
          <t>ÖSTERGÖTLANDS LÄN</t>
        </is>
      </c>
      <c r="E11234" t="inlineStr">
        <is>
          <t>NORRKÖPING</t>
        </is>
      </c>
      <c r="F11234" t="inlineStr">
        <is>
          <t>Allmännings- och besparingsskogar</t>
        </is>
      </c>
      <c r="G11234" t="n">
        <v>2.7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6557-2025</t>
        </is>
      </c>
      <c r="B11235" s="1" t="n">
        <v>45699</v>
      </c>
      <c r="C11235" s="1" t="n">
        <v>45710</v>
      </c>
      <c r="D11235" t="inlineStr">
        <is>
          <t>ÖSTERGÖTLANDS LÄN</t>
        </is>
      </c>
      <c r="E11235" t="inlineStr">
        <is>
          <t>ÖDESHÖG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6561-2025</t>
        </is>
      </c>
      <c r="B11236" s="1" t="n">
        <v>45699</v>
      </c>
      <c r="C11236" s="1" t="n">
        <v>45710</v>
      </c>
      <c r="D11236" t="inlineStr">
        <is>
          <t>ÖSTERGÖTLANDS LÄN</t>
        </is>
      </c>
      <c r="E11236" t="inlineStr">
        <is>
          <t>NORRKÖPING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6565-2025</t>
        </is>
      </c>
      <c r="B11237" s="1" t="n">
        <v>45699</v>
      </c>
      <c r="C11237" s="1" t="n">
        <v>45710</v>
      </c>
      <c r="D11237" t="inlineStr">
        <is>
          <t>ÖSTERGÖTLANDS LÄN</t>
        </is>
      </c>
      <c r="E11237" t="inlineStr">
        <is>
          <t>NORRKÖPING</t>
        </is>
      </c>
      <c r="G11237" t="n">
        <v>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6569-2025</t>
        </is>
      </c>
      <c r="B11238" s="1" t="n">
        <v>45699</v>
      </c>
      <c r="C11238" s="1" t="n">
        <v>45710</v>
      </c>
      <c r="D11238" t="inlineStr">
        <is>
          <t>ÖSTERGÖTLANDS LÄN</t>
        </is>
      </c>
      <c r="E11238" t="inlineStr">
        <is>
          <t>NORRKÖPING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6573-2025</t>
        </is>
      </c>
      <c r="B11239" s="1" t="n">
        <v>45699</v>
      </c>
      <c r="C11239" s="1" t="n">
        <v>45710</v>
      </c>
      <c r="D11239" t="inlineStr">
        <is>
          <t>ÖSTERGÖTLANDS LÄN</t>
        </is>
      </c>
      <c r="E11239" t="inlineStr">
        <is>
          <t>FINSPÅNG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6560-2025</t>
        </is>
      </c>
      <c r="B11240" s="1" t="n">
        <v>45699</v>
      </c>
      <c r="C11240" s="1" t="n">
        <v>45710</v>
      </c>
      <c r="D11240" t="inlineStr">
        <is>
          <t>ÖSTERGÖTLANDS LÄN</t>
        </is>
      </c>
      <c r="E11240" t="inlineStr">
        <is>
          <t>NORRKÖPING</t>
        </is>
      </c>
      <c r="G11240" t="n">
        <v>6.9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6568-2025</t>
        </is>
      </c>
      <c r="B11241" s="1" t="n">
        <v>45699</v>
      </c>
      <c r="C11241" s="1" t="n">
        <v>45710</v>
      </c>
      <c r="D11241" t="inlineStr">
        <is>
          <t>ÖSTERGÖTLANDS LÄN</t>
        </is>
      </c>
      <c r="E11241" t="inlineStr">
        <is>
          <t>NORRKÖPING</t>
        </is>
      </c>
      <c r="G11241" t="n">
        <v>0.6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6580-2025</t>
        </is>
      </c>
      <c r="B11242" s="1" t="n">
        <v>45699</v>
      </c>
      <c r="C11242" s="1" t="n">
        <v>45710</v>
      </c>
      <c r="D11242" t="inlineStr">
        <is>
          <t>ÖSTERGÖTLANDS LÄN</t>
        </is>
      </c>
      <c r="E11242" t="inlineStr">
        <is>
          <t>VALDEMARSVIK</t>
        </is>
      </c>
      <c r="G11242" t="n">
        <v>2.2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6566-2025</t>
        </is>
      </c>
      <c r="B11243" s="1" t="n">
        <v>45699</v>
      </c>
      <c r="C11243" s="1" t="n">
        <v>45710</v>
      </c>
      <c r="D11243" t="inlineStr">
        <is>
          <t>ÖSTERGÖTLANDS LÄN</t>
        </is>
      </c>
      <c r="E11243" t="inlineStr">
        <is>
          <t>NORRKÖPING</t>
        </is>
      </c>
      <c r="G11243" t="n">
        <v>1.7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6421-2025</t>
        </is>
      </c>
      <c r="B11244" s="1" t="n">
        <v>45699</v>
      </c>
      <c r="C11244" s="1" t="n">
        <v>45710</v>
      </c>
      <c r="D11244" t="inlineStr">
        <is>
          <t>ÖSTERGÖTLANDS LÄN</t>
        </is>
      </c>
      <c r="E11244" t="inlineStr">
        <is>
          <t>ÖDESHÖG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6409-2025</t>
        </is>
      </c>
      <c r="B11245" s="1" t="n">
        <v>45699</v>
      </c>
      <c r="C11245" s="1" t="n">
        <v>45710</v>
      </c>
      <c r="D11245" t="inlineStr">
        <is>
          <t>ÖSTERGÖTLANDS LÄN</t>
        </is>
      </c>
      <c r="E11245" t="inlineStr">
        <is>
          <t>KINDA</t>
        </is>
      </c>
      <c r="F11245" t="inlineStr">
        <is>
          <t>Sveaskog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6615-2025</t>
        </is>
      </c>
      <c r="B11246" s="1" t="n">
        <v>45700</v>
      </c>
      <c r="C11246" s="1" t="n">
        <v>45710</v>
      </c>
      <c r="D11246" t="inlineStr">
        <is>
          <t>ÖSTERGÖTLANDS LÄN</t>
        </is>
      </c>
      <c r="E11246" t="inlineStr">
        <is>
          <t>SÖDERKÖPING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6635-2025</t>
        </is>
      </c>
      <c r="B11247" s="1" t="n">
        <v>45700</v>
      </c>
      <c r="C11247" s="1" t="n">
        <v>45710</v>
      </c>
      <c r="D11247" t="inlineStr">
        <is>
          <t>ÖSTERGÖTLANDS LÄN</t>
        </is>
      </c>
      <c r="E11247" t="inlineStr">
        <is>
          <t>FINSPÅNG</t>
        </is>
      </c>
      <c r="F11247" t="inlineStr">
        <is>
          <t>Holmen skog AB</t>
        </is>
      </c>
      <c r="G11247" t="n">
        <v>1.3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6592-2025</t>
        </is>
      </c>
      <c r="B11248" s="1" t="n">
        <v>45700</v>
      </c>
      <c r="C11248" s="1" t="n">
        <v>45710</v>
      </c>
      <c r="D11248" t="inlineStr">
        <is>
          <t>ÖSTERGÖTLANDS LÄN</t>
        </is>
      </c>
      <c r="E11248" t="inlineStr">
        <is>
          <t>ÖDESHÖG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6784-2025</t>
        </is>
      </c>
      <c r="B11249" s="1" t="n">
        <v>45700</v>
      </c>
      <c r="C11249" s="1" t="n">
        <v>45710</v>
      </c>
      <c r="D11249" t="inlineStr">
        <is>
          <t>ÖSTERGÖTLANDS LÄN</t>
        </is>
      </c>
      <c r="E11249" t="inlineStr">
        <is>
          <t>KINDA</t>
        </is>
      </c>
      <c r="G11249" t="n">
        <v>5.8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6782-2025</t>
        </is>
      </c>
      <c r="B11250" s="1" t="n">
        <v>45700</v>
      </c>
      <c r="C11250" s="1" t="n">
        <v>45710</v>
      </c>
      <c r="D11250" t="inlineStr">
        <is>
          <t>ÖSTERGÖTLANDS LÄN</t>
        </is>
      </c>
      <c r="E11250" t="inlineStr">
        <is>
          <t>KINDA</t>
        </is>
      </c>
      <c r="G11250" t="n">
        <v>4.4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6838-2025</t>
        </is>
      </c>
      <c r="B11251" s="1" t="n">
        <v>45700</v>
      </c>
      <c r="C11251" s="1" t="n">
        <v>45710</v>
      </c>
      <c r="D11251" t="inlineStr">
        <is>
          <t>ÖSTERGÖTLANDS LÄN</t>
        </is>
      </c>
      <c r="E11251" t="inlineStr">
        <is>
          <t>SÖDERKÖPING</t>
        </is>
      </c>
      <c r="F11251" t="inlineStr">
        <is>
          <t>Kommuner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6839-2025</t>
        </is>
      </c>
      <c r="B11252" s="1" t="n">
        <v>45700</v>
      </c>
      <c r="C11252" s="1" t="n">
        <v>45710</v>
      </c>
      <c r="D11252" t="inlineStr">
        <is>
          <t>ÖSTERGÖTLANDS LÄN</t>
        </is>
      </c>
      <c r="E11252" t="inlineStr">
        <is>
          <t>SÖDERKÖPING</t>
        </is>
      </c>
      <c r="G11252" t="n">
        <v>1.3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6854-2025</t>
        </is>
      </c>
      <c r="B11253" s="1" t="n">
        <v>45700</v>
      </c>
      <c r="C11253" s="1" t="n">
        <v>45710</v>
      </c>
      <c r="D11253" t="inlineStr">
        <is>
          <t>ÖSTERGÖTLANDS LÄN</t>
        </is>
      </c>
      <c r="E11253" t="inlineStr">
        <is>
          <t>MJÖLBY</t>
        </is>
      </c>
      <c r="G11253" t="n">
        <v>9.1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6837-2025</t>
        </is>
      </c>
      <c r="B11254" s="1" t="n">
        <v>45700</v>
      </c>
      <c r="C11254" s="1" t="n">
        <v>45710</v>
      </c>
      <c r="D11254" t="inlineStr">
        <is>
          <t>ÖSTERGÖTLANDS LÄN</t>
        </is>
      </c>
      <c r="E11254" t="inlineStr">
        <is>
          <t>SÖDERKÖPING</t>
        </is>
      </c>
      <c r="F11254" t="inlineStr">
        <is>
          <t>Kommuner</t>
        </is>
      </c>
      <c r="G11254" t="n">
        <v>0.7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6849-2025</t>
        </is>
      </c>
      <c r="B11255" s="1" t="n">
        <v>45700</v>
      </c>
      <c r="C11255" s="1" t="n">
        <v>45710</v>
      </c>
      <c r="D11255" t="inlineStr">
        <is>
          <t>ÖSTERGÖTLANDS LÄN</t>
        </is>
      </c>
      <c r="E11255" t="inlineStr">
        <is>
          <t>SÖDERKÖPING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7047-2025</t>
        </is>
      </c>
      <c r="B11256" s="1" t="n">
        <v>45701</v>
      </c>
      <c r="C11256" s="1" t="n">
        <v>45710</v>
      </c>
      <c r="D11256" t="inlineStr">
        <is>
          <t>ÖSTERGÖTLANDS LÄN</t>
        </is>
      </c>
      <c r="E11256" t="inlineStr">
        <is>
          <t>YDRE</t>
        </is>
      </c>
      <c r="G11256" t="n">
        <v>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7051-2025</t>
        </is>
      </c>
      <c r="B11257" s="1" t="n">
        <v>45701</v>
      </c>
      <c r="C11257" s="1" t="n">
        <v>45710</v>
      </c>
      <c r="D11257" t="inlineStr">
        <is>
          <t>ÖSTERGÖTLANDS LÄN</t>
        </is>
      </c>
      <c r="E11257" t="inlineStr">
        <is>
          <t>YDRE</t>
        </is>
      </c>
      <c r="G11257" t="n">
        <v>0.4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7064-2025</t>
        </is>
      </c>
      <c r="B11258" s="1" t="n">
        <v>45701</v>
      </c>
      <c r="C11258" s="1" t="n">
        <v>45710</v>
      </c>
      <c r="D11258" t="inlineStr">
        <is>
          <t>ÖSTERGÖTLANDS LÄN</t>
        </is>
      </c>
      <c r="E11258" t="inlineStr">
        <is>
          <t>YDRE</t>
        </is>
      </c>
      <c r="G11258" t="n">
        <v>2.6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7055-2025</t>
        </is>
      </c>
      <c r="B11259" s="1" t="n">
        <v>45701</v>
      </c>
      <c r="C11259" s="1" t="n">
        <v>45710</v>
      </c>
      <c r="D11259" t="inlineStr">
        <is>
          <t>ÖSTERGÖTLANDS LÄN</t>
        </is>
      </c>
      <c r="E11259" t="inlineStr">
        <is>
          <t>SÖDERKÖPING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7063-2025</t>
        </is>
      </c>
      <c r="B11260" s="1" t="n">
        <v>45701</v>
      </c>
      <c r="C11260" s="1" t="n">
        <v>45710</v>
      </c>
      <c r="D11260" t="inlineStr">
        <is>
          <t>ÖSTERGÖTLANDS LÄN</t>
        </is>
      </c>
      <c r="E11260" t="inlineStr">
        <is>
          <t>SÖDERKÖPING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7071-2025</t>
        </is>
      </c>
      <c r="B11261" s="1" t="n">
        <v>45701</v>
      </c>
      <c r="C11261" s="1" t="n">
        <v>45710</v>
      </c>
      <c r="D11261" t="inlineStr">
        <is>
          <t>ÖSTERGÖTLANDS LÄN</t>
        </is>
      </c>
      <c r="E11261" t="inlineStr">
        <is>
          <t>SÖDERKÖPING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7075-2025</t>
        </is>
      </c>
      <c r="B11262" s="1" t="n">
        <v>45701</v>
      </c>
      <c r="C11262" s="1" t="n">
        <v>45710</v>
      </c>
      <c r="D11262" t="inlineStr">
        <is>
          <t>ÖSTERGÖTLANDS LÄN</t>
        </is>
      </c>
      <c r="E11262" t="inlineStr">
        <is>
          <t>YDRE</t>
        </is>
      </c>
      <c r="G11262" t="n">
        <v>4.6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7026-2025</t>
        </is>
      </c>
      <c r="B11263" s="1" t="n">
        <v>45701</v>
      </c>
      <c r="C11263" s="1" t="n">
        <v>45710</v>
      </c>
      <c r="D11263" t="inlineStr">
        <is>
          <t>ÖSTERGÖTLANDS LÄN</t>
        </is>
      </c>
      <c r="E11263" t="inlineStr">
        <is>
          <t>YDRE</t>
        </is>
      </c>
      <c r="G11263" t="n">
        <v>0.7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7054-2025</t>
        </is>
      </c>
      <c r="B11264" s="1" t="n">
        <v>45701</v>
      </c>
      <c r="C11264" s="1" t="n">
        <v>45710</v>
      </c>
      <c r="D11264" t="inlineStr">
        <is>
          <t>ÖSTERGÖTLANDS LÄN</t>
        </is>
      </c>
      <c r="E11264" t="inlineStr">
        <is>
          <t>YDRE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7058-2025</t>
        </is>
      </c>
      <c r="B11265" s="1" t="n">
        <v>45701</v>
      </c>
      <c r="C11265" s="1" t="n">
        <v>45710</v>
      </c>
      <c r="D11265" t="inlineStr">
        <is>
          <t>ÖSTERGÖTLANDS LÄN</t>
        </is>
      </c>
      <c r="E11265" t="inlineStr">
        <is>
          <t>SÖDERKÖPING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7062-2025</t>
        </is>
      </c>
      <c r="B11266" s="1" t="n">
        <v>45701</v>
      </c>
      <c r="C11266" s="1" t="n">
        <v>45710</v>
      </c>
      <c r="D11266" t="inlineStr">
        <is>
          <t>ÖSTERGÖTLANDS LÄN</t>
        </is>
      </c>
      <c r="E11266" t="inlineStr">
        <is>
          <t>SÖDERKÖPING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7066-2025</t>
        </is>
      </c>
      <c r="B11267" s="1" t="n">
        <v>45701</v>
      </c>
      <c r="C11267" s="1" t="n">
        <v>45710</v>
      </c>
      <c r="D11267" t="inlineStr">
        <is>
          <t>ÖSTERGÖTLANDS LÄN</t>
        </is>
      </c>
      <c r="E11267" t="inlineStr">
        <is>
          <t>YDRE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7061-2025</t>
        </is>
      </c>
      <c r="B11268" s="1" t="n">
        <v>45701</v>
      </c>
      <c r="C11268" s="1" t="n">
        <v>45710</v>
      </c>
      <c r="D11268" t="inlineStr">
        <is>
          <t>ÖSTERGÖTLANDS LÄN</t>
        </is>
      </c>
      <c r="E11268" t="inlineStr">
        <is>
          <t>YDRE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7073-2025</t>
        </is>
      </c>
      <c r="B11269" s="1" t="n">
        <v>45701</v>
      </c>
      <c r="C11269" s="1" t="n">
        <v>45710</v>
      </c>
      <c r="D11269" t="inlineStr">
        <is>
          <t>ÖSTERGÖTLANDS LÄN</t>
        </is>
      </c>
      <c r="E11269" t="inlineStr">
        <is>
          <t>YDRE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7093-2025</t>
        </is>
      </c>
      <c r="B11270" s="1" t="n">
        <v>45701</v>
      </c>
      <c r="C11270" s="1" t="n">
        <v>45710</v>
      </c>
      <c r="D11270" t="inlineStr">
        <is>
          <t>ÖSTERGÖTLANDS LÄN</t>
        </is>
      </c>
      <c r="E11270" t="inlineStr">
        <is>
          <t>KINDA</t>
        </is>
      </c>
      <c r="F11270" t="inlineStr">
        <is>
          <t>Kyrkan</t>
        </is>
      </c>
      <c r="G11270" t="n">
        <v>3.4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7131-2025</t>
        </is>
      </c>
      <c r="B11271" s="1" t="n">
        <v>45702</v>
      </c>
      <c r="C11271" s="1" t="n">
        <v>45710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Övriga Aktiebolag</t>
        </is>
      </c>
      <c r="G11271" t="n">
        <v>4.9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7317-2025</t>
        </is>
      </c>
      <c r="B11272" s="1" t="n">
        <v>45702</v>
      </c>
      <c r="C11272" s="1" t="n">
        <v>45710</v>
      </c>
      <c r="D11272" t="inlineStr">
        <is>
          <t>ÖSTERGÖTLANDS LÄN</t>
        </is>
      </c>
      <c r="E11272" t="inlineStr">
        <is>
          <t>NORRKÖPING</t>
        </is>
      </c>
      <c r="G11272" t="n">
        <v>1.4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7290-2025</t>
        </is>
      </c>
      <c r="B11273" s="1" t="n">
        <v>45702</v>
      </c>
      <c r="C11273" s="1" t="n">
        <v>45710</v>
      </c>
      <c r="D11273" t="inlineStr">
        <is>
          <t>ÖSTERGÖTLANDS LÄN</t>
        </is>
      </c>
      <c r="E11273" t="inlineStr">
        <is>
          <t>BOXHOLM</t>
        </is>
      </c>
      <c r="G11273" t="n">
        <v>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7318-2025</t>
        </is>
      </c>
      <c r="B11274" s="1" t="n">
        <v>45702</v>
      </c>
      <c r="C11274" s="1" t="n">
        <v>45710</v>
      </c>
      <c r="D11274" t="inlineStr">
        <is>
          <t>ÖSTERGÖTLANDS LÄN</t>
        </is>
      </c>
      <c r="E11274" t="inlineStr">
        <is>
          <t>NORRKÖPING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7343-2025</t>
        </is>
      </c>
      <c r="B11275" s="1" t="n">
        <v>45703</v>
      </c>
      <c r="C11275" s="1" t="n">
        <v>45710</v>
      </c>
      <c r="D11275" t="inlineStr">
        <is>
          <t>ÖSTERGÖTLANDS LÄN</t>
        </is>
      </c>
      <c r="E11275" t="inlineStr">
        <is>
          <t>LINKÖPING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7354-2025</t>
        </is>
      </c>
      <c r="B11276" s="1" t="n">
        <v>45704</v>
      </c>
      <c r="C11276" s="1" t="n">
        <v>45710</v>
      </c>
      <c r="D11276" t="inlineStr">
        <is>
          <t>ÖSTERGÖTLANDS LÄN</t>
        </is>
      </c>
      <c r="E11276" t="inlineStr">
        <is>
          <t>LINKÖPING</t>
        </is>
      </c>
      <c r="G11276" t="n">
        <v>4.8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7522-2025</t>
        </is>
      </c>
      <c r="B11277" s="1" t="n">
        <v>45704</v>
      </c>
      <c r="C11277" s="1" t="n">
        <v>45710</v>
      </c>
      <c r="D11277" t="inlineStr">
        <is>
          <t>ÖSTERGÖTLANDS LÄN</t>
        </is>
      </c>
      <c r="E11277" t="inlineStr">
        <is>
          <t>NORRKÖPING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7484-2025</t>
        </is>
      </c>
      <c r="B11278" s="1" t="n">
        <v>45705</v>
      </c>
      <c r="C11278" s="1" t="n">
        <v>45710</v>
      </c>
      <c r="D11278" t="inlineStr">
        <is>
          <t>ÖSTERGÖTLANDS LÄN</t>
        </is>
      </c>
      <c r="E11278" t="inlineStr">
        <is>
          <t>FINSPÅNG</t>
        </is>
      </c>
      <c r="G11278" t="n">
        <v>1.5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7477-2025</t>
        </is>
      </c>
      <c r="B11279" s="1" t="n">
        <v>45705</v>
      </c>
      <c r="C11279" s="1" t="n">
        <v>45710</v>
      </c>
      <c r="D11279" t="inlineStr">
        <is>
          <t>ÖSTERGÖTLANDS LÄN</t>
        </is>
      </c>
      <c r="E11279" t="inlineStr">
        <is>
          <t>ÖDESHÖG</t>
        </is>
      </c>
      <c r="G11279" t="n">
        <v>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7514-2025</t>
        </is>
      </c>
      <c r="B11280" s="1" t="n">
        <v>45705</v>
      </c>
      <c r="C11280" s="1" t="n">
        <v>45710</v>
      </c>
      <c r="D11280" t="inlineStr">
        <is>
          <t>ÖSTERGÖTLANDS LÄN</t>
        </is>
      </c>
      <c r="E11280" t="inlineStr">
        <is>
          <t>YDRE</t>
        </is>
      </c>
      <c r="G11280" t="n">
        <v>2.8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7527-2025</t>
        </is>
      </c>
      <c r="B11281" s="1" t="n">
        <v>45705</v>
      </c>
      <c r="C11281" s="1" t="n">
        <v>45710</v>
      </c>
      <c r="D11281" t="inlineStr">
        <is>
          <t>ÖSTERGÖTLANDS LÄN</t>
        </is>
      </c>
      <c r="E11281" t="inlineStr">
        <is>
          <t>FINSPÅNG</t>
        </is>
      </c>
      <c r="F11281" t="inlineStr">
        <is>
          <t>Holmen skog AB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7531-2025</t>
        </is>
      </c>
      <c r="B11282" s="1" t="n">
        <v>45705</v>
      </c>
      <c r="C11282" s="1" t="n">
        <v>45710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4.2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7564-2025</t>
        </is>
      </c>
      <c r="B11283" s="1" t="n">
        <v>45705</v>
      </c>
      <c r="C11283" s="1" t="n">
        <v>45710</v>
      </c>
      <c r="D11283" t="inlineStr">
        <is>
          <t>ÖSTERGÖTLANDS LÄN</t>
        </is>
      </c>
      <c r="E11283" t="inlineStr">
        <is>
          <t>MJÖLBY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7474-2025</t>
        </is>
      </c>
      <c r="B11284" s="1" t="n">
        <v>45705</v>
      </c>
      <c r="C11284" s="1" t="n">
        <v>45710</v>
      </c>
      <c r="D11284" t="inlineStr">
        <is>
          <t>ÖSTERGÖTLANDS LÄN</t>
        </is>
      </c>
      <c r="E11284" t="inlineStr">
        <is>
          <t>ÖDESHÖG</t>
        </is>
      </c>
      <c r="G11284" t="n">
        <v>0.9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7517-2025</t>
        </is>
      </c>
      <c r="B11285" s="1" t="n">
        <v>45705</v>
      </c>
      <c r="C11285" s="1" t="n">
        <v>45710</v>
      </c>
      <c r="D11285" t="inlineStr">
        <is>
          <t>ÖSTERGÖTLANDS LÄN</t>
        </is>
      </c>
      <c r="E11285" t="inlineStr">
        <is>
          <t>NORRKÖPING</t>
        </is>
      </c>
      <c r="G11285" t="n">
        <v>2.7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7529-2025</t>
        </is>
      </c>
      <c r="B11286" s="1" t="n">
        <v>45705</v>
      </c>
      <c r="C11286" s="1" t="n">
        <v>45710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7561-2025</t>
        </is>
      </c>
      <c r="B11287" s="1" t="n">
        <v>45705</v>
      </c>
      <c r="C11287" s="1" t="n">
        <v>45710</v>
      </c>
      <c r="D11287" t="inlineStr">
        <is>
          <t>ÖSTERGÖTLANDS LÄN</t>
        </is>
      </c>
      <c r="E11287" t="inlineStr">
        <is>
          <t>MJÖLBY</t>
        </is>
      </c>
      <c r="G11287" t="n">
        <v>1.5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7646-2025</t>
        </is>
      </c>
      <c r="B11288" s="1" t="n">
        <v>45705</v>
      </c>
      <c r="C11288" s="1" t="n">
        <v>45710</v>
      </c>
      <c r="D11288" t="inlineStr">
        <is>
          <t>ÖSTERGÖTLANDS LÄN</t>
        </is>
      </c>
      <c r="E11288" t="inlineStr">
        <is>
          <t>VALDEMARSVIK</t>
        </is>
      </c>
      <c r="G11288" t="n">
        <v>1.8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7647-2025</t>
        </is>
      </c>
      <c r="B11289" s="1" t="n">
        <v>45705</v>
      </c>
      <c r="C11289" s="1" t="n">
        <v>45710</v>
      </c>
      <c r="D11289" t="inlineStr">
        <is>
          <t>ÖSTERGÖTLANDS LÄN</t>
        </is>
      </c>
      <c r="E11289" t="inlineStr">
        <is>
          <t>VALDEMARSVIK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7518-2025</t>
        </is>
      </c>
      <c r="B11290" s="1" t="n">
        <v>45705</v>
      </c>
      <c r="C11290" s="1" t="n">
        <v>45710</v>
      </c>
      <c r="D11290" t="inlineStr">
        <is>
          <t>ÖSTERGÖTLANDS LÄN</t>
        </is>
      </c>
      <c r="E11290" t="inlineStr">
        <is>
          <t>NORRKÖPING</t>
        </is>
      </c>
      <c r="G11290" t="n">
        <v>3.7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7715-2025</t>
        </is>
      </c>
      <c r="B11291" s="1" t="n">
        <v>45705</v>
      </c>
      <c r="C11291" s="1" t="n">
        <v>45710</v>
      </c>
      <c r="D11291" t="inlineStr">
        <is>
          <t>ÖSTERGÖTLANDS LÄN</t>
        </is>
      </c>
      <c r="E11291" t="inlineStr">
        <is>
          <t>LINKÖPING</t>
        </is>
      </c>
      <c r="G11291" t="n">
        <v>4.6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7747-2025</t>
        </is>
      </c>
      <c r="B11292" s="1" t="n">
        <v>45706</v>
      </c>
      <c r="C11292" s="1" t="n">
        <v>45710</v>
      </c>
      <c r="D11292" t="inlineStr">
        <is>
          <t>ÖSTERGÖTLANDS LÄN</t>
        </is>
      </c>
      <c r="E11292" t="inlineStr">
        <is>
          <t>KINDA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7825-2025</t>
        </is>
      </c>
      <c r="B11293" s="1" t="n">
        <v>45706</v>
      </c>
      <c r="C11293" s="1" t="n">
        <v>45710</v>
      </c>
      <c r="D11293" t="inlineStr">
        <is>
          <t>ÖSTERGÖTLANDS LÄN</t>
        </is>
      </c>
      <c r="E11293" t="inlineStr">
        <is>
          <t>FINSPÅNG</t>
        </is>
      </c>
      <c r="G11293" t="n">
        <v>1.6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7714-2025</t>
        </is>
      </c>
      <c r="B11294" s="1" t="n">
        <v>45706</v>
      </c>
      <c r="C11294" s="1" t="n">
        <v>45710</v>
      </c>
      <c r="D11294" t="inlineStr">
        <is>
          <t>ÖSTERGÖTLANDS LÄN</t>
        </is>
      </c>
      <c r="E11294" t="inlineStr">
        <is>
          <t>NORRKÖPING</t>
        </is>
      </c>
      <c r="G11294" t="n">
        <v>13.8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7785-2025</t>
        </is>
      </c>
      <c r="B11295" s="1" t="n">
        <v>45706</v>
      </c>
      <c r="C11295" s="1" t="n">
        <v>45710</v>
      </c>
      <c r="D11295" t="inlineStr">
        <is>
          <t>ÖSTERGÖTLANDS LÄN</t>
        </is>
      </c>
      <c r="E11295" t="inlineStr">
        <is>
          <t>ÖDESHÖG</t>
        </is>
      </c>
      <c r="G11295" t="n">
        <v>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7826-2025</t>
        </is>
      </c>
      <c r="B11296" s="1" t="n">
        <v>45706</v>
      </c>
      <c r="C11296" s="1" t="n">
        <v>45710</v>
      </c>
      <c r="D11296" t="inlineStr">
        <is>
          <t>ÖSTERGÖTLANDS LÄN</t>
        </is>
      </c>
      <c r="E11296" t="inlineStr">
        <is>
          <t>FINSPÅNG</t>
        </is>
      </c>
      <c r="G11296" t="n">
        <v>1.6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7886-2025</t>
        </is>
      </c>
      <c r="B11297" s="1" t="n">
        <v>45706</v>
      </c>
      <c r="C11297" s="1" t="n">
        <v>45710</v>
      </c>
      <c r="D11297" t="inlineStr">
        <is>
          <t>ÖSTERGÖTLANDS LÄN</t>
        </is>
      </c>
      <c r="E11297" t="inlineStr">
        <is>
          <t>SÖDERKÖPING</t>
        </is>
      </c>
      <c r="G11297" t="n">
        <v>3.2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7761-2025</t>
        </is>
      </c>
      <c r="B11298" s="1" t="n">
        <v>45706</v>
      </c>
      <c r="C11298" s="1" t="n">
        <v>45710</v>
      </c>
      <c r="D11298" t="inlineStr">
        <is>
          <t>ÖSTERGÖTLANDS LÄN</t>
        </is>
      </c>
      <c r="E11298" t="inlineStr">
        <is>
          <t>NORRKÖPING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7763-2025</t>
        </is>
      </c>
      <c r="B11299" s="1" t="n">
        <v>45706</v>
      </c>
      <c r="C11299" s="1" t="n">
        <v>45710</v>
      </c>
      <c r="D11299" t="inlineStr">
        <is>
          <t>ÖSTERGÖTLANDS LÄN</t>
        </is>
      </c>
      <c r="E11299" t="inlineStr">
        <is>
          <t>NORRKÖPING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7742-2025</t>
        </is>
      </c>
      <c r="B11300" s="1" t="n">
        <v>45706</v>
      </c>
      <c r="C11300" s="1" t="n">
        <v>45710</v>
      </c>
      <c r="D11300" t="inlineStr">
        <is>
          <t>ÖSTERGÖTLANDS LÄN</t>
        </is>
      </c>
      <c r="E11300" t="inlineStr">
        <is>
          <t>NORRKÖPING</t>
        </is>
      </c>
      <c r="G11300" t="n">
        <v>4.6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7750-2025</t>
        </is>
      </c>
      <c r="B11301" s="1" t="n">
        <v>45706</v>
      </c>
      <c r="C11301" s="1" t="n">
        <v>45710</v>
      </c>
      <c r="D11301" t="inlineStr">
        <is>
          <t>ÖSTERGÖTLANDS LÄN</t>
        </is>
      </c>
      <c r="E11301" t="inlineStr">
        <is>
          <t>NORRKÖPING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7762-2025</t>
        </is>
      </c>
      <c r="B11302" s="1" t="n">
        <v>45706</v>
      </c>
      <c r="C11302" s="1" t="n">
        <v>45710</v>
      </c>
      <c r="D11302" t="inlineStr">
        <is>
          <t>ÖSTERGÖTLANDS LÄN</t>
        </is>
      </c>
      <c r="E11302" t="inlineStr">
        <is>
          <t>NORRKÖPING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7890-2025</t>
        </is>
      </c>
      <c r="B11303" s="1" t="n">
        <v>45707</v>
      </c>
      <c r="C11303" s="1" t="n">
        <v>45710</v>
      </c>
      <c r="D11303" t="inlineStr">
        <is>
          <t>ÖSTERGÖTLANDS LÄN</t>
        </is>
      </c>
      <c r="E11303" t="inlineStr">
        <is>
          <t>ÅTVIDABERG</t>
        </is>
      </c>
      <c r="G11303" t="n">
        <v>7.4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7902-2025</t>
        </is>
      </c>
      <c r="B11304" s="1" t="n">
        <v>45707</v>
      </c>
      <c r="C11304" s="1" t="n">
        <v>45710</v>
      </c>
      <c r="D11304" t="inlineStr">
        <is>
          <t>ÖSTERGÖTLANDS LÄN</t>
        </is>
      </c>
      <c r="E11304" t="inlineStr">
        <is>
          <t>SÖDERKÖPING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7893-2025</t>
        </is>
      </c>
      <c r="B11305" s="1" t="n">
        <v>45707</v>
      </c>
      <c r="C11305" s="1" t="n">
        <v>45710</v>
      </c>
      <c r="D11305" t="inlineStr">
        <is>
          <t>ÖSTERGÖTLANDS LÄN</t>
        </is>
      </c>
      <c r="E11305" t="inlineStr">
        <is>
          <t>ÅTVIDABERG</t>
        </is>
      </c>
      <c r="G11305" t="n">
        <v>0.9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7891-2025</t>
        </is>
      </c>
      <c r="B11306" s="1" t="n">
        <v>45707</v>
      </c>
      <c r="C11306" s="1" t="n">
        <v>45710</v>
      </c>
      <c r="D11306" t="inlineStr">
        <is>
          <t>ÖSTERGÖTLANDS LÄN</t>
        </is>
      </c>
      <c r="E11306" t="inlineStr">
        <is>
          <t>ÅTVIDABERG</t>
        </is>
      </c>
      <c r="G11306" t="n">
        <v>0.4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7973-2025</t>
        </is>
      </c>
      <c r="B11307" s="1" t="n">
        <v>45707</v>
      </c>
      <c r="C11307" s="1" t="n">
        <v>45710</v>
      </c>
      <c r="D11307" t="inlineStr">
        <is>
          <t>ÖSTERGÖTLANDS LÄN</t>
        </is>
      </c>
      <c r="E11307" t="inlineStr">
        <is>
          <t>KINDA</t>
        </is>
      </c>
      <c r="G11307" t="n">
        <v>4.2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7987-2025</t>
        </is>
      </c>
      <c r="B11308" s="1" t="n">
        <v>45707</v>
      </c>
      <c r="C11308" s="1" t="n">
        <v>45710</v>
      </c>
      <c r="D11308" t="inlineStr">
        <is>
          <t>ÖSTERGÖTLANDS LÄN</t>
        </is>
      </c>
      <c r="E11308" t="inlineStr">
        <is>
          <t>SÖDERKÖPING</t>
        </is>
      </c>
      <c r="G11308" t="n">
        <v>2.9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8037-2025</t>
        </is>
      </c>
      <c r="B11309" s="1" t="n">
        <v>45707</v>
      </c>
      <c r="C11309" s="1" t="n">
        <v>45710</v>
      </c>
      <c r="D11309" t="inlineStr">
        <is>
          <t>ÖSTERGÖTLANDS LÄN</t>
        </is>
      </c>
      <c r="E11309" t="inlineStr">
        <is>
          <t>ÖDESHÖG</t>
        </is>
      </c>
      <c r="G11309" t="n">
        <v>1.4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8042-2025</t>
        </is>
      </c>
      <c r="B11310" s="1" t="n">
        <v>45707</v>
      </c>
      <c r="C11310" s="1" t="n">
        <v>45710</v>
      </c>
      <c r="D11310" t="inlineStr">
        <is>
          <t>ÖSTERGÖTLANDS LÄN</t>
        </is>
      </c>
      <c r="E11310" t="inlineStr">
        <is>
          <t>ÖDESHÖG</t>
        </is>
      </c>
      <c r="G11310" t="n">
        <v>14.5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8067-2025</t>
        </is>
      </c>
      <c r="B11311" s="1" t="n">
        <v>45707</v>
      </c>
      <c r="C11311" s="1" t="n">
        <v>45710</v>
      </c>
      <c r="D11311" t="inlineStr">
        <is>
          <t>ÖSTERGÖTLANDS LÄN</t>
        </is>
      </c>
      <c r="E11311" t="inlineStr">
        <is>
          <t>ÖDESHÖG</t>
        </is>
      </c>
      <c r="G11311" t="n">
        <v>0.9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8039-2025</t>
        </is>
      </c>
      <c r="B11312" s="1" t="n">
        <v>45707</v>
      </c>
      <c r="C11312" s="1" t="n">
        <v>45710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8079-2025</t>
        </is>
      </c>
      <c r="B11313" s="1" t="n">
        <v>45707</v>
      </c>
      <c r="C11313" s="1" t="n">
        <v>45710</v>
      </c>
      <c r="D11313" t="inlineStr">
        <is>
          <t>ÖSTERGÖTLANDS LÄN</t>
        </is>
      </c>
      <c r="E11313" t="inlineStr">
        <is>
          <t>BOXHOLM</t>
        </is>
      </c>
      <c r="F11313" t="inlineStr">
        <is>
          <t>Allmännings- och besparingsskogar</t>
        </is>
      </c>
      <c r="G11313" t="n">
        <v>2.1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8073-2025</t>
        </is>
      </c>
      <c r="B11314" s="1" t="n">
        <v>45707</v>
      </c>
      <c r="C11314" s="1" t="n">
        <v>45710</v>
      </c>
      <c r="D11314" t="inlineStr">
        <is>
          <t>ÖSTERGÖTLANDS LÄN</t>
        </is>
      </c>
      <c r="E11314" t="inlineStr">
        <is>
          <t>YDRE</t>
        </is>
      </c>
      <c r="G11314" t="n">
        <v>3.5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8081-2025</t>
        </is>
      </c>
      <c r="B11315" s="1" t="n">
        <v>45707</v>
      </c>
      <c r="C11315" s="1" t="n">
        <v>45710</v>
      </c>
      <c r="D11315" t="inlineStr">
        <is>
          <t>ÖSTERGÖTLANDS LÄN</t>
        </is>
      </c>
      <c r="E11315" t="inlineStr">
        <is>
          <t>BOXHOLM</t>
        </is>
      </c>
      <c r="F11315" t="inlineStr">
        <is>
          <t>Allmännings- och besparingsskogar</t>
        </is>
      </c>
      <c r="G11315" t="n">
        <v>5.3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7892-2025</t>
        </is>
      </c>
      <c r="B11316" s="1" t="n">
        <v>45707</v>
      </c>
      <c r="C11316" s="1" t="n">
        <v>45710</v>
      </c>
      <c r="D11316" t="inlineStr">
        <is>
          <t>ÖSTERGÖTLANDS LÄN</t>
        </is>
      </c>
      <c r="E11316" t="inlineStr">
        <is>
          <t>ÅTVIDABERG</t>
        </is>
      </c>
      <c r="G11316" t="n">
        <v>1.3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8088-2025</t>
        </is>
      </c>
      <c r="B11317" s="1" t="n">
        <v>45707</v>
      </c>
      <c r="C11317" s="1" t="n">
        <v>45710</v>
      </c>
      <c r="D11317" t="inlineStr">
        <is>
          <t>ÖSTERGÖTLANDS LÄN</t>
        </is>
      </c>
      <c r="E11317" t="inlineStr">
        <is>
          <t>YDRE</t>
        </is>
      </c>
      <c r="G11317" t="n">
        <v>2.5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8049-2025</t>
        </is>
      </c>
      <c r="B11318" s="1" t="n">
        <v>45707</v>
      </c>
      <c r="C11318" s="1" t="n">
        <v>45710</v>
      </c>
      <c r="D11318" t="inlineStr">
        <is>
          <t>ÖSTERGÖTLANDS LÄN</t>
        </is>
      </c>
      <c r="E11318" t="inlineStr">
        <is>
          <t>ÖDESHÖG</t>
        </is>
      </c>
      <c r="G11318" t="n">
        <v>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8063-2025</t>
        </is>
      </c>
      <c r="B11319" s="1" t="n">
        <v>45707</v>
      </c>
      <c r="C11319" s="1" t="n">
        <v>45710</v>
      </c>
      <c r="D11319" t="inlineStr">
        <is>
          <t>ÖSTERGÖTLANDS LÄN</t>
        </is>
      </c>
      <c r="E11319" t="inlineStr">
        <is>
          <t>ÖDESHÖG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8193-2025</t>
        </is>
      </c>
      <c r="B11320" s="1" t="n">
        <v>45707</v>
      </c>
      <c r="C11320" s="1" t="n">
        <v>45710</v>
      </c>
      <c r="D11320" t="inlineStr">
        <is>
          <t>ÖSTERGÖTLANDS LÄN</t>
        </is>
      </c>
      <c r="E11320" t="inlineStr">
        <is>
          <t>FINSPÅNG</t>
        </is>
      </c>
      <c r="F11320" t="inlineStr">
        <is>
          <t>Allmännings- och besparingsskogar</t>
        </is>
      </c>
      <c r="G11320" t="n">
        <v>3.2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8175-2025</t>
        </is>
      </c>
      <c r="B11321" s="1" t="n">
        <v>45708</v>
      </c>
      <c r="C11321" s="1" t="n">
        <v>45710</v>
      </c>
      <c r="D11321" t="inlineStr">
        <is>
          <t>ÖSTERGÖTLANDS LÄN</t>
        </is>
      </c>
      <c r="E11321" t="inlineStr">
        <is>
          <t>BOXHOLM</t>
        </is>
      </c>
      <c r="F11321" t="inlineStr">
        <is>
          <t>Övriga Aktiebolag</t>
        </is>
      </c>
      <c r="G11321" t="n">
        <v>6.5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8176-2025</t>
        </is>
      </c>
      <c r="B11322" s="1" t="n">
        <v>45708</v>
      </c>
      <c r="C11322" s="1" t="n">
        <v>45710</v>
      </c>
      <c r="D11322" t="inlineStr">
        <is>
          <t>ÖSTERGÖTLANDS LÄN</t>
        </is>
      </c>
      <c r="E11322" t="inlineStr">
        <is>
          <t>VALDEMARSVIK</t>
        </is>
      </c>
      <c r="G11322" t="n">
        <v>6.8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8180-2025</t>
        </is>
      </c>
      <c r="B11323" s="1" t="n">
        <v>45708</v>
      </c>
      <c r="C11323" s="1" t="n">
        <v>45710</v>
      </c>
      <c r="D11323" t="inlineStr">
        <is>
          <t>ÖSTERGÖTLANDS LÄN</t>
        </is>
      </c>
      <c r="E11323" t="inlineStr">
        <is>
          <t>BOXHOLM</t>
        </is>
      </c>
      <c r="F11323" t="inlineStr">
        <is>
          <t>Övriga Aktiebolag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8179-2025</t>
        </is>
      </c>
      <c r="B11324" s="1" t="n">
        <v>45708</v>
      </c>
      <c r="C11324" s="1" t="n">
        <v>45710</v>
      </c>
      <c r="D11324" t="inlineStr">
        <is>
          <t>ÖSTERGÖTLANDS LÄN</t>
        </is>
      </c>
      <c r="E11324" t="inlineStr">
        <is>
          <t>VALDEMARSVIK</t>
        </is>
      </c>
      <c r="G11324" t="n">
        <v>2.4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8229-2025</t>
        </is>
      </c>
      <c r="B11325" s="1" t="n">
        <v>45708</v>
      </c>
      <c r="C11325" s="1" t="n">
        <v>45710</v>
      </c>
      <c r="D11325" t="inlineStr">
        <is>
          <t>ÖSTERGÖTLANDS LÄN</t>
        </is>
      </c>
      <c r="E11325" t="inlineStr">
        <is>
          <t>KINDA</t>
        </is>
      </c>
      <c r="G11325" t="n">
        <v>2.8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8318-2025</t>
        </is>
      </c>
      <c r="B11326" s="1" t="n">
        <v>45708</v>
      </c>
      <c r="C11326" s="1" t="n">
        <v>45710</v>
      </c>
      <c r="D11326" t="inlineStr">
        <is>
          <t>ÖSTERGÖTLANDS LÄN</t>
        </is>
      </c>
      <c r="E11326" t="inlineStr">
        <is>
          <t>KINDA</t>
        </is>
      </c>
      <c r="G11326" t="n">
        <v>2.9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8279-2025</t>
        </is>
      </c>
      <c r="B11327" s="1" t="n">
        <v>45708</v>
      </c>
      <c r="C11327" s="1" t="n">
        <v>45710</v>
      </c>
      <c r="D11327" t="inlineStr">
        <is>
          <t>ÖSTERGÖTLANDS LÄN</t>
        </is>
      </c>
      <c r="E11327" t="inlineStr">
        <is>
          <t>SÖDERKÖPING</t>
        </is>
      </c>
      <c r="G11327" t="n">
        <v>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8352-2025</t>
        </is>
      </c>
      <c r="B11328" s="1" t="n">
        <v>45708</v>
      </c>
      <c r="C11328" s="1" t="n">
        <v>45710</v>
      </c>
      <c r="D11328" t="inlineStr">
        <is>
          <t>ÖSTERGÖTLANDS LÄN</t>
        </is>
      </c>
      <c r="E11328" t="inlineStr">
        <is>
          <t>MOTALA</t>
        </is>
      </c>
      <c r="G11328" t="n">
        <v>5.1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8346-2025</t>
        </is>
      </c>
      <c r="B11329" s="1" t="n">
        <v>45708</v>
      </c>
      <c r="C11329" s="1" t="n">
        <v>45710</v>
      </c>
      <c r="D11329" t="inlineStr">
        <is>
          <t>ÖSTERGÖTLANDS LÄN</t>
        </is>
      </c>
      <c r="E11329" t="inlineStr">
        <is>
          <t>SÖDERKÖPING</t>
        </is>
      </c>
      <c r="G11329" t="n">
        <v>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8228-2025</t>
        </is>
      </c>
      <c r="B11330" s="1" t="n">
        <v>45708</v>
      </c>
      <c r="C11330" s="1" t="n">
        <v>45710</v>
      </c>
      <c r="D11330" t="inlineStr">
        <is>
          <t>ÖSTERGÖTLANDS LÄN</t>
        </is>
      </c>
      <c r="E11330" t="inlineStr">
        <is>
          <t>KINDA</t>
        </is>
      </c>
      <c r="G11330" t="n">
        <v>4.8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8354-2025</t>
        </is>
      </c>
      <c r="B11331" s="1" t="n">
        <v>45708</v>
      </c>
      <c r="C11331" s="1" t="n">
        <v>45710</v>
      </c>
      <c r="D11331" t="inlineStr">
        <is>
          <t>ÖSTERGÖTLANDS LÄN</t>
        </is>
      </c>
      <c r="E11331" t="inlineStr">
        <is>
          <t>NORRKÖPING</t>
        </is>
      </c>
      <c r="G11331" t="n">
        <v>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8409-2025</t>
        </is>
      </c>
      <c r="B11332" s="1" t="n">
        <v>45709</v>
      </c>
      <c r="C11332" s="1" t="n">
        <v>45710</v>
      </c>
      <c r="D11332" t="inlineStr">
        <is>
          <t>ÖSTERGÖTLANDS LÄN</t>
        </is>
      </c>
      <c r="E11332" t="inlineStr">
        <is>
          <t>KINDA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  <c r="U11332">
        <f>HYPERLINK("https://klasma.github.io/Logging_0513/knärot/A 8409-2025 karta knärot.png", "A 8409-2025")</f>
        <v/>
      </c>
      <c r="V11332">
        <f>HYPERLINK("https://klasma.github.io/Logging_0513/klagomål/A 8409-2025 FSC-klagomål.docx", "A 8409-2025")</f>
        <v/>
      </c>
      <c r="W11332">
        <f>HYPERLINK("https://klasma.github.io/Logging_0513/klagomålsmail/A 8409-2025 FSC-klagomål mail.docx", "A 8409-2025")</f>
        <v/>
      </c>
      <c r="X11332">
        <f>HYPERLINK("https://klasma.github.io/Logging_0513/tillsyn/A 8409-2025 tillsynsbegäran.docx", "A 8409-2025")</f>
        <v/>
      </c>
      <c r="Y11332">
        <f>HYPERLINK("https://klasma.github.io/Logging_0513/tillsynsmail/A 8409-2025 tillsynsbegäran mail.docx", "A 8409-2025")</f>
        <v/>
      </c>
    </row>
    <row r="11333" ht="15" customHeight="1">
      <c r="A11333" t="inlineStr">
        <is>
          <t>A 8413-2025</t>
        </is>
      </c>
      <c r="B11333" s="1" t="n">
        <v>45709</v>
      </c>
      <c r="C11333" s="1" t="n">
        <v>45710</v>
      </c>
      <c r="D11333" t="inlineStr">
        <is>
          <t>ÖSTERGÖTLANDS LÄN</t>
        </is>
      </c>
      <c r="E11333" t="inlineStr">
        <is>
          <t>KINDA</t>
        </is>
      </c>
      <c r="G11333" t="n">
        <v>0.7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8437-2025</t>
        </is>
      </c>
      <c r="B11334" s="1" t="n">
        <v>45709</v>
      </c>
      <c r="C11334" s="1" t="n">
        <v>45710</v>
      </c>
      <c r="D11334" t="inlineStr">
        <is>
          <t>ÖSTERGÖTLANDS LÄN</t>
        </is>
      </c>
      <c r="E11334" t="inlineStr">
        <is>
          <t>NORRKÖPING</t>
        </is>
      </c>
      <c r="F11334" t="inlineStr">
        <is>
          <t>Holmen skog AB</t>
        </is>
      </c>
      <c r="G11334" t="n">
        <v>5.8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8378-2025</t>
        </is>
      </c>
      <c r="B11335" s="1" t="n">
        <v>45709</v>
      </c>
      <c r="C11335" s="1" t="n">
        <v>45710</v>
      </c>
      <c r="D11335" t="inlineStr">
        <is>
          <t>ÖSTERGÖTLANDS LÄN</t>
        </is>
      </c>
      <c r="E11335" t="inlineStr">
        <is>
          <t>BOXHOLM</t>
        </is>
      </c>
      <c r="G11335" t="n">
        <v>0.5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8403-2025</t>
        </is>
      </c>
      <c r="B11336" s="1" t="n">
        <v>45709</v>
      </c>
      <c r="C11336" s="1" t="n">
        <v>45710</v>
      </c>
      <c r="D11336" t="inlineStr">
        <is>
          <t>ÖSTERGÖTLANDS LÄN</t>
        </is>
      </c>
      <c r="E11336" t="inlineStr">
        <is>
          <t>FINSPÅNG</t>
        </is>
      </c>
      <c r="F11336" t="inlineStr">
        <is>
          <t>Holmen skog AB</t>
        </is>
      </c>
      <c r="G11336" t="n">
        <v>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8526-2025</t>
        </is>
      </c>
      <c r="B11337" s="1" t="n">
        <v>45709</v>
      </c>
      <c r="C11337" s="1" t="n">
        <v>45710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6.2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8432-2025</t>
        </is>
      </c>
      <c r="B11338" s="1" t="n">
        <v>45709</v>
      </c>
      <c r="C11338" s="1" t="n">
        <v>45710</v>
      </c>
      <c r="D11338" t="inlineStr">
        <is>
          <t>ÖSTERGÖTLANDS LÄN</t>
        </is>
      </c>
      <c r="E11338" t="inlineStr">
        <is>
          <t>NORRKÖPING</t>
        </is>
      </c>
      <c r="F11338" t="inlineStr">
        <is>
          <t>Holmen skog AB</t>
        </is>
      </c>
      <c r="G11338" t="n">
        <v>2.8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8558-2025</t>
        </is>
      </c>
      <c r="B11339" s="1" t="n">
        <v>45709</v>
      </c>
      <c r="C11339" s="1" t="n">
        <v>45710</v>
      </c>
      <c r="D11339" t="inlineStr">
        <is>
          <t>ÖSTERGÖTLANDS LÄN</t>
        </is>
      </c>
      <c r="E11339" t="inlineStr">
        <is>
          <t>SÖDERKÖPING</t>
        </is>
      </c>
      <c r="G11339" t="n">
        <v>11.2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8410-2025</t>
        </is>
      </c>
      <c r="B11340" s="1" t="n">
        <v>45709</v>
      </c>
      <c r="C11340" s="1" t="n">
        <v>45710</v>
      </c>
      <c r="D11340" t="inlineStr">
        <is>
          <t>ÖSTERGÖTLANDS LÄN</t>
        </is>
      </c>
      <c r="E11340" t="inlineStr">
        <is>
          <t>KINDA</t>
        </is>
      </c>
      <c r="G11340" t="n">
        <v>2.3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8426-2025</t>
        </is>
      </c>
      <c r="B11341" s="1" t="n">
        <v>45709</v>
      </c>
      <c r="C11341" s="1" t="n">
        <v>45710</v>
      </c>
      <c r="D11341" t="inlineStr">
        <is>
          <t>ÖSTERGÖTLANDS LÄN</t>
        </is>
      </c>
      <c r="E11341" t="inlineStr">
        <is>
          <t>NORRKÖPING</t>
        </is>
      </c>
      <c r="F11341" t="inlineStr">
        <is>
          <t>Holmen skog AB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8438-2025</t>
        </is>
      </c>
      <c r="B11342" s="1" t="n">
        <v>45709</v>
      </c>
      <c r="C11342" s="1" t="n">
        <v>45710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Holmen skog AB</t>
        </is>
      </c>
      <c r="G11342" t="n">
        <v>4.3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8449-2025</t>
        </is>
      </c>
      <c r="B11343" s="1" t="n">
        <v>45709</v>
      </c>
      <c r="C11343" s="1" t="n">
        <v>45710</v>
      </c>
      <c r="D11343" t="inlineStr">
        <is>
          <t>ÖSTERGÖTLANDS LÄN</t>
        </is>
      </c>
      <c r="E11343" t="inlineStr">
        <is>
          <t>YDRE</t>
        </is>
      </c>
      <c r="G11343" t="n">
        <v>2.9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8505-2025</t>
        </is>
      </c>
      <c r="B11344" s="1" t="n">
        <v>45709</v>
      </c>
      <c r="C11344" s="1" t="n">
        <v>45710</v>
      </c>
      <c r="D11344" t="inlineStr">
        <is>
          <t>ÖSTERGÖTLANDS LÄN</t>
        </is>
      </c>
      <c r="E11344" t="inlineStr">
        <is>
          <t>ÖDESHÖG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>
      <c r="A11345" t="inlineStr">
        <is>
          <t>A 8535-2025</t>
        </is>
      </c>
      <c r="B11345" s="1" t="n">
        <v>45709</v>
      </c>
      <c r="C11345" s="1" t="n">
        <v>45710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2025-02-22T16:24:57Z</dcterms:created>
  <dcterms:modified xmlns:dcterms="http://purl.org/dc/terms/" xmlns:xsi="http://www.w3.org/2001/XMLSchema-instance" xsi:type="dcterms:W3CDTF">2025-02-22T16:25:07Z</dcterms:modified>
</cp:coreProperties>
</file>